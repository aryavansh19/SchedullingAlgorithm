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Assumptions &amp; Approach" sheetId="2" state="visible" r:id="rId2"/>
    <sheet name="Playbook (SOP)" sheetId="3" state="visible" r:id="rId3"/>
    <sheet name="Ram - Digital ToDo" sheetId="4" state="visible" r:id="rId4"/>
    <sheet name="Shyam - Call ToDo" sheetId="5" state="visible" r:id="rId5"/>
    <sheet name="KPI Dashboard" sheetId="6" state="visible" r:id="rId6"/>
    <sheet name="INPUT (clean)" sheetId="7" state="visible" r:id="rId7"/>
  </sheets>
  <definedNames>
    <definedName name="_xlnm._FilterDatabase" localSheetId="3" hidden="1">'Ram - Digital ToDo'!$A$1:$S$516</definedName>
    <definedName name="_xlnm._FilterDatabase" localSheetId="4" hidden="1">'Shyam - Call ToDo'!$A$1:$Q$516</definedName>
    <definedName name="_xlnm._FilterDatabase" localSheetId="6" hidden="1">'INPUT (clean)'!$A$1:$K$516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"/>
    <numFmt numFmtId="167" formatCode="0.0%"/>
  </numFmts>
  <fonts count="14">
    <font>
      <name val="Calibri"/>
      <family val="2"/>
      <color theme="1"/>
      <sz val="11"/>
      <scheme val="minor"/>
    </font>
    <font>
      <b val="1"/>
      <color rgb="001F3864"/>
      <sz val="18"/>
    </font>
    <font>
      <b val="1"/>
      <color rgb="00548235"/>
      <sz val="12"/>
    </font>
    <font>
      <b val="1"/>
      <color rgb="00FFFFFF"/>
      <sz val="12"/>
    </font>
    <font>
      <color rgb="00404040"/>
      <sz val="11"/>
    </font>
    <font>
      <b val="1"/>
      <color rgb="00FFFFFF"/>
      <sz val="11"/>
    </font>
    <font>
      <b val="1"/>
      <color rgb="00404040"/>
      <sz val="10"/>
    </font>
    <font>
      <color rgb="00404040"/>
      <sz val="10"/>
    </font>
    <font>
      <i val="1"/>
      <color rgb="00548235"/>
      <sz val="11"/>
    </font>
    <font>
      <b val="1"/>
      <color rgb="001F3864"/>
      <sz val="10"/>
    </font>
    <font>
      <b val="1"/>
      <color rgb="00404040"/>
      <sz val="11"/>
    </font>
    <font>
      <b val="1"/>
      <color rgb="00C00000"/>
      <sz val="12"/>
    </font>
    <font>
      <b val="1"/>
      <color rgb="001F3864"/>
      <sz val="16"/>
    </font>
    <font>
      <b val="1"/>
      <color rgb="001F3864"/>
      <sz val="12"/>
    </font>
  </fonts>
  <fills count="10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404040"/>
      </patternFill>
    </fill>
    <fill>
      <patternFill patternType="solid">
        <fgColor rgb="00548235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0" fillId="2" borderId="0" pivotButton="0" quotePrefix="0" xfId="0"/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 wrapText="1"/>
    </xf>
    <xf numFmtId="166" fontId="0" fillId="5" borderId="1" applyAlignment="1" pivotButton="0" quotePrefix="0" xfId="0">
      <alignment vertical="center" wrapText="1"/>
    </xf>
    <xf numFmtId="49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10" fillId="8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167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2" customWidth="1" min="2" max="2"/>
  </cols>
  <sheetData>
    <row r="1">
      <c r="B1" s="1" t="inlineStr">
        <is>
          <t>Weekday Interview Scheduling System</t>
        </is>
      </c>
    </row>
    <row r="2">
      <c r="B2" s="2" t="inlineStr">
        <is>
          <t>Goal: 80% of interview requests SCHEDULED (via Calendly) within 24 hours of arrival.</t>
        </is>
      </c>
    </row>
    <row r="3">
      <c r="B3" t="inlineStr"/>
    </row>
    <row r="4" ht="20" customHeight="1">
      <c r="B4" s="3" t="inlineStr">
        <is>
          <t>WHO DOES WHAT</t>
        </is>
      </c>
    </row>
    <row r="5">
      <c r="B5" s="4" t="inlineStr">
        <is>
          <t>Ram  = Digital outreach for EVERY new request (WhatsApp + Email + nudges).</t>
        </is>
      </c>
    </row>
    <row r="6">
      <c r="B6" s="4" t="inlineStr">
        <is>
          <t>Shyam = Phone calls, but ONLY for requests Ram could not schedule (auto-escalated).</t>
        </is>
      </c>
    </row>
    <row r="7">
      <c r="B7" s="4" t="inlineStr">
        <is>
          <t>You (Team Lead / AM) = handle the rare cases both interns escalate.</t>
        </is>
      </c>
    </row>
    <row r="8">
      <c r="B8" t="inlineStr"/>
    </row>
    <row r="9" ht="20" customHeight="1">
      <c r="B9" s="3" t="inlineStr">
        <is>
          <t>YOUR DAILY ROUTINE (do this top to bottom, every day)</t>
        </is>
      </c>
    </row>
    <row r="10">
      <c r="B10" s="4" t="inlineStr">
        <is>
          <t>1. Open your tab: Ram -&gt; 'Ram - Digital ToDo'.  Shyam -&gt; 'Shyam - Call ToDo'.</t>
        </is>
      </c>
    </row>
    <row r="11">
      <c r="B11" s="4" t="inlineStr">
        <is>
          <t>2. Sort your tab by 'Hours Left' (smallest first). Smallest = most urgent.</t>
        </is>
      </c>
    </row>
    <row r="12">
      <c r="B12" s="4" t="inlineStr">
        <is>
          <t>3. Read the 'NEXT STEP' column. It tells you EXACTLY what to do for that row.</t>
        </is>
      </c>
    </row>
    <row r="13">
      <c r="B13" s="4" t="inlineStr">
        <is>
          <t>4. Do it, then fill the dropdown for that step. The row updates itself.</t>
        </is>
      </c>
    </row>
    <row r="14">
      <c r="B14" s="4" t="inlineStr">
        <is>
          <t>5. Repeat down the list until every row says DONE, ESCALATED, DECLINED or CLOSED.</t>
        </is>
      </c>
    </row>
    <row r="15">
      <c r="B15" t="inlineStr"/>
    </row>
    <row r="16" ht="20" customHeight="1">
      <c r="B16" s="3" t="inlineStr">
        <is>
          <t>THE GOLDEN RULES</t>
        </is>
      </c>
    </row>
    <row r="17">
      <c r="B17" s="4" t="inlineStr">
        <is>
          <t>- Never guess. Every message/email/call script is in the 'Playbook (SOP)' tab.</t>
        </is>
      </c>
    </row>
    <row r="18">
      <c r="B18" s="4" t="inlineStr">
        <is>
          <t>- Always work the row with the FEWEST hours left first.</t>
        </is>
      </c>
    </row>
    <row r="19">
      <c r="B19" s="4" t="inlineStr">
        <is>
          <t>- If a dropdown does not have the outcome you saw, write it in 'Notes' and ask the lead.</t>
        </is>
      </c>
    </row>
    <row r="20">
      <c r="B20" s="4" t="inlineStr">
        <is>
          <t>- Shyam only touches a row when its 'NEEDS CALL?' column says CALL NOW.</t>
        </is>
      </c>
    </row>
    <row r="21">
      <c r="B21" s="4" t="inlineStr">
        <is>
          <t>- Check the 'KPI Dashboard' tab once in the morning and once in the evening.</t>
        </is>
      </c>
    </row>
    <row r="22">
      <c r="B22" t="inlineStr"/>
    </row>
    <row r="23" ht="20" customHeight="1">
      <c r="B23" s="3" t="inlineStr">
        <is>
          <t>TABS IN THIS WORKBOOK</t>
        </is>
      </c>
    </row>
    <row r="24">
      <c r="B24" s="4" t="inlineStr">
        <is>
          <t>Start Here  |  Assumptions &amp; Approach  |  Playbook (SOP)  |  Ram - Digital ToDo  |  Shyam - Call ToDo  |  KPI Dashboard  |  INPUT (clean)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  <col width="70" customWidth="1" min="3" max="3"/>
  </cols>
  <sheetData>
    <row r="1">
      <c r="B1" s="1" t="inlineStr">
        <is>
          <t>Assumptions, Thought Process &amp; Approach</t>
        </is>
      </c>
    </row>
    <row r="2">
      <c r="B2" s="2" t="inlineStr">
        <is>
          <t>This documentation is part of the deliverable. It explains every assumption and why the system is built the way it is.</t>
        </is>
      </c>
    </row>
    <row r="3">
      <c r="B3" t="inlineStr"/>
    </row>
    <row r="4" ht="20" customHeight="1">
      <c r="B4" s="3" t="inlineStr">
        <is>
          <t>1. HOW I BROKE THE PROBLEM DOWN</t>
        </is>
      </c>
    </row>
    <row r="5">
      <c r="B5" s="4" t="inlineStr">
        <is>
          <t>The job is not 'schedule interviews' - it is 'get the candidate to click the Calendly link before the 24h clock runs out'. So the problem splits into 4 units:</t>
        </is>
      </c>
    </row>
    <row r="6">
      <c r="B6" s="4" t="inlineStr">
        <is>
          <t xml:space="preserve">  a) Intake &amp; clean: dedupe, pick the right round's link, fix phone/email.</t>
        </is>
      </c>
    </row>
    <row r="7">
      <c r="B7" s="4" t="inlineStr">
        <is>
          <t xml:space="preserve">  b) Prioritise: sort by time-left so we never breach the 24h SLA.</t>
        </is>
      </c>
    </row>
    <row r="8">
      <c r="B8" s="4" t="inlineStr">
        <is>
          <t xml:space="preserve">  c) Chase via cheapest channel first: digital (Ram) -&gt; phone (Shyam) -&gt; lead.</t>
        </is>
      </c>
    </row>
    <row r="9">
      <c r="B9" s="4" t="inlineStr">
        <is>
          <t xml:space="preserve">  d) Measure: track % scheduled within 24h so we know if we are winning.</t>
        </is>
      </c>
    </row>
    <row r="10">
      <c r="B10" t="inlineStr"/>
    </row>
    <row r="11" ht="20" customHeight="1">
      <c r="B11" s="3" t="inlineStr">
        <is>
          <t>2. KEY ASSUMPTIONS</t>
        </is>
      </c>
    </row>
    <row r="12">
      <c r="B12" s="4" t="inlineStr">
        <is>
          <t>A1. Candidates already agreed to interview, so the only task is to make them click Calendly.</t>
        </is>
      </c>
    </row>
    <row r="13">
      <c r="B13" s="4" t="inlineStr">
        <is>
          <t>A2. Candidates are India-based; phones default to +91 and 'working hours' are 9:00-21:00 IST.</t>
        </is>
      </c>
    </row>
    <row r="14">
      <c r="B14" s="4" t="inlineStr">
        <is>
          <t>A3. Ram has bulk tooling (WhatsApp Business broadcast + mail-merge) so the initial blast to ~500 people is a batch action, not 500 manual messages.</t>
        </is>
      </c>
    </row>
    <row r="15">
      <c r="B15" s="4" t="inlineStr">
        <is>
          <t>A4. The Calendly 'Scheduling method' cell holds one link per round; we send only the link for the round on that row.</t>
        </is>
      </c>
    </row>
    <row r="16">
      <c r="B16" s="4" t="inlineStr">
        <is>
          <t>A5. The 24h SLA clock starts at 'Added On' for each request, independently.</t>
        </is>
      </c>
    </row>
    <row r="17">
      <c r="B17" s="4" t="inlineStr">
        <is>
          <t>A6. Because every touchpoint in the cadence is scheduled inside the 24h window, a request that reaches the 'Scheduled' state was, by construction, scheduled within 24h. So the KPI can be read from the outcome stage without a separate timestamp.</t>
        </is>
      </c>
    </row>
    <row r="18">
      <c r="B18" s="4" t="inlineStr">
        <is>
          <t>A7. 'Not interested / Declined' candidates are removed from the SLA denominator (they are a real-world drop, not a scheduling failure).</t>
        </is>
      </c>
    </row>
    <row r="19">
      <c r="B19" s="4" t="inlineStr">
        <is>
          <t>A8. Interns can read but should not have to interpret - every decision is pre-written.</t>
        </is>
      </c>
    </row>
    <row r="20">
      <c r="B20" t="inlineStr"/>
    </row>
    <row r="21" ht="20" customHeight="1">
      <c r="B21" s="3" t="inlineStr">
        <is>
          <t>3. THE CADENCE (anchored to each request's 'Added On')</t>
        </is>
      </c>
    </row>
    <row r="22">
      <c r="B22" s="4" t="inlineStr">
        <is>
          <t>T+0h   Ram: WhatsApp + Email blast with the round's Calendly link + clear deadline.</t>
        </is>
      </c>
    </row>
    <row r="23">
      <c r="B23" s="4" t="inlineStr">
        <is>
          <t>T+2h   Ram: check Calendly. If not booked -&gt; WhatsApp nudge.</t>
        </is>
      </c>
    </row>
    <row r="24">
      <c r="B24" s="4" t="inlineStr">
        <is>
          <t>T+4h   Ram: final check. If still not booked -&gt; auto-escalate to Shyam's call queue.</t>
        </is>
      </c>
    </row>
    <row r="25">
      <c r="B25" s="4" t="inlineStr">
        <is>
          <t>T+6h   Shyam: Call 1. Offer to book 2-3 slots live, on the candidate's behalf.</t>
        </is>
      </c>
    </row>
    <row r="26">
      <c r="B26" s="4" t="inlineStr">
        <is>
          <t>T+20h  Shyam: Call 2 (final). If still nothing -&gt; escalate to the lead before T+24h.</t>
        </is>
      </c>
    </row>
    <row r="27">
      <c r="B27" s="4" t="inlineStr">
        <is>
          <t>Every step lands inside 24h, which is how we protect the 80% target.</t>
        </is>
      </c>
    </row>
    <row r="28">
      <c r="B28" t="inlineStr"/>
    </row>
    <row r="29" ht="20" customHeight="1">
      <c r="B29" s="3" t="inlineStr">
        <is>
          <t>4. EDGE CASES AND HOW THE SHEET HANDLES THEM</t>
        </is>
      </c>
    </row>
    <row r="30">
      <c r="B30" s="4" t="inlineStr">
        <is>
          <t>(full table is below this section)</t>
        </is>
      </c>
    </row>
    <row r="31">
      <c r="B31" t="inlineStr"/>
    </row>
    <row r="32" ht="20" customHeight="1">
      <c r="B32" s="3" t="inlineStr">
        <is>
          <t>5. CAPACITY / FEASIBILITY MATH (the honest part)</t>
        </is>
      </c>
    </row>
    <row r="33">
      <c r="B33" s="4" t="inlineStr">
        <is>
          <t>~500 requests/day, 2 interns. Manual messaging cannot scale, so:</t>
        </is>
      </c>
    </row>
    <row r="34">
      <c r="B34" s="4" t="inlineStr">
        <is>
          <t>- Ram's blast must be a bulk broadcast/mail-merge (1 batch) + quick visual checks.</t>
        </is>
      </c>
    </row>
    <row r="35">
      <c r="B35" s="4" t="inlineStr">
        <is>
          <t>- If ~75% self-schedule after blast+nudge (they already said yes), only ~125 reach Shyam.</t>
        </is>
      </c>
    </row>
    <row r="36">
      <c r="B36" s="4" t="inlineStr">
        <is>
          <t>- 125 calls at ~4 min each (incl. retries) = ~500 min = ~8.5h. Tight but possible in a shift.</t>
        </is>
      </c>
    </row>
    <row r="37">
      <c r="B37" s="4" t="inlineStr">
        <is>
          <t>- TRIGGER: if escalations exceed ~150/day, add an auto-SMS fallback or request more help. This threshold is called out so interns escalate capacity problems early.</t>
        </is>
      </c>
    </row>
    <row r="38">
      <c r="B38" t="inlineStr"/>
    </row>
    <row r="39" ht="20" customHeight="1">
      <c r="B39" s="3" t="inlineStr">
        <is>
          <t>6. INNOVATIVE IDEAS BUILT IN</t>
        </is>
      </c>
    </row>
    <row r="40">
      <c r="B40" s="4" t="inlineStr">
        <is>
          <t>- 'NEXT STEP' column: the sheet literally tells the intern the next action - zero thinking.</t>
        </is>
      </c>
    </row>
    <row r="41">
      <c r="B41" s="4" t="inlineStr">
        <is>
          <t>- Automatic Ram-&gt;Shyam hand-off via formula (no copy-paste between people).</t>
        </is>
      </c>
    </row>
    <row r="42">
      <c r="B42" s="4" t="inlineStr">
        <is>
          <t>- 'Book on their behalf' on calls removes candidate friction (we pick the slot for them).</t>
        </is>
      </c>
    </row>
    <row r="43">
      <c r="B43" s="4" t="inlineStr">
        <is>
          <t>- Priority by live 'Hours Left' countdown with colour heat-map.</t>
        </is>
      </c>
    </row>
    <row r="44">
      <c r="B44" s="4" t="inlineStr">
        <is>
          <t>- Duplicate auto-flagging so interns never double-chase the same person.</t>
        </is>
      </c>
    </row>
    <row r="45">
      <c r="B45" s="4" t="inlineStr">
        <is>
          <t>- Self-serve KPI dashboard so interns see if they are on track for 80%.</t>
        </is>
      </c>
    </row>
    <row r="46">
      <c r="B46" s="4" t="inlineStr">
        <is>
          <t>- 'Golden hours' calling guidance (lunch + evening) to maximise pickup rate.</t>
        </is>
      </c>
    </row>
    <row r="48">
      <c r="B48" s="5" t="inlineStr">
        <is>
          <t>EDGE-CASE PLAYBOOK</t>
        </is>
      </c>
    </row>
    <row r="49">
      <c r="B49" s="6" t="inlineStr">
        <is>
          <t>Edge case</t>
        </is>
      </c>
      <c r="C49" s="6" t="inlineStr">
        <is>
          <t>What the intern does</t>
        </is>
      </c>
    </row>
    <row r="50">
      <c r="B50" s="7" t="inlineStr">
        <is>
          <t>Candidate ignores email</t>
        </is>
      </c>
      <c r="C50" s="8" t="inlineStr">
        <is>
          <t>WhatsApp + email are sent together at T+0; nudge at T+2h; call at T+6h.</t>
        </is>
      </c>
    </row>
    <row r="51">
      <c r="B51" s="7" t="inlineStr">
        <is>
          <t>Candidate has no WhatsApp</t>
        </is>
      </c>
      <c r="C51" s="8" t="inlineStr">
        <is>
          <t>Blast also goes by email + SMS; if no WhatsApp delivery, Shyam calls.</t>
        </is>
      </c>
    </row>
    <row r="52">
      <c r="B52" s="7" t="inlineStr">
        <is>
          <t>Candidate never answers calls</t>
        </is>
      </c>
      <c r="C52" s="8" t="inlineStr">
        <is>
          <t>Call 1 + Call 2 in golden hours; leave SMS/voicemail; then escalate to lead.</t>
        </is>
      </c>
    </row>
    <row r="53">
      <c r="B53" s="7" t="inlineStr">
        <is>
          <t>Candidate forgot after agreeing</t>
        </is>
      </c>
      <c r="C53" s="8" t="inlineStr">
        <is>
          <t>Nudge script reminds them they already agreed; offer to book on their behalf.</t>
        </is>
      </c>
    </row>
    <row r="54">
      <c r="B54" s="7" t="inlineStr">
        <is>
          <t>Invalid / wrong phone number</t>
        </is>
      </c>
      <c r="C54" s="8" t="inlineStr">
        <is>
          <t>Mark 'Invalid number' -&gt; goes straight to lead to get correct details from company.</t>
        </is>
      </c>
    </row>
    <row r="55">
      <c r="B55" s="7" t="inlineStr">
        <is>
          <t>Wrong / bouncing email</t>
        </is>
      </c>
      <c r="C55" s="8" t="inlineStr">
        <is>
          <t>Mark 'Bad contact' on blast -&gt; lead asks the company for correct contact.</t>
        </is>
      </c>
    </row>
    <row r="56">
      <c r="B56" s="7" t="inlineStr">
        <is>
          <t>No Calendly slots / interviewer busy</t>
        </is>
      </c>
      <c r="C56" s="8" t="inlineStr">
        <is>
          <t>Note it; lead pings the company to open slots; SLA clock paused with a note.</t>
        </is>
      </c>
    </row>
    <row r="57">
      <c r="B57" s="7" t="inlineStr">
        <is>
          <t>Candidate wants to reschedule</t>
        </is>
      </c>
      <c r="C57" s="8" t="inlineStr">
        <is>
          <t>Send link again; they self-serve; counts as scheduled once booked.</t>
        </is>
      </c>
    </row>
    <row r="58">
      <c r="B58" s="7" t="inlineStr">
        <is>
          <t>Candidate not interested / dropped</t>
        </is>
      </c>
      <c r="C58" s="8" t="inlineStr">
        <is>
          <t>Mark 'Not interested/Declined' -&gt; closed + removed from SLA denominator.</t>
        </is>
      </c>
    </row>
    <row r="59">
      <c r="B59" s="7" t="inlineStr">
        <is>
          <t>Candidate says STOP / do not contact</t>
        </is>
      </c>
      <c r="C59" s="8" t="inlineStr">
        <is>
          <t>Stop all outreach immediately; mark Declined; note 'DND'; tell lead.</t>
        </is>
      </c>
    </row>
    <row r="60">
      <c r="B60" s="7" t="inlineStr">
        <is>
          <t>Duplicate request for same person</t>
        </is>
      </c>
      <c r="C60" s="8" t="inlineStr">
        <is>
          <t>'Dup?' column flags it; process only the first, ignore the rest.</t>
        </is>
      </c>
    </row>
    <row r="61">
      <c r="B61" s="7" t="inlineStr">
        <is>
          <t>Multiple rounds for same candidate</t>
        </is>
      </c>
      <c r="C61" s="8" t="inlineStr">
        <is>
          <t>Each round is its own row with its own link; scheduled independently.</t>
        </is>
      </c>
    </row>
    <row r="62">
      <c r="B62" s="7" t="inlineStr">
        <is>
          <t>Request arrives late at night</t>
        </is>
      </c>
      <c r="C62" s="8" t="inlineStr">
        <is>
          <t>Cadence respects 9-21 working hours; night touches roll to 9:00 next day, still &lt; 24h.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6" customWidth="1" min="3" max="3"/>
  </cols>
  <sheetData>
    <row r="1">
      <c r="B1" s="1" t="inlineStr">
        <is>
          <t>Playbook (Standard Operating Procedure)</t>
        </is>
      </c>
    </row>
    <row r="2">
      <c r="B2" s="9" t="inlineStr">
        <is>
          <t>Copy-paste these. Replace [BRACKETS] with the values from the row you are working.</t>
        </is>
      </c>
    </row>
    <row r="3">
      <c r="B3" s="5" t="inlineStr">
        <is>
          <t>MESSAGE SCRIPTS (Ram)</t>
        </is>
      </c>
      <c r="C3" s="10" t="n"/>
    </row>
    <row r="4">
      <c r="B4" s="11" t="inlineStr">
        <is>
          <t>M1 - Initial WhatsApp</t>
        </is>
      </c>
      <c r="C4" s="12" t="inlineStr">
        <is>
          <t>Hi [Candidate], this is [Your name] from Weekday. Your [Round] interview with [Company] is confirmed. Please pick a time here: [Calendly Link]. It takes 30 seconds. Kindly book within today. Reply here if you face any issue.</t>
        </is>
      </c>
    </row>
    <row r="5">
      <c r="B5" s="11" t="inlineStr">
        <is>
          <t>M1 - Initial Email</t>
        </is>
      </c>
      <c r="C5" s="12" t="inlineStr">
        <is>
          <t>Subject: Action needed: book your [Company] [Round] interview
Hi [Candidate], you are confirmed for the [Round] interview with [Company]. Please choose a slot here: [Calendly Link]. Booking today keeps your process on track. Reply if the link does not work.</t>
        </is>
      </c>
    </row>
    <row r="6">
      <c r="B6" s="11" t="inlineStr">
        <is>
          <t>M2 - Nudge WhatsApp (T+2h)</t>
        </is>
      </c>
      <c r="C6" s="12" t="inlineStr">
        <is>
          <t>Hi [Candidate], gentle reminder to lock your [Company] interview slot: [Calendly Link]. Takes under a minute. Want me to suggest a time?</t>
        </is>
      </c>
    </row>
    <row r="7">
      <c r="B7" s="11" t="inlineStr">
        <is>
          <t>M3 - SMS fallback</t>
        </is>
      </c>
      <c r="C7" s="12" t="inlineStr">
        <is>
          <t>Weekday: Please book your [Company] [Round] interview: [Calendly Link]. Reply CALL if you want us to book for you.</t>
        </is>
      </c>
    </row>
    <row r="8">
      <c r="B8" s="5" t="inlineStr">
        <is>
          <t>CALL SCRIPTS (Shyam)</t>
        </is>
      </c>
      <c r="C8" s="10" t="n"/>
    </row>
    <row r="9">
      <c r="B9" s="11" t="inlineStr">
        <is>
          <t>C1 - Call 1 opener</t>
        </is>
      </c>
      <c r="C9" s="12" t="inlineStr">
        <is>
          <t>Hi [Candidate], calling from Weekday about your confirmed [Company] [Round] interview. I can text you the booking link now, or I can book a slot for you right now - I have [slot A], [slot B], [slot C]. Which works?</t>
        </is>
      </c>
    </row>
    <row r="10">
      <c r="B10" s="11" t="inlineStr">
        <is>
          <t>C1 - If they pick a slot</t>
        </is>
      </c>
      <c r="C10" s="12" t="inlineStr">
        <is>
          <t>Book it on Calendly yourself on their behalf, confirm by WhatsApp, then mark 'Booked on their behalf'.</t>
        </is>
      </c>
    </row>
    <row r="11">
      <c r="B11" s="11" t="inlineStr">
        <is>
          <t>C2 - Call 2 (final)</t>
        </is>
      </c>
      <c r="C11" s="12" t="inlineStr">
        <is>
          <t>Hi [Candidate], last reminder so you do not lose your [Company] slot. Shall I book [slot A] or [slot B] for you right now?</t>
        </is>
      </c>
    </row>
    <row r="12">
      <c r="B12" s="11" t="inlineStr">
        <is>
          <t>VM - Voicemail / no answer</t>
        </is>
      </c>
      <c r="C12" s="12" t="inlineStr">
        <is>
          <t>Send M3 SMS immediately after a missed call, then try again in the next golden hour (12:00-14:00 or 18:00-20:00).</t>
        </is>
      </c>
    </row>
    <row r="13">
      <c r="B13" s="5" t="inlineStr">
        <is>
          <t>DECISION TABLE - what each dropdown outcome means and what happens next</t>
        </is>
      </c>
      <c r="C13" s="10" t="n"/>
    </row>
    <row r="14">
      <c r="B14" s="6" t="inlineStr">
        <is>
          <t>Where</t>
        </is>
      </c>
      <c r="C14" s="6" t="inlineStr">
        <is>
          <t>You select  |  What it means / next action</t>
        </is>
      </c>
    </row>
    <row r="15">
      <c r="B15" s="13" t="inlineStr">
        <is>
          <t>Ram S1 Blast</t>
        </is>
      </c>
      <c r="C15" s="8" t="inlineStr">
        <is>
          <t>Sent  -&gt;  Blast delivered. Wait for T+2h check.</t>
        </is>
      </c>
    </row>
    <row r="16">
      <c r="B16" s="13" t="inlineStr">
        <is>
          <t>Ram S1 Blast</t>
        </is>
      </c>
      <c r="C16" s="8" t="inlineStr">
        <is>
          <t>Bad contact  -&gt;  Email bounced AND no WhatsApp. Row blocks -&gt; lead gets correct contact.</t>
        </is>
      </c>
    </row>
    <row r="17">
      <c r="B17" s="13" t="inlineStr">
        <is>
          <t>Ram S2 Check</t>
        </is>
      </c>
      <c r="C17" s="8" t="inlineStr">
        <is>
          <t>Scheduled  -&gt;  Candidate booked. Row is DONE. Stop.</t>
        </is>
      </c>
    </row>
    <row r="18">
      <c r="B18" s="13" t="inlineStr">
        <is>
          <t>Ram S2 Check</t>
        </is>
      </c>
      <c r="C18" s="8" t="inlineStr">
        <is>
          <t>Not yet  -&gt;  Not booked. Send nudge M2 (S3).</t>
        </is>
      </c>
    </row>
    <row r="19">
      <c r="B19" s="13" t="inlineStr">
        <is>
          <t>Ram S3 Nudge</t>
        </is>
      </c>
      <c r="C19" s="8" t="inlineStr">
        <is>
          <t>Nudged  -&gt;  Reminder sent. Wait for T+4h final check.</t>
        </is>
      </c>
    </row>
    <row r="20">
      <c r="B20" s="13" t="inlineStr">
        <is>
          <t>Ram S4 Final</t>
        </is>
      </c>
      <c r="C20" s="8" t="inlineStr">
        <is>
          <t>Scheduled  -&gt;  Booked. Row is DONE.</t>
        </is>
      </c>
    </row>
    <row r="21">
      <c r="B21" s="13" t="inlineStr">
        <is>
          <t>Ram S4 Final</t>
        </is>
      </c>
      <c r="C21" s="8" t="inlineStr">
        <is>
          <t>Escalate to call  -&gt;  Auto-sends row to Shyam's call queue.</t>
        </is>
      </c>
    </row>
    <row r="22">
      <c r="B22" s="13" t="inlineStr">
        <is>
          <t>Shyam Call 1</t>
        </is>
      </c>
      <c r="C22" s="8" t="inlineStr">
        <is>
          <t>Scheduled on call  -&gt;  They booked while on call. DONE.</t>
        </is>
      </c>
    </row>
    <row r="23">
      <c r="B23" s="13" t="inlineStr">
        <is>
          <t>Shyam Call 1</t>
        </is>
      </c>
      <c r="C23" s="8" t="inlineStr">
        <is>
          <t>Booked on their behalf  -&gt;  You booked for them. DONE. Confirm by WhatsApp.</t>
        </is>
      </c>
    </row>
    <row r="24">
      <c r="B24" s="13" t="inlineStr">
        <is>
          <t>Shyam Call 1</t>
        </is>
      </c>
      <c r="C24" s="8" t="inlineStr">
        <is>
          <t>No answer  -&gt;  Send SMS, retry in next golden hour -&gt; Call 2.</t>
        </is>
      </c>
    </row>
    <row r="25">
      <c r="B25" s="13" t="inlineStr">
        <is>
          <t>Shyam Call 1</t>
        </is>
      </c>
      <c r="C25" s="8" t="inlineStr">
        <is>
          <t>Invalid number  -&gt;  Wrong number -&gt; escalate to lead for correct details.</t>
        </is>
      </c>
    </row>
    <row r="26">
      <c r="B26" s="13" t="inlineStr">
        <is>
          <t>Shyam Call 1</t>
        </is>
      </c>
      <c r="C26" s="8" t="inlineStr">
        <is>
          <t>Call later  -&gt;  They asked to be called later -&gt; Call 2 slot.</t>
        </is>
      </c>
    </row>
    <row r="27">
      <c r="B27" s="13" t="inlineStr">
        <is>
          <t>Shyam Call 1</t>
        </is>
      </c>
      <c r="C27" s="8" t="inlineStr">
        <is>
          <t>Not interested/Declined  -&gt;  Candidate dropped. CLOSED + tell lead.</t>
        </is>
      </c>
    </row>
    <row r="28">
      <c r="B28" s="13" t="inlineStr">
        <is>
          <t>Shyam Call 2</t>
        </is>
      </c>
      <c r="C28" s="8" t="inlineStr">
        <is>
          <t>Scheduled on call / Booked on their behalf  -&gt;  DONE.</t>
        </is>
      </c>
    </row>
    <row r="29">
      <c r="B29" s="13" t="inlineStr">
        <is>
          <t>Shyam Call 2</t>
        </is>
      </c>
      <c r="C29" s="8" t="inlineStr">
        <is>
          <t>Still no answer  -&gt;  Escalate to AM/lead before T+24h.</t>
        </is>
      </c>
    </row>
    <row r="30">
      <c r="B30" s="13" t="inlineStr">
        <is>
          <t>Shyam Call 2</t>
        </is>
      </c>
      <c r="C30" s="8" t="inlineStr">
        <is>
          <t>Escalate to AM  -&gt;  Lead takes over the last-mile attempt.</t>
        </is>
      </c>
    </row>
    <row r="31">
      <c r="B31" s="5" t="inlineStr">
        <is>
          <t>DEFINITIONS</t>
        </is>
      </c>
      <c r="C31" s="10" t="n"/>
    </row>
    <row r="32">
      <c r="B32" s="11" t="inlineStr">
        <is>
          <t>Golden hours</t>
        </is>
      </c>
      <c r="C32" s="12" t="inlineStr">
        <is>
          <t>Best call pickup times: 12:00-14:00 and 18:00-20:00.</t>
        </is>
      </c>
    </row>
    <row r="33">
      <c r="B33" s="11" t="inlineStr">
        <is>
          <t>Book on their behalf</t>
        </is>
      </c>
      <c r="C33" s="12" t="inlineStr">
        <is>
          <t>With verbal consent, you open Calendly and pick the slot for the candidate.</t>
        </is>
      </c>
    </row>
    <row r="34">
      <c r="B34" s="11" t="inlineStr">
        <is>
          <t>SLA</t>
        </is>
      </c>
      <c r="C34" s="12" t="inlineStr">
        <is>
          <t>Service Level Agreement = the 24h window from 'Added On' to schedule the interview.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9" customWidth="1" min="4" max="4"/>
    <col width="42" customWidth="1" min="5" max="5"/>
    <col width="16" customWidth="1" min="6" max="6"/>
    <col width="12" customWidth="1" min="7" max="7"/>
    <col width="11" customWidth="1" min="8" max="8"/>
    <col width="9" customWidth="1" min="9" max="9"/>
    <col width="15" customWidth="1" min="10" max="10"/>
    <col width="22" customWidth="1" min="11" max="11"/>
    <col width="26" customWidth="1" min="12" max="12"/>
    <col width="6" customWidth="1" min="13" max="13"/>
    <col width="12" customWidth="1" min="14" max="14"/>
    <col width="14" customWidth="1" min="15" max="15"/>
    <col width="10" customWidth="1" min="16" max="16"/>
    <col width="14" customWidth="1" min="17" max="17"/>
    <col width="16" customWidth="1" min="18" max="18"/>
    <col width="22" customWidth="1" min="19" max="19"/>
  </cols>
  <sheetData>
    <row r="1">
      <c r="A1" s="14" t="inlineStr">
        <is>
          <t>Req ID</t>
        </is>
      </c>
      <c r="B1" s="14" t="inlineStr">
        <is>
          <t>Added On</t>
        </is>
      </c>
      <c r="C1" s="14" t="inlineStr">
        <is>
          <t>SLA Deadline</t>
        </is>
      </c>
      <c r="D1" s="14" t="inlineStr">
        <is>
          <t>Hours Left</t>
        </is>
      </c>
      <c r="E1" s="14" t="inlineStr">
        <is>
          <t>NEXT STEP</t>
        </is>
      </c>
      <c r="F1" s="14" t="inlineStr">
        <is>
          <t>Do By</t>
        </is>
      </c>
      <c r="G1" s="14" t="inlineStr">
        <is>
          <t>Candidate</t>
        </is>
      </c>
      <c r="H1" s="14" t="inlineStr">
        <is>
          <t>Company</t>
        </is>
      </c>
      <c r="I1" s="14" t="inlineStr">
        <is>
          <t>Round</t>
        </is>
      </c>
      <c r="J1" s="14" t="inlineStr">
        <is>
          <t>Phone</t>
        </is>
      </c>
      <c r="K1" s="14" t="inlineStr">
        <is>
          <t>Email</t>
        </is>
      </c>
      <c r="L1" s="14" t="inlineStr">
        <is>
          <t>Calendly Link (this round)</t>
        </is>
      </c>
      <c r="M1" s="14" t="inlineStr">
        <is>
          <t>Dup?</t>
        </is>
      </c>
      <c r="N1" s="14" t="inlineStr">
        <is>
          <t>S1 Blast</t>
        </is>
      </c>
      <c r="O1" s="14" t="inlineStr">
        <is>
          <t>S2 Calendly Check</t>
        </is>
      </c>
      <c r="P1" s="14" t="inlineStr">
        <is>
          <t>S3 Nudge</t>
        </is>
      </c>
      <c r="Q1" s="14" t="inlineStr">
        <is>
          <t>S4 Final Check</t>
        </is>
      </c>
      <c r="R1" s="14" t="inlineStr">
        <is>
          <t>Ram Status</t>
        </is>
      </c>
      <c r="S1" s="14" t="inlineStr">
        <is>
          <t>Notes</t>
        </is>
      </c>
    </row>
    <row r="2">
      <c r="A2" s="15" t="inlineStr">
        <is>
          <t>REQ-0001</t>
        </is>
      </c>
      <c r="B2" s="16" t="n">
        <v>44867.45208333333</v>
      </c>
      <c r="C2" s="16">
        <f>B2+1</f>
        <v/>
      </c>
      <c r="D2" s="17">
        <f>(C2-NOW())*24</f>
        <v/>
      </c>
      <c r="E2" s="15">
        <f>IF(N2="","STEP 1: Send WhatsApp + Email blast now (Playbook M1)",IF(N2="Bad contact","STOP: report bad contact to lead (Playbook)",IF(O2="Scheduled","DONE: scheduled via Calendly",IF(O2="","STEP 2: Check Calendly now",IF(P2="","STEP 3: Send WhatsApp nudge (Playbook M2)",IF(Q2="Scheduled","DONE: scheduled via Calendly",IF(Q2="Escalate to call","HANDED to Shyam (call queue)","STEP 4: Final Calendly check")))))))</f>
        <v/>
      </c>
      <c r="F2" s="16">
        <f>IF(N2="",B2,IF(O2="",B2+2/24,IF(AND(O2="Not yet",P2=""),B2+2/24,IF(Q2="",B2+4/24,""))))</f>
        <v/>
      </c>
      <c r="G2" s="15" t="inlineStr">
        <is>
          <t>Chetan</t>
        </is>
      </c>
      <c r="H2" s="15" t="inlineStr">
        <is>
          <t>FB</t>
        </is>
      </c>
      <c r="I2" s="15" t="inlineStr">
        <is>
          <t>Round2</t>
        </is>
      </c>
      <c r="J2" s="18" t="inlineStr">
        <is>
          <t>+91 9920264452</t>
        </is>
      </c>
      <c r="K2" s="15" t="inlineStr">
        <is>
          <t>chetan@weekday.works</t>
        </is>
      </c>
      <c r="L2" s="15" t="inlineStr">
        <is>
          <t>&lt;calendly_link&gt;</t>
        </is>
      </c>
      <c r="M2" s="15" t="inlineStr">
        <is>
          <t>Yes</t>
        </is>
      </c>
      <c r="N2" s="15" t="n"/>
      <c r="O2" s="15" t="n"/>
      <c r="P2" s="15" t="n"/>
      <c r="Q2" s="15" t="n"/>
      <c r="R2" s="15">
        <f>IF(OR(O2="Scheduled",Q2="Scheduled"),"SCHEDULED",IF(Q2="Escalate to call","ESCALATED TO CALL",IF(N2="Bad contact","BAD CONTACT",IF(N2="","NOT STARTED","IN PROGRESS"))))</f>
        <v/>
      </c>
      <c r="S2" s="15" t="n"/>
    </row>
    <row r="3">
      <c r="A3" s="19" t="inlineStr">
        <is>
          <t>REQ-0002</t>
        </is>
      </c>
      <c r="B3" s="20" t="n">
        <v>44867.49375</v>
      </c>
      <c r="C3" s="20">
        <f>B3+1</f>
        <v/>
      </c>
      <c r="D3" s="21">
        <f>(C3-NOW())*24</f>
        <v/>
      </c>
      <c r="E3" s="19">
        <f>IF(N3="","STEP 1: Send WhatsApp + Email blast now (Playbook M1)",IF(N3="Bad contact","STOP: report bad contact to lead (Playbook)",IF(O3="Scheduled","DONE: scheduled via Calendly",IF(O3="","STEP 2: Check Calendly now",IF(P3="","STEP 3: Send WhatsApp nudge (Playbook M2)",IF(Q3="Scheduled","DONE: scheduled via Calendly",IF(Q3="Escalate to call","HANDED to Shyam (call queue)","STEP 4: Final Calendly check")))))))</f>
        <v/>
      </c>
      <c r="F3" s="20">
        <f>IF(N3="",B3,IF(O3="",B3+2/24,IF(AND(O3="Not yet",P3=""),B3+2/24,IF(Q3="",B3+4/24,""))))</f>
        <v/>
      </c>
      <c r="G3" s="19" t="inlineStr">
        <is>
          <t>Chetan</t>
        </is>
      </c>
      <c r="H3" s="19" t="inlineStr">
        <is>
          <t>Tesla</t>
        </is>
      </c>
      <c r="I3" s="19" t="inlineStr">
        <is>
          <t>Round3</t>
        </is>
      </c>
      <c r="J3" s="22" t="inlineStr">
        <is>
          <t>+91 9920264452</t>
        </is>
      </c>
      <c r="K3" s="19" t="inlineStr">
        <is>
          <t>chetan@weekday.works</t>
        </is>
      </c>
      <c r="L3" s="19" t="inlineStr">
        <is>
          <t>&lt;calendly_link&gt;</t>
        </is>
      </c>
      <c r="M3" s="19" t="inlineStr"/>
      <c r="N3" s="19" t="n"/>
      <c r="O3" s="19" t="n"/>
      <c r="P3" s="19" t="n"/>
      <c r="Q3" s="19" t="n"/>
      <c r="R3" s="19">
        <f>IF(OR(O3="Scheduled",Q3="Scheduled"),"SCHEDULED",IF(Q3="Escalate to call","ESCALATED TO CALL",IF(N3="Bad contact","BAD CONTACT",IF(N3="","NOT STARTED","IN PROGRESS"))))</f>
        <v/>
      </c>
      <c r="S3" s="19" t="n"/>
    </row>
    <row r="4">
      <c r="A4" s="15" t="inlineStr">
        <is>
          <t>REQ-0003</t>
        </is>
      </c>
      <c r="B4" s="16" t="n">
        <v>44867.61875</v>
      </c>
      <c r="C4" s="16">
        <f>B4+1</f>
        <v/>
      </c>
      <c r="D4" s="17">
        <f>(C4-NOW())*24</f>
        <v/>
      </c>
      <c r="E4" s="15">
        <f>IF(N4="","STEP 1: Send WhatsApp + Email blast now (Playbook M1)",IF(N4="Bad contact","STOP: report bad contact to lead (Playbook)",IF(O4="Scheduled","DONE: scheduled via Calendly",IF(O4="","STEP 2: Check Calendly now",IF(P4="","STEP 3: Send WhatsApp nudge (Playbook M2)",IF(Q4="Scheduled","DONE: scheduled via Calendly",IF(Q4="Escalate to call","HANDED to Shyam (call queue)","STEP 4: Final Calendly check")))))))</f>
        <v/>
      </c>
      <c r="F4" s="16">
        <f>IF(N4="",B4,IF(O4="",B4+2/24,IF(AND(O4="Not yet",P4=""),B4+2/24,IF(Q4="",B4+4/24,""))))</f>
        <v/>
      </c>
      <c r="G4" s="15" t="inlineStr">
        <is>
          <t>Chetan</t>
        </is>
      </c>
      <c r="H4" s="15" t="inlineStr">
        <is>
          <t>Google</t>
        </is>
      </c>
      <c r="I4" s="15" t="inlineStr">
        <is>
          <t>Round1</t>
        </is>
      </c>
      <c r="J4" s="18" t="inlineStr">
        <is>
          <t>+91 9920264452</t>
        </is>
      </c>
      <c r="K4" s="15" t="inlineStr">
        <is>
          <t>chetan@weekday.works</t>
        </is>
      </c>
      <c r="L4" s="15" t="inlineStr">
        <is>
          <t>&lt;calendly_link&gt;</t>
        </is>
      </c>
      <c r="M4" s="15" t="inlineStr">
        <is>
          <t>Yes</t>
        </is>
      </c>
      <c r="N4" s="15" t="n"/>
      <c r="O4" s="15" t="n"/>
      <c r="P4" s="15" t="n"/>
      <c r="Q4" s="15" t="n"/>
      <c r="R4" s="15">
        <f>IF(OR(O4="Scheduled",Q4="Scheduled"),"SCHEDULED",IF(Q4="Escalate to call","ESCALATED TO CALL",IF(N4="Bad contact","BAD CONTACT",IF(N4="","NOT STARTED","IN PROGRESS"))))</f>
        <v/>
      </c>
      <c r="S4" s="15" t="n"/>
    </row>
    <row r="5">
      <c r="A5" s="19" t="inlineStr">
        <is>
          <t>REQ-0004</t>
        </is>
      </c>
      <c r="B5" s="20" t="n">
        <v>44867.69652777778</v>
      </c>
      <c r="C5" s="20">
        <f>B5+1</f>
        <v/>
      </c>
      <c r="D5" s="21">
        <f>(C5-NOW())*24</f>
        <v/>
      </c>
      <c r="E5" s="19">
        <f>IF(N5="","STEP 1: Send WhatsApp + Email blast now (Playbook M1)",IF(N5="Bad contact","STOP: report bad contact to lead (Playbook)",IF(O5="Scheduled","DONE: scheduled via Calendly",IF(O5="","STEP 2: Check Calendly now",IF(P5="","STEP 3: Send WhatsApp nudge (Playbook M2)",IF(Q5="Scheduled","DONE: scheduled via Calendly",IF(Q5="Escalate to call","HANDED to Shyam (call queue)","STEP 4: Final Calendly check")))))))</f>
        <v/>
      </c>
      <c r="F5" s="20">
        <f>IF(N5="",B5,IF(O5="",B5+2/24,IF(AND(O5="Not yet",P5=""),B5+2/24,IF(Q5="",B5+4/24,""))))</f>
        <v/>
      </c>
      <c r="G5" s="19" t="inlineStr">
        <is>
          <t>Chetan</t>
        </is>
      </c>
      <c r="H5" s="19" t="inlineStr">
        <is>
          <t>Tesla</t>
        </is>
      </c>
      <c r="I5" s="19" t="inlineStr">
        <is>
          <t>Round2</t>
        </is>
      </c>
      <c r="J5" s="22" t="inlineStr">
        <is>
          <t>+91 9920264452</t>
        </is>
      </c>
      <c r="K5" s="19" t="inlineStr">
        <is>
          <t>chetan@weekday.works</t>
        </is>
      </c>
      <c r="L5" s="19" t="inlineStr">
        <is>
          <t>&lt;calendly_link&gt;</t>
        </is>
      </c>
      <c r="M5" s="19" t="inlineStr"/>
      <c r="N5" s="19" t="n"/>
      <c r="O5" s="19" t="n"/>
      <c r="P5" s="19" t="n"/>
      <c r="Q5" s="19" t="n"/>
      <c r="R5" s="19">
        <f>IF(OR(O5="Scheduled",Q5="Scheduled"),"SCHEDULED",IF(Q5="Escalate to call","ESCALATED TO CALL",IF(N5="Bad contact","BAD CONTACT",IF(N5="","NOT STARTED","IN PROGRESS"))))</f>
        <v/>
      </c>
      <c r="S5" s="19" t="n"/>
    </row>
    <row r="6">
      <c r="A6" s="19" t="inlineStr">
        <is>
          <t>REQ-0005</t>
        </is>
      </c>
      <c r="B6" s="20" t="n">
        <v>44867.70208333333</v>
      </c>
      <c r="C6" s="20">
        <f>B6+1</f>
        <v/>
      </c>
      <c r="D6" s="21">
        <f>(C6-NOW())*24</f>
        <v/>
      </c>
      <c r="E6" s="19">
        <f>IF(N6="","STEP 1: Send WhatsApp + Email blast now (Playbook M1)",IF(N6="Bad contact","STOP: report bad contact to lead (Playbook)",IF(O6="Scheduled","DONE: scheduled via Calendly",IF(O6="","STEP 2: Check Calendly now",IF(P6="","STEP 3: Send WhatsApp nudge (Playbook M2)",IF(Q6="Scheduled","DONE: scheduled via Calendly",IF(Q6="Escalate to call","HANDED to Shyam (call queue)","STEP 4: Final Calendly check")))))))</f>
        <v/>
      </c>
      <c r="F6" s="20">
        <f>IF(N6="",B6,IF(O6="",B6+2/24,IF(AND(O6="Not yet",P6=""),B6+2/24,IF(Q6="",B6+4/24,""))))</f>
        <v/>
      </c>
      <c r="G6" s="19" t="inlineStr">
        <is>
          <t>Chetan</t>
        </is>
      </c>
      <c r="H6" s="19" t="inlineStr">
        <is>
          <t>FB</t>
        </is>
      </c>
      <c r="I6" s="19" t="inlineStr">
        <is>
          <t>Round1</t>
        </is>
      </c>
      <c r="J6" s="22" t="inlineStr">
        <is>
          <t>+91 9920264452</t>
        </is>
      </c>
      <c r="K6" s="19" t="inlineStr">
        <is>
          <t>chetan@weekday.works</t>
        </is>
      </c>
      <c r="L6" s="19" t="inlineStr">
        <is>
          <t>&lt;calendly_link&gt;</t>
        </is>
      </c>
      <c r="M6" s="19" t="inlineStr"/>
      <c r="N6" s="19" t="n"/>
      <c r="O6" s="19" t="n"/>
      <c r="P6" s="19" t="n"/>
      <c r="Q6" s="19" t="n"/>
      <c r="R6" s="19">
        <f>IF(OR(O6="Scheduled",Q6="Scheduled"),"SCHEDULED",IF(Q6="Escalate to call","ESCALATED TO CALL",IF(N6="Bad contact","BAD CONTACT",IF(N6="","NOT STARTED","IN PROGRESS"))))</f>
        <v/>
      </c>
      <c r="S6" s="19" t="n"/>
    </row>
    <row r="7">
      <c r="A7" s="15" t="inlineStr">
        <is>
          <t>REQ-0006</t>
        </is>
      </c>
      <c r="B7" s="16" t="n">
        <v>44867.78958333333</v>
      </c>
      <c r="C7" s="16">
        <f>B7+1</f>
        <v/>
      </c>
      <c r="D7" s="17">
        <f>(C7-NOW())*24</f>
        <v/>
      </c>
      <c r="E7" s="15">
        <f>IF(N7="","STEP 1: Send WhatsApp + Email blast now (Playbook M1)",IF(N7="Bad contact","STOP: report bad contact to lead (Playbook)",IF(O7="Scheduled","DONE: scheduled via Calendly",IF(O7="","STEP 2: Check Calendly now",IF(P7="","STEP 3: Send WhatsApp nudge (Playbook M2)",IF(Q7="Scheduled","DONE: scheduled via Calendly",IF(Q7="Escalate to call","HANDED to Shyam (call queue)","STEP 4: Final Calendly check")))))))</f>
        <v/>
      </c>
      <c r="F7" s="16">
        <f>IF(N7="",B7,IF(O7="",B7+2/24,IF(AND(O7="Not yet",P7=""),B7+2/24,IF(Q7="",B7+4/24,""))))</f>
        <v/>
      </c>
      <c r="G7" s="15" t="inlineStr">
        <is>
          <t>Chetan</t>
        </is>
      </c>
      <c r="H7" s="15" t="inlineStr">
        <is>
          <t>Google</t>
        </is>
      </c>
      <c r="I7" s="15" t="inlineStr">
        <is>
          <t>Round1</t>
        </is>
      </c>
      <c r="J7" s="18" t="inlineStr">
        <is>
          <t>+91 9920264452</t>
        </is>
      </c>
      <c r="K7" s="15" t="inlineStr">
        <is>
          <t>chetan@weekday.works</t>
        </is>
      </c>
      <c r="L7" s="15" t="inlineStr">
        <is>
          <t>&lt;calendly_link&gt;</t>
        </is>
      </c>
      <c r="M7" s="15" t="inlineStr">
        <is>
          <t>Yes</t>
        </is>
      </c>
      <c r="N7" s="15" t="n"/>
      <c r="O7" s="15" t="n"/>
      <c r="P7" s="15" t="n"/>
      <c r="Q7" s="15" t="n"/>
      <c r="R7" s="15">
        <f>IF(OR(O7="Scheduled",Q7="Scheduled"),"SCHEDULED",IF(Q7="Escalate to call","ESCALATED TO CALL",IF(N7="Bad contact","BAD CONTACT",IF(N7="","NOT STARTED","IN PROGRESS"))))</f>
        <v/>
      </c>
      <c r="S7" s="15" t="n"/>
    </row>
    <row r="8">
      <c r="A8" s="19" t="inlineStr">
        <is>
          <t>REQ-0007</t>
        </is>
      </c>
      <c r="B8" s="20" t="n">
        <v>44867.79930555556</v>
      </c>
      <c r="C8" s="20">
        <f>B8+1</f>
        <v/>
      </c>
      <c r="D8" s="21">
        <f>(C8-NOW())*24</f>
        <v/>
      </c>
      <c r="E8" s="19">
        <f>IF(N8="","STEP 1: Send WhatsApp + Email blast now (Playbook M1)",IF(N8="Bad contact","STOP: report bad contact to lead (Playbook)",IF(O8="Scheduled","DONE: scheduled via Calendly",IF(O8="","STEP 2: Check Calendly now",IF(P8="","STEP 3: Send WhatsApp nudge (Playbook M2)",IF(Q8="Scheduled","DONE: scheduled via Calendly",IF(Q8="Escalate to call","HANDED to Shyam (call queue)","STEP 4: Final Calendly check")))))))</f>
        <v/>
      </c>
      <c r="F8" s="20">
        <f>IF(N8="",B8,IF(O8="",B8+2/24,IF(AND(O8="Not yet",P8=""),B8+2/24,IF(Q8="",B8+4/24,""))))</f>
        <v/>
      </c>
      <c r="G8" s="19" t="inlineStr">
        <is>
          <t>Chetan</t>
        </is>
      </c>
      <c r="H8" s="19" t="inlineStr">
        <is>
          <t>FB</t>
        </is>
      </c>
      <c r="I8" s="19" t="inlineStr">
        <is>
          <t>Round2</t>
        </is>
      </c>
      <c r="J8" s="22" t="inlineStr">
        <is>
          <t>+91 9920264452</t>
        </is>
      </c>
      <c r="K8" s="19" t="inlineStr">
        <is>
          <t>chetan@weekday.works</t>
        </is>
      </c>
      <c r="L8" s="19" t="inlineStr">
        <is>
          <t>&lt;calendly_link&gt;</t>
        </is>
      </c>
      <c r="M8" s="19" t="inlineStr"/>
      <c r="N8" s="19" t="n"/>
      <c r="O8" s="19" t="n"/>
      <c r="P8" s="19" t="n"/>
      <c r="Q8" s="19" t="n"/>
      <c r="R8" s="19">
        <f>IF(OR(O8="Scheduled",Q8="Scheduled"),"SCHEDULED",IF(Q8="Escalate to call","ESCALATED TO CALL",IF(N8="Bad contact","BAD CONTACT",IF(N8="","NOT STARTED","IN PROGRESS"))))</f>
        <v/>
      </c>
      <c r="S8" s="19" t="n"/>
    </row>
    <row r="9">
      <c r="A9" s="15" t="inlineStr">
        <is>
          <t>REQ-0008</t>
        </is>
      </c>
      <c r="B9" s="16" t="n">
        <v>44867.80625</v>
      </c>
      <c r="C9" s="16">
        <f>B9+1</f>
        <v/>
      </c>
      <c r="D9" s="17">
        <f>(C9-NOW())*24</f>
        <v/>
      </c>
      <c r="E9" s="15">
        <f>IF(N9="","STEP 1: Send WhatsApp + Email blast now (Playbook M1)",IF(N9="Bad contact","STOP: report bad contact to lead (Playbook)",IF(O9="Scheduled","DONE: scheduled via Calendly",IF(O9="","STEP 2: Check Calendly now",IF(P9="","STEP 3: Send WhatsApp nudge (Playbook M2)",IF(Q9="Scheduled","DONE: scheduled via Calendly",IF(Q9="Escalate to call","HANDED to Shyam (call queue)","STEP 4: Final Calendly check")))))))</f>
        <v/>
      </c>
      <c r="F9" s="16">
        <f>IF(N9="",B9,IF(O9="",B9+2/24,IF(AND(O9="Not yet",P9=""),B9+2/24,IF(Q9="",B9+4/24,""))))</f>
        <v/>
      </c>
      <c r="G9" s="15" t="inlineStr">
        <is>
          <t>Chetan</t>
        </is>
      </c>
      <c r="H9" s="15" t="inlineStr">
        <is>
          <t>FB</t>
        </is>
      </c>
      <c r="I9" s="15" t="inlineStr">
        <is>
          <t>Round1</t>
        </is>
      </c>
      <c r="J9" s="18" t="inlineStr">
        <is>
          <t>+91 9920264452</t>
        </is>
      </c>
      <c r="K9" s="15" t="inlineStr">
        <is>
          <t>chetan@weekday.works</t>
        </is>
      </c>
      <c r="L9" s="15" t="inlineStr">
        <is>
          <t>&lt;calendly_link&gt;</t>
        </is>
      </c>
      <c r="M9" s="15" t="inlineStr">
        <is>
          <t>Yes</t>
        </is>
      </c>
      <c r="N9" s="15" t="n"/>
      <c r="O9" s="15" t="n"/>
      <c r="P9" s="15" t="n"/>
      <c r="Q9" s="15" t="n"/>
      <c r="R9" s="15">
        <f>IF(OR(O9="Scheduled",Q9="Scheduled"),"SCHEDULED",IF(Q9="Escalate to call","ESCALATED TO CALL",IF(N9="Bad contact","BAD CONTACT",IF(N9="","NOT STARTED","IN PROGRESS"))))</f>
        <v/>
      </c>
      <c r="S9" s="15" t="n"/>
    </row>
    <row r="10">
      <c r="A10" s="19" t="inlineStr">
        <is>
          <t>REQ-0009</t>
        </is>
      </c>
      <c r="B10" s="20" t="n">
        <v>44867.82708333333</v>
      </c>
      <c r="C10" s="20">
        <f>B10+1</f>
        <v/>
      </c>
      <c r="D10" s="21">
        <f>(C10-NOW())*24</f>
        <v/>
      </c>
      <c r="E10" s="19">
        <f>IF(N10="","STEP 1: Send WhatsApp + Email blast now (Playbook M1)",IF(N10="Bad contact","STOP: report bad contact to lead (Playbook)",IF(O10="Scheduled","DONE: scheduled via Calendly",IF(O10="","STEP 2: Check Calendly now",IF(P10="","STEP 3: Send WhatsApp nudge (Playbook M2)",IF(Q10="Scheduled","DONE: scheduled via Calendly",IF(Q10="Escalate to call","HANDED to Shyam (call queue)","STEP 4: Final Calendly check")))))))</f>
        <v/>
      </c>
      <c r="F10" s="20">
        <f>IF(N10="",B10,IF(O10="",B10+2/24,IF(AND(O10="Not yet",P10=""),B10+2/24,IF(Q10="",B10+4/24,""))))</f>
        <v/>
      </c>
      <c r="G10" s="19" t="inlineStr">
        <is>
          <t>Chetan</t>
        </is>
      </c>
      <c r="H10" s="19" t="inlineStr">
        <is>
          <t>Google</t>
        </is>
      </c>
      <c r="I10" s="19" t="inlineStr">
        <is>
          <t>Round1</t>
        </is>
      </c>
      <c r="J10" s="22" t="inlineStr">
        <is>
          <t>+91 9920264452</t>
        </is>
      </c>
      <c r="K10" s="19" t="inlineStr">
        <is>
          <t>chetan@weekday.works</t>
        </is>
      </c>
      <c r="L10" s="19" t="inlineStr">
        <is>
          <t>&lt;calendly_link&gt;</t>
        </is>
      </c>
      <c r="M10" s="19" t="inlineStr"/>
      <c r="N10" s="19" t="n"/>
      <c r="O10" s="19" t="n"/>
      <c r="P10" s="19" t="n"/>
      <c r="Q10" s="19" t="n"/>
      <c r="R10" s="19">
        <f>IF(OR(O10="Scheduled",Q10="Scheduled"),"SCHEDULED",IF(Q10="Escalate to call","ESCALATED TO CALL",IF(N10="Bad contact","BAD CONTACT",IF(N10="","NOT STARTED","IN PROGRESS"))))</f>
        <v/>
      </c>
      <c r="S10" s="19" t="n"/>
    </row>
    <row r="11">
      <c r="A11" s="15" t="inlineStr">
        <is>
          <t>REQ-0010</t>
        </is>
      </c>
      <c r="B11" s="16" t="n">
        <v>44867.82708333333</v>
      </c>
      <c r="C11" s="16">
        <f>B11+1</f>
        <v/>
      </c>
      <c r="D11" s="17">
        <f>(C11-NOW())*24</f>
        <v/>
      </c>
      <c r="E11" s="15">
        <f>IF(N11="","STEP 1: Send WhatsApp + Email blast now (Playbook M1)",IF(N11="Bad contact","STOP: report bad contact to lead (Playbook)",IF(O11="Scheduled","DONE: scheduled via Calendly",IF(O11="","STEP 2: Check Calendly now",IF(P11="","STEP 3: Send WhatsApp nudge (Playbook M2)",IF(Q11="Scheduled","DONE: scheduled via Calendly",IF(Q11="Escalate to call","HANDED to Shyam (call queue)","STEP 4: Final Calendly check")))))))</f>
        <v/>
      </c>
      <c r="F11" s="16">
        <f>IF(N11="",B11,IF(O11="",B11+2/24,IF(AND(O11="Not yet",P11=""),B11+2/24,IF(Q11="",B11+4/24,""))))</f>
        <v/>
      </c>
      <c r="G11" s="15" t="inlineStr">
        <is>
          <t>Chetan</t>
        </is>
      </c>
      <c r="H11" s="15" t="inlineStr">
        <is>
          <t>FB</t>
        </is>
      </c>
      <c r="I11" s="15" t="inlineStr">
        <is>
          <t>Round2</t>
        </is>
      </c>
      <c r="J11" s="18" t="inlineStr">
        <is>
          <t>+91 9920264452</t>
        </is>
      </c>
      <c r="K11" s="15" t="inlineStr">
        <is>
          <t>chetan@weekday.works</t>
        </is>
      </c>
      <c r="L11" s="15" t="inlineStr">
        <is>
          <t>&lt;calendly_link&gt;</t>
        </is>
      </c>
      <c r="M11" s="15" t="inlineStr">
        <is>
          <t>Yes</t>
        </is>
      </c>
      <c r="N11" s="15" t="n"/>
      <c r="O11" s="15" t="n"/>
      <c r="P11" s="15" t="n"/>
      <c r="Q11" s="15" t="n"/>
      <c r="R11" s="15">
        <f>IF(OR(O11="Scheduled",Q11="Scheduled"),"SCHEDULED",IF(Q11="Escalate to call","ESCALATED TO CALL",IF(N11="Bad contact","BAD CONTACT",IF(N11="","NOT STARTED","IN PROGRESS"))))</f>
        <v/>
      </c>
      <c r="S11" s="15" t="n"/>
    </row>
    <row r="12">
      <c r="A12" s="19" t="inlineStr">
        <is>
          <t>REQ-0011</t>
        </is>
      </c>
      <c r="B12" s="20" t="n">
        <v>44867.82708333333</v>
      </c>
      <c r="C12" s="20">
        <f>B12+1</f>
        <v/>
      </c>
      <c r="D12" s="21">
        <f>(C12-NOW())*24</f>
        <v/>
      </c>
      <c r="E12" s="19">
        <f>IF(N12="","STEP 1: Send WhatsApp + Email blast now (Playbook M1)",IF(N12="Bad contact","STOP: report bad contact to lead (Playbook)",IF(O12="Scheduled","DONE: scheduled via Calendly",IF(O12="","STEP 2: Check Calendly now",IF(P12="","STEP 3: Send WhatsApp nudge (Playbook M2)",IF(Q12="Scheduled","DONE: scheduled via Calendly",IF(Q12="Escalate to call","HANDED to Shyam (call queue)","STEP 4: Final Calendly check")))))))</f>
        <v/>
      </c>
      <c r="F12" s="20">
        <f>IF(N12="",B12,IF(O12="",B12+2/24,IF(AND(O12="Not yet",P12=""),B12+2/24,IF(Q12="",B12+4/24,""))))</f>
        <v/>
      </c>
      <c r="G12" s="19" t="inlineStr">
        <is>
          <t>Chetan</t>
        </is>
      </c>
      <c r="H12" s="19" t="inlineStr">
        <is>
          <t>Tesla</t>
        </is>
      </c>
      <c r="I12" s="19" t="inlineStr">
        <is>
          <t>Round1</t>
        </is>
      </c>
      <c r="J12" s="22" t="inlineStr">
        <is>
          <t>+91 9920264452</t>
        </is>
      </c>
      <c r="K12" s="19" t="inlineStr">
        <is>
          <t>chetan@weekday.works</t>
        </is>
      </c>
      <c r="L12" s="19" t="inlineStr">
        <is>
          <t>&lt;calendly_link&gt;</t>
        </is>
      </c>
      <c r="M12" s="19" t="inlineStr"/>
      <c r="N12" s="19" t="n"/>
      <c r="O12" s="19" t="n"/>
      <c r="P12" s="19" t="n"/>
      <c r="Q12" s="19" t="n"/>
      <c r="R12" s="19">
        <f>IF(OR(O12="Scheduled",Q12="Scheduled"),"SCHEDULED",IF(Q12="Escalate to call","ESCALATED TO CALL",IF(N12="Bad contact","BAD CONTACT",IF(N12="","NOT STARTED","IN PROGRESS"))))</f>
        <v/>
      </c>
      <c r="S12" s="19" t="n"/>
    </row>
    <row r="13">
      <c r="A13" s="15" t="inlineStr">
        <is>
          <t>REQ-0012</t>
        </is>
      </c>
      <c r="B13" s="16" t="n">
        <v>44867.82708333333</v>
      </c>
      <c r="C13" s="16">
        <f>B13+1</f>
        <v/>
      </c>
      <c r="D13" s="17">
        <f>(C13-NOW())*24</f>
        <v/>
      </c>
      <c r="E13" s="15">
        <f>IF(N13="","STEP 1: Send WhatsApp + Email blast now (Playbook M1)",IF(N13="Bad contact","STOP: report bad contact to lead (Playbook)",IF(O13="Scheduled","DONE: scheduled via Calendly",IF(O13="","STEP 2: Check Calendly now",IF(P13="","STEP 3: Send WhatsApp nudge (Playbook M2)",IF(Q13="Scheduled","DONE: scheduled via Calendly",IF(Q13="Escalate to call","HANDED to Shyam (call queue)","STEP 4: Final Calendly check")))))))</f>
        <v/>
      </c>
      <c r="F13" s="16">
        <f>IF(N13="",B13,IF(O13="",B13+2/24,IF(AND(O13="Not yet",P13=""),B13+2/24,IF(Q13="",B13+4/24,""))))</f>
        <v/>
      </c>
      <c r="G13" s="15" t="inlineStr">
        <is>
          <t>Chetan</t>
        </is>
      </c>
      <c r="H13" s="15" t="inlineStr">
        <is>
          <t>Tesla</t>
        </is>
      </c>
      <c r="I13" s="15" t="inlineStr">
        <is>
          <t>Round1</t>
        </is>
      </c>
      <c r="J13" s="18" t="inlineStr">
        <is>
          <t>+91 9920264452</t>
        </is>
      </c>
      <c r="K13" s="15" t="inlineStr">
        <is>
          <t>chetan@weekday.works</t>
        </is>
      </c>
      <c r="L13" s="15" t="inlineStr">
        <is>
          <t>&lt;calendly_link&gt;</t>
        </is>
      </c>
      <c r="M13" s="15" t="inlineStr">
        <is>
          <t>Yes</t>
        </is>
      </c>
      <c r="N13" s="15" t="n"/>
      <c r="O13" s="15" t="n"/>
      <c r="P13" s="15" t="n"/>
      <c r="Q13" s="15" t="n"/>
      <c r="R13" s="15">
        <f>IF(OR(O13="Scheduled",Q13="Scheduled"),"SCHEDULED",IF(Q13="Escalate to call","ESCALATED TO CALL",IF(N13="Bad contact","BAD CONTACT",IF(N13="","NOT STARTED","IN PROGRESS"))))</f>
        <v/>
      </c>
      <c r="S13" s="15" t="n"/>
    </row>
    <row r="14">
      <c r="A14" s="15" t="inlineStr">
        <is>
          <t>REQ-0013</t>
        </is>
      </c>
      <c r="B14" s="16" t="n">
        <v>44867.82708333333</v>
      </c>
      <c r="C14" s="16">
        <f>B14+1</f>
        <v/>
      </c>
      <c r="D14" s="17">
        <f>(C14-NOW())*24</f>
        <v/>
      </c>
      <c r="E14" s="15">
        <f>IF(N14="","STEP 1: Send WhatsApp + Email blast now (Playbook M1)",IF(N14="Bad contact","STOP: report bad contact to lead (Playbook)",IF(O14="Scheduled","DONE: scheduled via Calendly",IF(O14="","STEP 2: Check Calendly now",IF(P14="","STEP 3: Send WhatsApp nudge (Playbook M2)",IF(Q14="Scheduled","DONE: scheduled via Calendly",IF(Q14="Escalate to call","HANDED to Shyam (call queue)","STEP 4: Final Calendly check")))))))</f>
        <v/>
      </c>
      <c r="F14" s="16">
        <f>IF(N14="",B14,IF(O14="",B14+2/24,IF(AND(O14="Not yet",P14=""),B14+2/24,IF(Q14="",B14+4/24,""))))</f>
        <v/>
      </c>
      <c r="G14" s="15" t="inlineStr">
        <is>
          <t>Chetan</t>
        </is>
      </c>
      <c r="H14" s="15" t="inlineStr">
        <is>
          <t>Tesla</t>
        </is>
      </c>
      <c r="I14" s="15" t="inlineStr">
        <is>
          <t>Round2</t>
        </is>
      </c>
      <c r="J14" s="18" t="inlineStr">
        <is>
          <t>+91 9920264452</t>
        </is>
      </c>
      <c r="K14" s="15" t="inlineStr">
        <is>
          <t>chetan@weekday.works</t>
        </is>
      </c>
      <c r="L14" s="15" t="inlineStr">
        <is>
          <t>&lt;calendly_link&gt;</t>
        </is>
      </c>
      <c r="M14" s="15" t="inlineStr">
        <is>
          <t>Yes</t>
        </is>
      </c>
      <c r="N14" s="15" t="n"/>
      <c r="O14" s="15" t="n"/>
      <c r="P14" s="15" t="n"/>
      <c r="Q14" s="15" t="n"/>
      <c r="R14" s="15">
        <f>IF(OR(O14="Scheduled",Q14="Scheduled"),"SCHEDULED",IF(Q14="Escalate to call","ESCALATED TO CALL",IF(N14="Bad contact","BAD CONTACT",IF(N14="","NOT STARTED","IN PROGRESS"))))</f>
        <v/>
      </c>
      <c r="S14" s="15" t="n"/>
    </row>
    <row r="15">
      <c r="A15" s="15" t="inlineStr">
        <is>
          <t>REQ-0014</t>
        </is>
      </c>
      <c r="B15" s="16" t="n">
        <v>44867.82708333333</v>
      </c>
      <c r="C15" s="16">
        <f>B15+1</f>
        <v/>
      </c>
      <c r="D15" s="17">
        <f>(C15-NOW())*24</f>
        <v/>
      </c>
      <c r="E15" s="15">
        <f>IF(N15="","STEP 1: Send WhatsApp + Email blast now (Playbook M1)",IF(N15="Bad contact","STOP: report bad contact to lead (Playbook)",IF(O15="Scheduled","DONE: scheduled via Calendly",IF(O15="","STEP 2: Check Calendly now",IF(P15="","STEP 3: Send WhatsApp nudge (Playbook M2)",IF(Q15="Scheduled","DONE: scheduled via Calendly",IF(Q15="Escalate to call","HANDED to Shyam (call queue)","STEP 4: Final Calendly check")))))))</f>
        <v/>
      </c>
      <c r="F15" s="16">
        <f>IF(N15="",B15,IF(O15="",B15+2/24,IF(AND(O15="Not yet",P15=""),B15+2/24,IF(Q15="",B15+4/24,""))))</f>
        <v/>
      </c>
      <c r="G15" s="15" t="inlineStr">
        <is>
          <t>Chetan</t>
        </is>
      </c>
      <c r="H15" s="15" t="inlineStr">
        <is>
          <t>Tesla</t>
        </is>
      </c>
      <c r="I15" s="15" t="inlineStr">
        <is>
          <t>Round1</t>
        </is>
      </c>
      <c r="J15" s="18" t="inlineStr">
        <is>
          <t>+91 9920264452</t>
        </is>
      </c>
      <c r="K15" s="15" t="inlineStr">
        <is>
          <t>chetan@weekday.works</t>
        </is>
      </c>
      <c r="L15" s="15" t="inlineStr">
        <is>
          <t>&lt;calendly_link&gt;</t>
        </is>
      </c>
      <c r="M15" s="15" t="inlineStr">
        <is>
          <t>Yes</t>
        </is>
      </c>
      <c r="N15" s="15" t="n"/>
      <c r="O15" s="15" t="n"/>
      <c r="P15" s="15" t="n"/>
      <c r="Q15" s="15" t="n"/>
      <c r="R15" s="15">
        <f>IF(OR(O15="Scheduled",Q15="Scheduled"),"SCHEDULED",IF(Q15="Escalate to call","ESCALATED TO CALL",IF(N15="Bad contact","BAD CONTACT",IF(N15="","NOT STARTED","IN PROGRESS"))))</f>
        <v/>
      </c>
      <c r="S15" s="15" t="n"/>
    </row>
    <row r="16">
      <c r="A16" s="15" t="inlineStr">
        <is>
          <t>REQ-0015</t>
        </is>
      </c>
      <c r="B16" s="16" t="n">
        <v>44867.82708333333</v>
      </c>
      <c r="C16" s="16">
        <f>B16+1</f>
        <v/>
      </c>
      <c r="D16" s="17">
        <f>(C16-NOW())*24</f>
        <v/>
      </c>
      <c r="E16" s="15">
        <f>IF(N16="","STEP 1: Send WhatsApp + Email blast now (Playbook M1)",IF(N16="Bad contact","STOP: report bad contact to lead (Playbook)",IF(O16="Scheduled","DONE: scheduled via Calendly",IF(O16="","STEP 2: Check Calendly now",IF(P16="","STEP 3: Send WhatsApp nudge (Playbook M2)",IF(Q16="Scheduled","DONE: scheduled via Calendly",IF(Q16="Escalate to call","HANDED to Shyam (call queue)","STEP 4: Final Calendly check")))))))</f>
        <v/>
      </c>
      <c r="F16" s="16">
        <f>IF(N16="",B16,IF(O16="",B16+2/24,IF(AND(O16="Not yet",P16=""),B16+2/24,IF(Q16="",B16+4/24,""))))</f>
        <v/>
      </c>
      <c r="G16" s="15" t="inlineStr">
        <is>
          <t>Chetan</t>
        </is>
      </c>
      <c r="H16" s="15" t="inlineStr">
        <is>
          <t>Tesla</t>
        </is>
      </c>
      <c r="I16" s="15" t="inlineStr">
        <is>
          <t>Round1</t>
        </is>
      </c>
      <c r="J16" s="18" t="inlineStr">
        <is>
          <t>+91 9920264452</t>
        </is>
      </c>
      <c r="K16" s="15" t="inlineStr">
        <is>
          <t>chetan@weekday.works</t>
        </is>
      </c>
      <c r="L16" s="15" t="inlineStr">
        <is>
          <t>&lt;calendly_link&gt;</t>
        </is>
      </c>
      <c r="M16" s="15" t="inlineStr">
        <is>
          <t>Yes</t>
        </is>
      </c>
      <c r="N16" s="15" t="n"/>
      <c r="O16" s="15" t="n"/>
      <c r="P16" s="15" t="n"/>
      <c r="Q16" s="15" t="n"/>
      <c r="R16" s="15">
        <f>IF(OR(O16="Scheduled",Q16="Scheduled"),"SCHEDULED",IF(Q16="Escalate to call","ESCALATED TO CALL",IF(N16="Bad contact","BAD CONTACT",IF(N16="","NOT STARTED","IN PROGRESS"))))</f>
        <v/>
      </c>
      <c r="S16" s="15" t="n"/>
    </row>
    <row r="17">
      <c r="A17" s="15" t="inlineStr">
        <is>
          <t>REQ-0016</t>
        </is>
      </c>
      <c r="B17" s="16" t="n">
        <v>44867.82708333333</v>
      </c>
      <c r="C17" s="16">
        <f>B17+1</f>
        <v/>
      </c>
      <c r="D17" s="17">
        <f>(C17-NOW())*24</f>
        <v/>
      </c>
      <c r="E17" s="15">
        <f>IF(N17="","STEP 1: Send WhatsApp + Email blast now (Playbook M1)",IF(N17="Bad contact","STOP: report bad contact to lead (Playbook)",IF(O17="Scheduled","DONE: scheduled via Calendly",IF(O17="","STEP 2: Check Calendly now",IF(P17="","STEP 3: Send WhatsApp nudge (Playbook M2)",IF(Q17="Scheduled","DONE: scheduled via Calendly",IF(Q17="Escalate to call","HANDED to Shyam (call queue)","STEP 4: Final Calendly check")))))))</f>
        <v/>
      </c>
      <c r="F17" s="16">
        <f>IF(N17="",B17,IF(O17="",B17+2/24,IF(AND(O17="Not yet",P17=""),B17+2/24,IF(Q17="",B17+4/24,""))))</f>
        <v/>
      </c>
      <c r="G17" s="15" t="inlineStr">
        <is>
          <t>Chetan</t>
        </is>
      </c>
      <c r="H17" s="15" t="inlineStr">
        <is>
          <t>Google</t>
        </is>
      </c>
      <c r="I17" s="15" t="inlineStr">
        <is>
          <t>Round1</t>
        </is>
      </c>
      <c r="J17" s="18" t="inlineStr">
        <is>
          <t>+91 9920264452</t>
        </is>
      </c>
      <c r="K17" s="15" t="inlineStr">
        <is>
          <t>chetan@weekday.works</t>
        </is>
      </c>
      <c r="L17" s="15" t="inlineStr">
        <is>
          <t>&lt;calendly_link&gt;</t>
        </is>
      </c>
      <c r="M17" s="15" t="inlineStr">
        <is>
          <t>Yes</t>
        </is>
      </c>
      <c r="N17" s="15" t="n"/>
      <c r="O17" s="15" t="n"/>
      <c r="P17" s="15" t="n"/>
      <c r="Q17" s="15" t="n"/>
      <c r="R17" s="15">
        <f>IF(OR(O17="Scheduled",Q17="Scheduled"),"SCHEDULED",IF(Q17="Escalate to call","ESCALATED TO CALL",IF(N17="Bad contact","BAD CONTACT",IF(N17="","NOT STARTED","IN PROGRESS"))))</f>
        <v/>
      </c>
      <c r="S17" s="15" t="n"/>
    </row>
    <row r="18">
      <c r="A18" s="19" t="inlineStr">
        <is>
          <t>REQ-0017</t>
        </is>
      </c>
      <c r="B18" s="20" t="n">
        <v>44867.82708333333</v>
      </c>
      <c r="C18" s="20">
        <f>B18+1</f>
        <v/>
      </c>
      <c r="D18" s="21">
        <f>(C18-NOW())*24</f>
        <v/>
      </c>
      <c r="E18" s="19">
        <f>IF(N18="","STEP 1: Send WhatsApp + Email blast now (Playbook M1)",IF(N18="Bad contact","STOP: report bad contact to lead (Playbook)",IF(O18="Scheduled","DONE: scheduled via Calendly",IF(O18="","STEP 2: Check Calendly now",IF(P18="","STEP 3: Send WhatsApp nudge (Playbook M2)",IF(Q18="Scheduled","DONE: scheduled via Calendly",IF(Q18="Escalate to call","HANDED to Shyam (call queue)","STEP 4: Final Calendly check")))))))</f>
        <v/>
      </c>
      <c r="F18" s="20">
        <f>IF(N18="",B18,IF(O18="",B18+2/24,IF(AND(O18="Not yet",P18=""),B18+2/24,IF(Q18="",B18+4/24,""))))</f>
        <v/>
      </c>
      <c r="G18" s="19" t="inlineStr">
        <is>
          <t>Chetan</t>
        </is>
      </c>
      <c r="H18" s="19" t="inlineStr">
        <is>
          <t>Google</t>
        </is>
      </c>
      <c r="I18" s="19" t="inlineStr">
        <is>
          <t>Round3</t>
        </is>
      </c>
      <c r="J18" s="22" t="inlineStr">
        <is>
          <t>+91 9920264452</t>
        </is>
      </c>
      <c r="K18" s="19" t="inlineStr">
        <is>
          <t>chetan@weekday.works</t>
        </is>
      </c>
      <c r="L18" s="19" t="inlineStr">
        <is>
          <t>&lt;calendly_link&gt;</t>
        </is>
      </c>
      <c r="M18" s="19" t="inlineStr"/>
      <c r="N18" s="19" t="n"/>
      <c r="O18" s="19" t="n"/>
      <c r="P18" s="19" t="n"/>
      <c r="Q18" s="19" t="n"/>
      <c r="R18" s="19">
        <f>IF(OR(O18="Scheduled",Q18="Scheduled"),"SCHEDULED",IF(Q18="Escalate to call","ESCALATED TO CALL",IF(N18="Bad contact","BAD CONTACT",IF(N18="","NOT STARTED","IN PROGRESS"))))</f>
        <v/>
      </c>
      <c r="S18" s="19" t="n"/>
    </row>
    <row r="19">
      <c r="A19" s="19" t="inlineStr">
        <is>
          <t>REQ-0018</t>
        </is>
      </c>
      <c r="B19" s="20" t="n">
        <v>44867.82708333333</v>
      </c>
      <c r="C19" s="20">
        <f>B19+1</f>
        <v/>
      </c>
      <c r="D19" s="21">
        <f>(C19-NOW())*24</f>
        <v/>
      </c>
      <c r="E19" s="19">
        <f>IF(N19="","STEP 1: Send WhatsApp + Email blast now (Playbook M1)",IF(N19="Bad contact","STOP: report bad contact to lead (Playbook)",IF(O19="Scheduled","DONE: scheduled via Calendly",IF(O19="","STEP 2: Check Calendly now",IF(P19="","STEP 3: Send WhatsApp nudge (Playbook M2)",IF(Q19="Scheduled","DONE: scheduled via Calendly",IF(Q19="Escalate to call","HANDED to Shyam (call queue)","STEP 4: Final Calendly check")))))))</f>
        <v/>
      </c>
      <c r="F19" s="20">
        <f>IF(N19="",B19,IF(O19="",B19+2/24,IF(AND(O19="Not yet",P19=""),B19+2/24,IF(Q19="",B19+4/24,""))))</f>
        <v/>
      </c>
      <c r="G19" s="19" t="inlineStr">
        <is>
          <t>Chetan</t>
        </is>
      </c>
      <c r="H19" s="19" t="inlineStr">
        <is>
          <t>Google</t>
        </is>
      </c>
      <c r="I19" s="19" t="inlineStr">
        <is>
          <t>Round2</t>
        </is>
      </c>
      <c r="J19" s="22" t="inlineStr">
        <is>
          <t>+91 9920264452</t>
        </is>
      </c>
      <c r="K19" s="19" t="inlineStr">
        <is>
          <t>chetan@weekday.works</t>
        </is>
      </c>
      <c r="L19" s="19" t="inlineStr">
        <is>
          <t>&lt;calendly_link&gt;</t>
        </is>
      </c>
      <c r="M19" s="19" t="inlineStr"/>
      <c r="N19" s="19" t="n"/>
      <c r="O19" s="19" t="n"/>
      <c r="P19" s="19" t="n"/>
      <c r="Q19" s="19" t="n"/>
      <c r="R19" s="19">
        <f>IF(OR(O19="Scheduled",Q19="Scheduled"),"SCHEDULED",IF(Q19="Escalate to call","ESCALATED TO CALL",IF(N19="Bad contact","BAD CONTACT",IF(N19="","NOT STARTED","IN PROGRESS"))))</f>
        <v/>
      </c>
      <c r="S19" s="19" t="n"/>
    </row>
    <row r="20">
      <c r="A20" s="15" t="inlineStr">
        <is>
          <t>REQ-0019</t>
        </is>
      </c>
      <c r="B20" s="16" t="n">
        <v>44867.82708333333</v>
      </c>
      <c r="C20" s="16">
        <f>B20+1</f>
        <v/>
      </c>
      <c r="D20" s="17">
        <f>(C20-NOW())*24</f>
        <v/>
      </c>
      <c r="E20" s="15">
        <f>IF(N20="","STEP 1: Send WhatsApp + Email blast now (Playbook M1)",IF(N20="Bad contact","STOP: report bad contact to lead (Playbook)",IF(O20="Scheduled","DONE: scheduled via Calendly",IF(O20="","STEP 2: Check Calendly now",IF(P20="","STEP 3: Send WhatsApp nudge (Playbook M2)",IF(Q20="Scheduled","DONE: scheduled via Calendly",IF(Q20="Escalate to call","HANDED to Shyam (call queue)","STEP 4: Final Calendly check")))))))</f>
        <v/>
      </c>
      <c r="F20" s="16">
        <f>IF(N20="",B20,IF(O20="",B20+2/24,IF(AND(O20="Not yet",P20=""),B20+2/24,IF(Q20="",B20+4/24,""))))</f>
        <v/>
      </c>
      <c r="G20" s="15" t="inlineStr">
        <is>
          <t>Chetan</t>
        </is>
      </c>
      <c r="H20" s="15" t="inlineStr">
        <is>
          <t>Google</t>
        </is>
      </c>
      <c r="I20" s="15" t="inlineStr">
        <is>
          <t>Round1</t>
        </is>
      </c>
      <c r="J20" s="18" t="inlineStr">
        <is>
          <t>+91 9920264452</t>
        </is>
      </c>
      <c r="K20" s="15" t="inlineStr">
        <is>
          <t>chetan@weekday.works</t>
        </is>
      </c>
      <c r="L20" s="15" t="inlineStr">
        <is>
          <t>&lt;calendly_link&gt;</t>
        </is>
      </c>
      <c r="M20" s="15" t="inlineStr">
        <is>
          <t>Yes</t>
        </is>
      </c>
      <c r="N20" s="15" t="n"/>
      <c r="O20" s="15" t="n"/>
      <c r="P20" s="15" t="n"/>
      <c r="Q20" s="15" t="n"/>
      <c r="R20" s="15">
        <f>IF(OR(O20="Scheduled",Q20="Scheduled"),"SCHEDULED",IF(Q20="Escalate to call","ESCALATED TO CALL",IF(N20="Bad contact","BAD CONTACT",IF(N20="","NOT STARTED","IN PROGRESS"))))</f>
        <v/>
      </c>
      <c r="S20" s="15" t="n"/>
    </row>
    <row r="21">
      <c r="A21" s="19" t="inlineStr">
        <is>
          <t>REQ-0020</t>
        </is>
      </c>
      <c r="B21" s="20" t="n">
        <v>44867.82708333333</v>
      </c>
      <c r="C21" s="20">
        <f>B21+1</f>
        <v/>
      </c>
      <c r="D21" s="21">
        <f>(C21-NOW())*24</f>
        <v/>
      </c>
      <c r="E21" s="19">
        <f>IF(N21="","STEP 1: Send WhatsApp + Email blast now (Playbook M1)",IF(N21="Bad contact","STOP: report bad contact to lead (Playbook)",IF(O21="Scheduled","DONE: scheduled via Calendly",IF(O21="","STEP 2: Check Calendly now",IF(P21="","STEP 3: Send WhatsApp nudge (Playbook M2)",IF(Q21="Scheduled","DONE: scheduled via Calendly",IF(Q21="Escalate to call","HANDED to Shyam (call queue)","STEP 4: Final Calendly check")))))))</f>
        <v/>
      </c>
      <c r="F21" s="20">
        <f>IF(N21="",B21,IF(O21="",B21+2/24,IF(AND(O21="Not yet",P21=""),B21+2/24,IF(Q21="",B21+4/24,""))))</f>
        <v/>
      </c>
      <c r="G21" s="19" t="inlineStr">
        <is>
          <t>Chetan</t>
        </is>
      </c>
      <c r="H21" s="19" t="inlineStr">
        <is>
          <t>Reliance</t>
        </is>
      </c>
      <c r="I21" s="19" t="inlineStr">
        <is>
          <t>Round1</t>
        </is>
      </c>
      <c r="J21" s="22" t="inlineStr">
        <is>
          <t>+91 9920264452</t>
        </is>
      </c>
      <c r="K21" s="19" t="inlineStr">
        <is>
          <t>chetan@weekday.works</t>
        </is>
      </c>
      <c r="L21" s="19" t="inlineStr">
        <is>
          <t>&lt;calendly_link&gt;</t>
        </is>
      </c>
      <c r="M21" s="19" t="inlineStr"/>
      <c r="N21" s="19" t="n"/>
      <c r="O21" s="19" t="n"/>
      <c r="P21" s="19" t="n"/>
      <c r="Q21" s="19" t="n"/>
      <c r="R21" s="19">
        <f>IF(OR(O21="Scheduled",Q21="Scheduled"),"SCHEDULED",IF(Q21="Escalate to call","ESCALATED TO CALL",IF(N21="Bad contact","BAD CONTACT",IF(N21="","NOT STARTED","IN PROGRESS"))))</f>
        <v/>
      </c>
      <c r="S21" s="19" t="n"/>
    </row>
    <row r="22">
      <c r="A22" s="15" t="inlineStr">
        <is>
          <t>REQ-0021</t>
        </is>
      </c>
      <c r="B22" s="16" t="n">
        <v>44867.82708333333</v>
      </c>
      <c r="C22" s="16">
        <f>B22+1</f>
        <v/>
      </c>
      <c r="D22" s="17">
        <f>(C22-NOW())*24</f>
        <v/>
      </c>
      <c r="E22" s="15">
        <f>IF(N22="","STEP 1: Send WhatsApp + Email blast now (Playbook M1)",IF(N22="Bad contact","STOP: report bad contact to lead (Playbook)",IF(O22="Scheduled","DONE: scheduled via Calendly",IF(O22="","STEP 2: Check Calendly now",IF(P22="","STEP 3: Send WhatsApp nudge (Playbook M2)",IF(Q22="Scheduled","DONE: scheduled via Calendly",IF(Q22="Escalate to call","HANDED to Shyam (call queue)","STEP 4: Final Calendly check")))))))</f>
        <v/>
      </c>
      <c r="F22" s="16">
        <f>IF(N22="",B22,IF(O22="",B22+2/24,IF(AND(O22="Not yet",P22=""),B22+2/24,IF(Q22="",B22+4/24,""))))</f>
        <v/>
      </c>
      <c r="G22" s="15" t="inlineStr">
        <is>
          <t>Chetan</t>
        </is>
      </c>
      <c r="H22" s="15" t="inlineStr">
        <is>
          <t>Reliance</t>
        </is>
      </c>
      <c r="I22" s="15" t="inlineStr">
        <is>
          <t>Round1</t>
        </is>
      </c>
      <c r="J22" s="18" t="inlineStr">
        <is>
          <t>+91 9920264452</t>
        </is>
      </c>
      <c r="K22" s="15" t="inlineStr">
        <is>
          <t>chetan@weekday.works</t>
        </is>
      </c>
      <c r="L22" s="15" t="inlineStr">
        <is>
          <t>&lt;calendly_link&gt;</t>
        </is>
      </c>
      <c r="M22" s="15" t="inlineStr">
        <is>
          <t>Yes</t>
        </is>
      </c>
      <c r="N22" s="15" t="n"/>
      <c r="O22" s="15" t="n"/>
      <c r="P22" s="15" t="n"/>
      <c r="Q22" s="15" t="n"/>
      <c r="R22" s="15">
        <f>IF(OR(O22="Scheduled",Q22="Scheduled"),"SCHEDULED",IF(Q22="Escalate to call","ESCALATED TO CALL",IF(N22="Bad contact","BAD CONTACT",IF(N22="","NOT STARTED","IN PROGRESS"))))</f>
        <v/>
      </c>
      <c r="S22" s="15" t="n"/>
    </row>
    <row r="23">
      <c r="A23" s="19" t="inlineStr">
        <is>
          <t>REQ-0022</t>
        </is>
      </c>
      <c r="B23" s="20" t="n">
        <v>44867.82708333333</v>
      </c>
      <c r="C23" s="20">
        <f>B23+1</f>
        <v/>
      </c>
      <c r="D23" s="21">
        <f>(C23-NOW())*24</f>
        <v/>
      </c>
      <c r="E23" s="19">
        <f>IF(N23="","STEP 1: Send WhatsApp + Email blast now (Playbook M1)",IF(N23="Bad contact","STOP: report bad contact to lead (Playbook)",IF(O23="Scheduled","DONE: scheduled via Calendly",IF(O23="","STEP 2: Check Calendly now",IF(P23="","STEP 3: Send WhatsApp nudge (Playbook M2)",IF(Q23="Scheduled","DONE: scheduled via Calendly",IF(Q23="Escalate to call","HANDED to Shyam (call queue)","STEP 4: Final Calendly check")))))))</f>
        <v/>
      </c>
      <c r="F23" s="20">
        <f>IF(N23="",B23,IF(O23="",B23+2/24,IF(AND(O23="Not yet",P23=""),B23+2/24,IF(Q23="",B23+4/24,""))))</f>
        <v/>
      </c>
      <c r="G23" s="19" t="inlineStr">
        <is>
          <t>Chetan</t>
        </is>
      </c>
      <c r="H23" s="19" t="inlineStr">
        <is>
          <t>Reliance</t>
        </is>
      </c>
      <c r="I23" s="19" t="inlineStr">
        <is>
          <t>Round2</t>
        </is>
      </c>
      <c r="J23" s="22" t="inlineStr">
        <is>
          <t>+91 9920264452</t>
        </is>
      </c>
      <c r="K23" s="19" t="inlineStr">
        <is>
          <t>chetan@weekday.works</t>
        </is>
      </c>
      <c r="L23" s="19" t="inlineStr">
        <is>
          <t>&lt;calendly_link&gt;</t>
        </is>
      </c>
      <c r="M23" s="19" t="inlineStr"/>
      <c r="N23" s="19" t="n"/>
      <c r="O23" s="19" t="n"/>
      <c r="P23" s="19" t="n"/>
      <c r="Q23" s="19" t="n"/>
      <c r="R23" s="19">
        <f>IF(OR(O23="Scheduled",Q23="Scheduled"),"SCHEDULED",IF(Q23="Escalate to call","ESCALATED TO CALL",IF(N23="Bad contact","BAD CONTACT",IF(N23="","NOT STARTED","IN PROGRESS"))))</f>
        <v/>
      </c>
      <c r="S23" s="19" t="n"/>
    </row>
    <row r="24">
      <c r="A24" s="19" t="inlineStr">
        <is>
          <t>REQ-0023</t>
        </is>
      </c>
      <c r="B24" s="20" t="n">
        <v>44867.82708333333</v>
      </c>
      <c r="C24" s="20">
        <f>B24+1</f>
        <v/>
      </c>
      <c r="D24" s="21">
        <f>(C24-NOW())*24</f>
        <v/>
      </c>
      <c r="E24" s="19">
        <f>IF(N24="","STEP 1: Send WhatsApp + Email blast now (Playbook M1)",IF(N24="Bad contact","STOP: report bad contact to lead (Playbook)",IF(O24="Scheduled","DONE: scheduled via Calendly",IF(O24="","STEP 2: Check Calendly now",IF(P24="","STEP 3: Send WhatsApp nudge (Playbook M2)",IF(Q24="Scheduled","DONE: scheduled via Calendly",IF(Q24="Escalate to call","HANDED to Shyam (call queue)","STEP 4: Final Calendly check")))))))</f>
        <v/>
      </c>
      <c r="F24" s="20">
        <f>IF(N24="",B24,IF(O24="",B24+2/24,IF(AND(O24="Not yet",P24=""),B24+2/24,IF(Q24="",B24+4/24,""))))</f>
        <v/>
      </c>
      <c r="G24" s="19" t="inlineStr">
        <is>
          <t>Chetan</t>
        </is>
      </c>
      <c r="H24" s="19" t="inlineStr">
        <is>
          <t>Reliance</t>
        </is>
      </c>
      <c r="I24" s="19" t="inlineStr">
        <is>
          <t>Round3</t>
        </is>
      </c>
      <c r="J24" s="22" t="inlineStr">
        <is>
          <t>+91 9920264452</t>
        </is>
      </c>
      <c r="K24" s="19" t="inlineStr">
        <is>
          <t>chetan@weekday.works</t>
        </is>
      </c>
      <c r="L24" s="19" t="inlineStr">
        <is>
          <t>&lt;calendly_link&gt;</t>
        </is>
      </c>
      <c r="M24" s="19" t="inlineStr"/>
      <c r="N24" s="19" t="n"/>
      <c r="O24" s="19" t="n"/>
      <c r="P24" s="19" t="n"/>
      <c r="Q24" s="19" t="n"/>
      <c r="R24" s="19">
        <f>IF(OR(O24="Scheduled",Q24="Scheduled"),"SCHEDULED",IF(Q24="Escalate to call","ESCALATED TO CALL",IF(N24="Bad contact","BAD CONTACT",IF(N24="","NOT STARTED","IN PROGRESS"))))</f>
        <v/>
      </c>
      <c r="S24" s="19" t="n"/>
    </row>
    <row r="25">
      <c r="A25" s="15" t="inlineStr">
        <is>
          <t>REQ-0024</t>
        </is>
      </c>
      <c r="B25" s="16" t="n">
        <v>44867.82708333333</v>
      </c>
      <c r="C25" s="16">
        <f>B25+1</f>
        <v/>
      </c>
      <c r="D25" s="17">
        <f>(C25-NOW())*24</f>
        <v/>
      </c>
      <c r="E25" s="15">
        <f>IF(N25="","STEP 1: Send WhatsApp + Email blast now (Playbook M1)",IF(N25="Bad contact","STOP: report bad contact to lead (Playbook)",IF(O25="Scheduled","DONE: scheduled via Calendly",IF(O25="","STEP 2: Check Calendly now",IF(P25="","STEP 3: Send WhatsApp nudge (Playbook M2)",IF(Q25="Scheduled","DONE: scheduled via Calendly",IF(Q25="Escalate to call","HANDED to Shyam (call queue)","STEP 4: Final Calendly check")))))))</f>
        <v/>
      </c>
      <c r="F25" s="16">
        <f>IF(N25="",B25,IF(O25="",B25+2/24,IF(AND(O25="Not yet",P25=""),B25+2/24,IF(Q25="",B25+4/24,""))))</f>
        <v/>
      </c>
      <c r="G25" s="15" t="inlineStr">
        <is>
          <t>Chetan</t>
        </is>
      </c>
      <c r="H25" s="15" t="inlineStr">
        <is>
          <t>Reliance</t>
        </is>
      </c>
      <c r="I25" s="15" t="inlineStr">
        <is>
          <t>Round1</t>
        </is>
      </c>
      <c r="J25" s="18" t="inlineStr">
        <is>
          <t>+91 9920264452</t>
        </is>
      </c>
      <c r="K25" s="15" t="inlineStr">
        <is>
          <t>chetan@weekday.works</t>
        </is>
      </c>
      <c r="L25" s="15" t="inlineStr">
        <is>
          <t>&lt;calendly_link&gt;</t>
        </is>
      </c>
      <c r="M25" s="15" t="inlineStr">
        <is>
          <t>Yes</t>
        </is>
      </c>
      <c r="N25" s="15" t="n"/>
      <c r="O25" s="15" t="n"/>
      <c r="P25" s="15" t="n"/>
      <c r="Q25" s="15" t="n"/>
      <c r="R25" s="15">
        <f>IF(OR(O25="Scheduled",Q25="Scheduled"),"SCHEDULED",IF(Q25="Escalate to call","ESCALATED TO CALL",IF(N25="Bad contact","BAD CONTACT",IF(N25="","NOT STARTED","IN PROGRESS"))))</f>
        <v/>
      </c>
      <c r="S25" s="15" t="n"/>
    </row>
    <row r="26">
      <c r="A26" s="15" t="inlineStr">
        <is>
          <t>REQ-0025</t>
        </is>
      </c>
      <c r="B26" s="16" t="n">
        <v>44867.82708333333</v>
      </c>
      <c r="C26" s="16">
        <f>B26+1</f>
        <v/>
      </c>
      <c r="D26" s="17">
        <f>(C26-NOW())*24</f>
        <v/>
      </c>
      <c r="E26" s="15">
        <f>IF(N26="","STEP 1: Send WhatsApp + Email blast now (Playbook M1)",IF(N26="Bad contact","STOP: report bad contact to lead (Playbook)",IF(O26="Scheduled","DONE: scheduled via Calendly",IF(O26="","STEP 2: Check Calendly now",IF(P26="","STEP 3: Send WhatsApp nudge (Playbook M2)",IF(Q26="Scheduled","DONE: scheduled via Calendly",IF(Q26="Escalate to call","HANDED to Shyam (call queue)","STEP 4: Final Calendly check")))))))</f>
        <v/>
      </c>
      <c r="F26" s="16">
        <f>IF(N26="",B26,IF(O26="",B26+2/24,IF(AND(O26="Not yet",P26=""),B26+2/24,IF(Q26="",B26+4/24,""))))</f>
        <v/>
      </c>
      <c r="G26" s="15" t="inlineStr">
        <is>
          <t>Chetan</t>
        </is>
      </c>
      <c r="H26" s="15" t="inlineStr">
        <is>
          <t>Reliance</t>
        </is>
      </c>
      <c r="I26" s="15" t="inlineStr">
        <is>
          <t>Round1</t>
        </is>
      </c>
      <c r="J26" s="18" t="inlineStr">
        <is>
          <t>+91 9920264452</t>
        </is>
      </c>
      <c r="K26" s="15" t="inlineStr">
        <is>
          <t>chetan@weekday.works</t>
        </is>
      </c>
      <c r="L26" s="15" t="inlineStr">
        <is>
          <t>&lt;calendly_link&gt;</t>
        </is>
      </c>
      <c r="M26" s="15" t="inlineStr">
        <is>
          <t>Yes</t>
        </is>
      </c>
      <c r="N26" s="15" t="n"/>
      <c r="O26" s="15" t="n"/>
      <c r="P26" s="15" t="n"/>
      <c r="Q26" s="15" t="n"/>
      <c r="R26" s="15">
        <f>IF(OR(O26="Scheduled",Q26="Scheduled"),"SCHEDULED",IF(Q26="Escalate to call","ESCALATED TO CALL",IF(N26="Bad contact","BAD CONTACT",IF(N26="","NOT STARTED","IN PROGRESS"))))</f>
        <v/>
      </c>
      <c r="S26" s="15" t="n"/>
    </row>
    <row r="27">
      <c r="A27" s="15" t="inlineStr">
        <is>
          <t>REQ-0026</t>
        </is>
      </c>
      <c r="B27" s="16" t="n">
        <v>44867.82708333333</v>
      </c>
      <c r="C27" s="16">
        <f>B27+1</f>
        <v/>
      </c>
      <c r="D27" s="17">
        <f>(C27-NOW())*24</f>
        <v/>
      </c>
      <c r="E27" s="15">
        <f>IF(N27="","STEP 1: Send WhatsApp + Email blast now (Playbook M1)",IF(N27="Bad contact","STOP: report bad contact to lead (Playbook)",IF(O27="Scheduled","DONE: scheduled via Calendly",IF(O27="","STEP 2: Check Calendly now",IF(P27="","STEP 3: Send WhatsApp nudge (Playbook M2)",IF(Q27="Scheduled","DONE: scheduled via Calendly",IF(Q27="Escalate to call","HANDED to Shyam (call queue)","STEP 4: Final Calendly check")))))))</f>
        <v/>
      </c>
      <c r="F27" s="16">
        <f>IF(N27="",B27,IF(O27="",B27+2/24,IF(AND(O27="Not yet",P27=""),B27+2/24,IF(Q27="",B27+4/24,""))))</f>
        <v/>
      </c>
      <c r="G27" s="15" t="inlineStr">
        <is>
          <t>Chetan</t>
        </is>
      </c>
      <c r="H27" s="15" t="inlineStr">
        <is>
          <t>Reliance</t>
        </is>
      </c>
      <c r="I27" s="15" t="inlineStr">
        <is>
          <t>Round1</t>
        </is>
      </c>
      <c r="J27" s="18" t="inlineStr">
        <is>
          <t>+91 9920264452</t>
        </is>
      </c>
      <c r="K27" s="15" t="inlineStr">
        <is>
          <t>chetan@weekday.works</t>
        </is>
      </c>
      <c r="L27" s="15" t="inlineStr">
        <is>
          <t>&lt;calendly_link&gt;</t>
        </is>
      </c>
      <c r="M27" s="15" t="inlineStr">
        <is>
          <t>Yes</t>
        </is>
      </c>
      <c r="N27" s="15" t="n"/>
      <c r="O27" s="15" t="n"/>
      <c r="P27" s="15" t="n"/>
      <c r="Q27" s="15" t="n"/>
      <c r="R27" s="15">
        <f>IF(OR(O27="Scheduled",Q27="Scheduled"),"SCHEDULED",IF(Q27="Escalate to call","ESCALATED TO CALL",IF(N27="Bad contact","BAD CONTACT",IF(N27="","NOT STARTED","IN PROGRESS"))))</f>
        <v/>
      </c>
      <c r="S27" s="15" t="n"/>
    </row>
    <row r="28">
      <c r="A28" s="15" t="inlineStr">
        <is>
          <t>REQ-0027</t>
        </is>
      </c>
      <c r="B28" s="16" t="n">
        <v>44867.82708333333</v>
      </c>
      <c r="C28" s="16">
        <f>B28+1</f>
        <v/>
      </c>
      <c r="D28" s="17">
        <f>(C28-NOW())*24</f>
        <v/>
      </c>
      <c r="E28" s="15">
        <f>IF(N28="","STEP 1: Send WhatsApp + Email blast now (Playbook M1)",IF(N28="Bad contact","STOP: report bad contact to lead (Playbook)",IF(O28="Scheduled","DONE: scheduled via Calendly",IF(O28="","STEP 2: Check Calendly now",IF(P28="","STEP 3: Send WhatsApp nudge (Playbook M2)",IF(Q28="Scheduled","DONE: scheduled via Calendly",IF(Q28="Escalate to call","HANDED to Shyam (call queue)","STEP 4: Final Calendly check")))))))</f>
        <v/>
      </c>
      <c r="F28" s="16">
        <f>IF(N28="",B28,IF(O28="",B28+2/24,IF(AND(O28="Not yet",P28=""),B28+2/24,IF(Q28="",B28+4/24,""))))</f>
        <v/>
      </c>
      <c r="G28" s="15" t="inlineStr">
        <is>
          <t>Chetan</t>
        </is>
      </c>
      <c r="H28" s="15" t="inlineStr">
        <is>
          <t>Google</t>
        </is>
      </c>
      <c r="I28" s="15" t="inlineStr">
        <is>
          <t>Round3</t>
        </is>
      </c>
      <c r="J28" s="18" t="inlineStr">
        <is>
          <t>+91 9920264452</t>
        </is>
      </c>
      <c r="K28" s="15" t="inlineStr">
        <is>
          <t>chetan@weekday.works</t>
        </is>
      </c>
      <c r="L28" s="15" t="inlineStr">
        <is>
          <t>&lt;calendly_link&gt;</t>
        </is>
      </c>
      <c r="M28" s="15" t="inlineStr">
        <is>
          <t>Yes</t>
        </is>
      </c>
      <c r="N28" s="15" t="n"/>
      <c r="O28" s="15" t="n"/>
      <c r="P28" s="15" t="n"/>
      <c r="Q28" s="15" t="n"/>
      <c r="R28" s="15">
        <f>IF(OR(O28="Scheduled",Q28="Scheduled"),"SCHEDULED",IF(Q28="Escalate to call","ESCALATED TO CALL",IF(N28="Bad contact","BAD CONTACT",IF(N28="","NOT STARTED","IN PROGRESS"))))</f>
        <v/>
      </c>
      <c r="S28" s="15" t="n"/>
    </row>
    <row r="29">
      <c r="A29" s="15" t="inlineStr">
        <is>
          <t>REQ-0028</t>
        </is>
      </c>
      <c r="B29" s="16" t="n">
        <v>44867.82708333333</v>
      </c>
      <c r="C29" s="16">
        <f>B29+1</f>
        <v/>
      </c>
      <c r="D29" s="17">
        <f>(C29-NOW())*24</f>
        <v/>
      </c>
      <c r="E29" s="15">
        <f>IF(N29="","STEP 1: Send WhatsApp + Email blast now (Playbook M1)",IF(N29="Bad contact","STOP: report bad contact to lead (Playbook)",IF(O29="Scheduled","DONE: scheduled via Calendly",IF(O29="","STEP 2: Check Calendly now",IF(P29="","STEP 3: Send WhatsApp nudge (Playbook M2)",IF(Q29="Scheduled","DONE: scheduled via Calendly",IF(Q29="Escalate to call","HANDED to Shyam (call queue)","STEP 4: Final Calendly check")))))))</f>
        <v/>
      </c>
      <c r="F29" s="16">
        <f>IF(N29="",B29,IF(O29="",B29+2/24,IF(AND(O29="Not yet",P29=""),B29+2/24,IF(Q29="",B29+4/24,""))))</f>
        <v/>
      </c>
      <c r="G29" s="15" t="inlineStr">
        <is>
          <t>Chetan</t>
        </is>
      </c>
      <c r="H29" s="15" t="inlineStr">
        <is>
          <t>Google</t>
        </is>
      </c>
      <c r="I29" s="15" t="inlineStr">
        <is>
          <t>Round1</t>
        </is>
      </c>
      <c r="J29" s="18" t="inlineStr">
        <is>
          <t>+91 9920264452</t>
        </is>
      </c>
      <c r="K29" s="15" t="inlineStr">
        <is>
          <t>chetan@weekday.works</t>
        </is>
      </c>
      <c r="L29" s="15" t="inlineStr">
        <is>
          <t>&lt;calendly_link&gt;</t>
        </is>
      </c>
      <c r="M29" s="15" t="inlineStr">
        <is>
          <t>Yes</t>
        </is>
      </c>
      <c r="N29" s="15" t="n"/>
      <c r="O29" s="15" t="n"/>
      <c r="P29" s="15" t="n"/>
      <c r="Q29" s="15" t="n"/>
      <c r="R29" s="15">
        <f>IF(OR(O29="Scheduled",Q29="Scheduled"),"SCHEDULED",IF(Q29="Escalate to call","ESCALATED TO CALL",IF(N29="Bad contact","BAD CONTACT",IF(N29="","NOT STARTED","IN PROGRESS"))))</f>
        <v/>
      </c>
      <c r="S29" s="15" t="n"/>
    </row>
    <row r="30">
      <c r="A30" s="15" t="inlineStr">
        <is>
          <t>REQ-0029</t>
        </is>
      </c>
      <c r="B30" s="16" t="n">
        <v>44867.82708333333</v>
      </c>
      <c r="C30" s="16">
        <f>B30+1</f>
        <v/>
      </c>
      <c r="D30" s="17">
        <f>(C30-NOW())*24</f>
        <v/>
      </c>
      <c r="E30" s="15">
        <f>IF(N30="","STEP 1: Send WhatsApp + Email blast now (Playbook M1)",IF(N30="Bad contact","STOP: report bad contact to lead (Playbook)",IF(O30="Scheduled","DONE: scheduled via Calendly",IF(O30="","STEP 2: Check Calendly now",IF(P30="","STEP 3: Send WhatsApp nudge (Playbook M2)",IF(Q30="Scheduled","DONE: scheduled via Calendly",IF(Q30="Escalate to call","HANDED to Shyam (call queue)","STEP 4: Final Calendly check")))))))</f>
        <v/>
      </c>
      <c r="F30" s="16">
        <f>IF(N30="",B30,IF(O30="",B30+2/24,IF(AND(O30="Not yet",P30=""),B30+2/24,IF(Q30="",B30+4/24,""))))</f>
        <v/>
      </c>
      <c r="G30" s="15" t="inlineStr">
        <is>
          <t>Chetan</t>
        </is>
      </c>
      <c r="H30" s="15" t="inlineStr">
        <is>
          <t>Google</t>
        </is>
      </c>
      <c r="I30" s="15" t="inlineStr">
        <is>
          <t>Round1</t>
        </is>
      </c>
      <c r="J30" s="18" t="inlineStr">
        <is>
          <t>+91 9920264452</t>
        </is>
      </c>
      <c r="K30" s="15" t="inlineStr">
        <is>
          <t>chetan@weekday.works</t>
        </is>
      </c>
      <c r="L30" s="15" t="inlineStr">
        <is>
          <t>&lt;calendly_link&gt;</t>
        </is>
      </c>
      <c r="M30" s="15" t="inlineStr">
        <is>
          <t>Yes</t>
        </is>
      </c>
      <c r="N30" s="15" t="n"/>
      <c r="O30" s="15" t="n"/>
      <c r="P30" s="15" t="n"/>
      <c r="Q30" s="15" t="n"/>
      <c r="R30" s="15">
        <f>IF(OR(O30="Scheduled",Q30="Scheduled"),"SCHEDULED",IF(Q30="Escalate to call","ESCALATED TO CALL",IF(N30="Bad contact","BAD CONTACT",IF(N30="","NOT STARTED","IN PROGRESS"))))</f>
        <v/>
      </c>
      <c r="S30" s="15" t="n"/>
    </row>
    <row r="31">
      <c r="A31" s="15" t="inlineStr">
        <is>
          <t>REQ-0030</t>
        </is>
      </c>
      <c r="B31" s="16" t="n">
        <v>44867.82708333333</v>
      </c>
      <c r="C31" s="16">
        <f>B31+1</f>
        <v/>
      </c>
      <c r="D31" s="17">
        <f>(C31-NOW())*24</f>
        <v/>
      </c>
      <c r="E31" s="15">
        <f>IF(N31="","STEP 1: Send WhatsApp + Email blast now (Playbook M1)",IF(N31="Bad contact","STOP: report bad contact to lead (Playbook)",IF(O31="Scheduled","DONE: scheduled via Calendly",IF(O31="","STEP 2: Check Calendly now",IF(P31="","STEP 3: Send WhatsApp nudge (Playbook M2)",IF(Q31="Scheduled","DONE: scheduled via Calendly",IF(Q31="Escalate to call","HANDED to Shyam (call queue)","STEP 4: Final Calendly check")))))))</f>
        <v/>
      </c>
      <c r="F31" s="16">
        <f>IF(N31="",B31,IF(O31="",B31+2/24,IF(AND(O31="Not yet",P31=""),B31+2/24,IF(Q31="",B31+4/24,""))))</f>
        <v/>
      </c>
      <c r="G31" s="15" t="inlineStr">
        <is>
          <t>Chetan</t>
        </is>
      </c>
      <c r="H31" s="15" t="inlineStr">
        <is>
          <t>Google</t>
        </is>
      </c>
      <c r="I31" s="15" t="inlineStr">
        <is>
          <t>Round1</t>
        </is>
      </c>
      <c r="J31" s="18" t="inlineStr">
        <is>
          <t>+91 9920264452</t>
        </is>
      </c>
      <c r="K31" s="15" t="inlineStr">
        <is>
          <t>chetan@weekday.works</t>
        </is>
      </c>
      <c r="L31" s="15" t="inlineStr">
        <is>
          <t>&lt;calendly_link&gt;</t>
        </is>
      </c>
      <c r="M31" s="15" t="inlineStr">
        <is>
          <t>Yes</t>
        </is>
      </c>
      <c r="N31" s="15" t="n"/>
      <c r="O31" s="15" t="n"/>
      <c r="P31" s="15" t="n"/>
      <c r="Q31" s="15" t="n"/>
      <c r="R31" s="15">
        <f>IF(OR(O31="Scheduled",Q31="Scheduled"),"SCHEDULED",IF(Q31="Escalate to call","ESCALATED TO CALL",IF(N31="Bad contact","BAD CONTACT",IF(N31="","NOT STARTED","IN PROGRESS"))))</f>
        <v/>
      </c>
      <c r="S31" s="15" t="n"/>
    </row>
    <row r="32">
      <c r="A32" s="15" t="inlineStr">
        <is>
          <t>REQ-0031</t>
        </is>
      </c>
      <c r="B32" s="16" t="n">
        <v>44867.82708333333</v>
      </c>
      <c r="C32" s="16">
        <f>B32+1</f>
        <v/>
      </c>
      <c r="D32" s="17">
        <f>(C32-NOW())*24</f>
        <v/>
      </c>
      <c r="E32" s="15">
        <f>IF(N32="","STEP 1: Send WhatsApp + Email blast now (Playbook M1)",IF(N32="Bad contact","STOP: report bad contact to lead (Playbook)",IF(O32="Scheduled","DONE: scheduled via Calendly",IF(O32="","STEP 2: Check Calendly now",IF(P32="","STEP 3: Send WhatsApp nudge (Playbook M2)",IF(Q32="Scheduled","DONE: scheduled via Calendly",IF(Q32="Escalate to call","HANDED to Shyam (call queue)","STEP 4: Final Calendly check")))))))</f>
        <v/>
      </c>
      <c r="F32" s="16">
        <f>IF(N32="",B32,IF(O32="",B32+2/24,IF(AND(O32="Not yet",P32=""),B32+2/24,IF(Q32="",B32+4/24,""))))</f>
        <v/>
      </c>
      <c r="G32" s="15" t="inlineStr">
        <is>
          <t>Chetan</t>
        </is>
      </c>
      <c r="H32" s="15" t="inlineStr">
        <is>
          <t>Google</t>
        </is>
      </c>
      <c r="I32" s="15" t="inlineStr">
        <is>
          <t>Round1</t>
        </is>
      </c>
      <c r="J32" s="18" t="inlineStr">
        <is>
          <t>+91 9920264452</t>
        </is>
      </c>
      <c r="K32" s="15" t="inlineStr">
        <is>
          <t>chetan@weekday.works</t>
        </is>
      </c>
      <c r="L32" s="15" t="inlineStr">
        <is>
          <t>&lt;calendly_link&gt;</t>
        </is>
      </c>
      <c r="M32" s="15" t="inlineStr">
        <is>
          <t>Yes</t>
        </is>
      </c>
      <c r="N32" s="15" t="n"/>
      <c r="O32" s="15" t="n"/>
      <c r="P32" s="15" t="n"/>
      <c r="Q32" s="15" t="n"/>
      <c r="R32" s="15">
        <f>IF(OR(O32="Scheduled",Q32="Scheduled"),"SCHEDULED",IF(Q32="Escalate to call","ESCALATED TO CALL",IF(N32="Bad contact","BAD CONTACT",IF(N32="","NOT STARTED","IN PROGRESS"))))</f>
        <v/>
      </c>
      <c r="S32" s="15" t="n"/>
    </row>
    <row r="33">
      <c r="A33" s="15" t="inlineStr">
        <is>
          <t>REQ-0032</t>
        </is>
      </c>
      <c r="B33" s="16" t="n">
        <v>44867.82708333333</v>
      </c>
      <c r="C33" s="16">
        <f>B33+1</f>
        <v/>
      </c>
      <c r="D33" s="17">
        <f>(C33-NOW())*24</f>
        <v/>
      </c>
      <c r="E33" s="15">
        <f>IF(N33="","STEP 1: Send WhatsApp + Email blast now (Playbook M1)",IF(N33="Bad contact","STOP: report bad contact to lead (Playbook)",IF(O33="Scheduled","DONE: scheduled via Calendly",IF(O33="","STEP 2: Check Calendly now",IF(P33="","STEP 3: Send WhatsApp nudge (Playbook M2)",IF(Q33="Scheduled","DONE: scheduled via Calendly",IF(Q33="Escalate to call","HANDED to Shyam (call queue)","STEP 4: Final Calendly check")))))))</f>
        <v/>
      </c>
      <c r="F33" s="16">
        <f>IF(N33="",B33,IF(O33="",B33+2/24,IF(AND(O33="Not yet",P33=""),B33+2/24,IF(Q33="",B33+4/24,""))))</f>
        <v/>
      </c>
      <c r="G33" s="15" t="inlineStr">
        <is>
          <t>Chetan</t>
        </is>
      </c>
      <c r="H33" s="15" t="inlineStr">
        <is>
          <t>Google</t>
        </is>
      </c>
      <c r="I33" s="15" t="inlineStr">
        <is>
          <t>Round3</t>
        </is>
      </c>
      <c r="J33" s="18" t="inlineStr">
        <is>
          <t>+91 9920264452</t>
        </is>
      </c>
      <c r="K33" s="15" t="inlineStr">
        <is>
          <t>chetan@weekday.works</t>
        </is>
      </c>
      <c r="L33" s="15" t="inlineStr">
        <is>
          <t>&lt;calendly_link&gt;</t>
        </is>
      </c>
      <c r="M33" s="15" t="inlineStr">
        <is>
          <t>Yes</t>
        </is>
      </c>
      <c r="N33" s="15" t="n"/>
      <c r="O33" s="15" t="n"/>
      <c r="P33" s="15" t="n"/>
      <c r="Q33" s="15" t="n"/>
      <c r="R33" s="15">
        <f>IF(OR(O33="Scheduled",Q33="Scheduled"),"SCHEDULED",IF(Q33="Escalate to call","ESCALATED TO CALL",IF(N33="Bad contact","BAD CONTACT",IF(N33="","NOT STARTED","IN PROGRESS"))))</f>
        <v/>
      </c>
      <c r="S33" s="15" t="n"/>
    </row>
    <row r="34">
      <c r="A34" s="15" t="inlineStr">
        <is>
          <t>REQ-0033</t>
        </is>
      </c>
      <c r="B34" s="16" t="n">
        <v>44867.82708333333</v>
      </c>
      <c r="C34" s="16">
        <f>B34+1</f>
        <v/>
      </c>
      <c r="D34" s="17">
        <f>(C34-NOW())*24</f>
        <v/>
      </c>
      <c r="E34" s="15">
        <f>IF(N34="","STEP 1: Send WhatsApp + Email blast now (Playbook M1)",IF(N34="Bad contact","STOP: report bad contact to lead (Playbook)",IF(O34="Scheduled","DONE: scheduled via Calendly",IF(O34="","STEP 2: Check Calendly now",IF(P34="","STEP 3: Send WhatsApp nudge (Playbook M2)",IF(Q34="Scheduled","DONE: scheduled via Calendly",IF(Q34="Escalate to call","HANDED to Shyam (call queue)","STEP 4: Final Calendly check")))))))</f>
        <v/>
      </c>
      <c r="F34" s="16">
        <f>IF(N34="",B34,IF(O34="",B34+2/24,IF(AND(O34="Not yet",P34=""),B34+2/24,IF(Q34="",B34+4/24,""))))</f>
        <v/>
      </c>
      <c r="G34" s="15" t="inlineStr">
        <is>
          <t>Chetan</t>
        </is>
      </c>
      <c r="H34" s="15" t="inlineStr">
        <is>
          <t>Google</t>
        </is>
      </c>
      <c r="I34" s="15" t="inlineStr">
        <is>
          <t>Round1</t>
        </is>
      </c>
      <c r="J34" s="18" t="inlineStr">
        <is>
          <t>+91 9920264452</t>
        </is>
      </c>
      <c r="K34" s="15" t="inlineStr">
        <is>
          <t>chetan@weekday.works</t>
        </is>
      </c>
      <c r="L34" s="15" t="inlineStr">
        <is>
          <t>&lt;calendly_link&gt;</t>
        </is>
      </c>
      <c r="M34" s="15" t="inlineStr">
        <is>
          <t>Yes</t>
        </is>
      </c>
      <c r="N34" s="15" t="n"/>
      <c r="O34" s="15" t="n"/>
      <c r="P34" s="15" t="n"/>
      <c r="Q34" s="15" t="n"/>
      <c r="R34" s="15">
        <f>IF(OR(O34="Scheduled",Q34="Scheduled"),"SCHEDULED",IF(Q34="Escalate to call","ESCALATED TO CALL",IF(N34="Bad contact","BAD CONTACT",IF(N34="","NOT STARTED","IN PROGRESS"))))</f>
        <v/>
      </c>
      <c r="S34" s="15" t="n"/>
    </row>
    <row r="35">
      <c r="A35" s="15" t="inlineStr">
        <is>
          <t>REQ-0034</t>
        </is>
      </c>
      <c r="B35" s="16" t="n">
        <v>44867.82708333333</v>
      </c>
      <c r="C35" s="16">
        <f>B35+1</f>
        <v/>
      </c>
      <c r="D35" s="17">
        <f>(C35-NOW())*24</f>
        <v/>
      </c>
      <c r="E35" s="15">
        <f>IF(N35="","STEP 1: Send WhatsApp + Email blast now (Playbook M1)",IF(N35="Bad contact","STOP: report bad contact to lead (Playbook)",IF(O35="Scheduled","DONE: scheduled via Calendly",IF(O35="","STEP 2: Check Calendly now",IF(P35="","STEP 3: Send WhatsApp nudge (Playbook M2)",IF(Q35="Scheduled","DONE: scheduled via Calendly",IF(Q35="Escalate to call","HANDED to Shyam (call queue)","STEP 4: Final Calendly check")))))))</f>
        <v/>
      </c>
      <c r="F35" s="16">
        <f>IF(N35="",B35,IF(O35="",B35+2/24,IF(AND(O35="Not yet",P35=""),B35+2/24,IF(Q35="",B35+4/24,""))))</f>
        <v/>
      </c>
      <c r="G35" s="15" t="inlineStr">
        <is>
          <t>Chetan</t>
        </is>
      </c>
      <c r="H35" s="15" t="inlineStr">
        <is>
          <t>Google</t>
        </is>
      </c>
      <c r="I35" s="15" t="inlineStr">
        <is>
          <t>Round1</t>
        </is>
      </c>
      <c r="J35" s="18" t="inlineStr">
        <is>
          <t>+91 9920264452</t>
        </is>
      </c>
      <c r="K35" s="15" t="inlineStr">
        <is>
          <t>chetan@weekday.works</t>
        </is>
      </c>
      <c r="L35" s="15" t="inlineStr">
        <is>
          <t>&lt;calendly_link&gt;</t>
        </is>
      </c>
      <c r="M35" s="15" t="inlineStr">
        <is>
          <t>Yes</t>
        </is>
      </c>
      <c r="N35" s="15" t="n"/>
      <c r="O35" s="15" t="n"/>
      <c r="P35" s="15" t="n"/>
      <c r="Q35" s="15" t="n"/>
      <c r="R35" s="15">
        <f>IF(OR(O35="Scheduled",Q35="Scheduled"),"SCHEDULED",IF(Q35="Escalate to call","ESCALATED TO CALL",IF(N35="Bad contact","BAD CONTACT",IF(N35="","NOT STARTED","IN PROGRESS"))))</f>
        <v/>
      </c>
      <c r="S35" s="15" t="n"/>
    </row>
    <row r="36">
      <c r="A36" s="15" t="inlineStr">
        <is>
          <t>REQ-0035</t>
        </is>
      </c>
      <c r="B36" s="16" t="n">
        <v>44867.82708333333</v>
      </c>
      <c r="C36" s="16">
        <f>B36+1</f>
        <v/>
      </c>
      <c r="D36" s="17">
        <f>(C36-NOW())*24</f>
        <v/>
      </c>
      <c r="E36" s="15">
        <f>IF(N36="","STEP 1: Send WhatsApp + Email blast now (Playbook M1)",IF(N36="Bad contact","STOP: report bad contact to lead (Playbook)",IF(O36="Scheduled","DONE: scheduled via Calendly",IF(O36="","STEP 2: Check Calendly now",IF(P36="","STEP 3: Send WhatsApp nudge (Playbook M2)",IF(Q36="Scheduled","DONE: scheduled via Calendly",IF(Q36="Escalate to call","HANDED to Shyam (call queue)","STEP 4: Final Calendly check")))))))</f>
        <v/>
      </c>
      <c r="F36" s="16">
        <f>IF(N36="",B36,IF(O36="",B36+2/24,IF(AND(O36="Not yet",P36=""),B36+2/24,IF(Q36="",B36+4/24,""))))</f>
        <v/>
      </c>
      <c r="G36" s="15" t="inlineStr">
        <is>
          <t>Chetan</t>
        </is>
      </c>
      <c r="H36" s="15" t="inlineStr">
        <is>
          <t>Google</t>
        </is>
      </c>
      <c r="I36" s="15" t="inlineStr">
        <is>
          <t>Round1</t>
        </is>
      </c>
      <c r="J36" s="18" t="inlineStr">
        <is>
          <t>+91 9920264452</t>
        </is>
      </c>
      <c r="K36" s="15" t="inlineStr">
        <is>
          <t>chetan@weekday.works</t>
        </is>
      </c>
      <c r="L36" s="15" t="inlineStr">
        <is>
          <t>&lt;calendly_link&gt;</t>
        </is>
      </c>
      <c r="M36" s="15" t="inlineStr">
        <is>
          <t>Yes</t>
        </is>
      </c>
      <c r="N36" s="15" t="n"/>
      <c r="O36" s="15" t="n"/>
      <c r="P36" s="15" t="n"/>
      <c r="Q36" s="15" t="n"/>
      <c r="R36" s="15">
        <f>IF(OR(O36="Scheduled",Q36="Scheduled"),"SCHEDULED",IF(Q36="Escalate to call","ESCALATED TO CALL",IF(N36="Bad contact","BAD CONTACT",IF(N36="","NOT STARTED","IN PROGRESS"))))</f>
        <v/>
      </c>
      <c r="S36" s="15" t="n"/>
    </row>
    <row r="37">
      <c r="A37" s="15" t="inlineStr">
        <is>
          <t>REQ-0036</t>
        </is>
      </c>
      <c r="B37" s="16" t="n">
        <v>44867.82708333333</v>
      </c>
      <c r="C37" s="16">
        <f>B37+1</f>
        <v/>
      </c>
      <c r="D37" s="17">
        <f>(C37-NOW())*24</f>
        <v/>
      </c>
      <c r="E37" s="15">
        <f>IF(N37="","STEP 1: Send WhatsApp + Email blast now (Playbook M1)",IF(N37="Bad contact","STOP: report bad contact to lead (Playbook)",IF(O37="Scheduled","DONE: scheduled via Calendly",IF(O37="","STEP 2: Check Calendly now",IF(P37="","STEP 3: Send WhatsApp nudge (Playbook M2)",IF(Q37="Scheduled","DONE: scheduled via Calendly",IF(Q37="Escalate to call","HANDED to Shyam (call queue)","STEP 4: Final Calendly check")))))))</f>
        <v/>
      </c>
      <c r="F37" s="16">
        <f>IF(N37="",B37,IF(O37="",B37+2/24,IF(AND(O37="Not yet",P37=""),B37+2/24,IF(Q37="",B37+4/24,""))))</f>
        <v/>
      </c>
      <c r="G37" s="15" t="inlineStr">
        <is>
          <t>Chetan</t>
        </is>
      </c>
      <c r="H37" s="15" t="inlineStr">
        <is>
          <t>Google</t>
        </is>
      </c>
      <c r="I37" s="15" t="inlineStr">
        <is>
          <t>Round1</t>
        </is>
      </c>
      <c r="J37" s="18" t="inlineStr">
        <is>
          <t>+91 9920264452</t>
        </is>
      </c>
      <c r="K37" s="15" t="inlineStr">
        <is>
          <t>chetan@weekday.works</t>
        </is>
      </c>
      <c r="L37" s="15" t="inlineStr">
        <is>
          <t>&lt;calendly_link&gt;</t>
        </is>
      </c>
      <c r="M37" s="15" t="inlineStr">
        <is>
          <t>Yes</t>
        </is>
      </c>
      <c r="N37" s="15" t="n"/>
      <c r="O37" s="15" t="n"/>
      <c r="P37" s="15" t="n"/>
      <c r="Q37" s="15" t="n"/>
      <c r="R37" s="15">
        <f>IF(OR(O37="Scheduled",Q37="Scheduled"),"SCHEDULED",IF(Q37="Escalate to call","ESCALATED TO CALL",IF(N37="Bad contact","BAD CONTACT",IF(N37="","NOT STARTED","IN PROGRESS"))))</f>
        <v/>
      </c>
      <c r="S37" s="15" t="n"/>
    </row>
    <row r="38">
      <c r="A38" s="15" t="inlineStr">
        <is>
          <t>REQ-0037</t>
        </is>
      </c>
      <c r="B38" s="16" t="n">
        <v>44867.82708333333</v>
      </c>
      <c r="C38" s="16">
        <f>B38+1</f>
        <v/>
      </c>
      <c r="D38" s="17">
        <f>(C38-NOW())*24</f>
        <v/>
      </c>
      <c r="E38" s="15">
        <f>IF(N38="","STEP 1: Send WhatsApp + Email blast now (Playbook M1)",IF(N38="Bad contact","STOP: report bad contact to lead (Playbook)",IF(O38="Scheduled","DONE: scheduled via Calendly",IF(O38="","STEP 2: Check Calendly now",IF(P38="","STEP 3: Send WhatsApp nudge (Playbook M2)",IF(Q38="Scheduled","DONE: scheduled via Calendly",IF(Q38="Escalate to call","HANDED to Shyam (call queue)","STEP 4: Final Calendly check")))))))</f>
        <v/>
      </c>
      <c r="F38" s="16">
        <f>IF(N38="",B38,IF(O38="",B38+2/24,IF(AND(O38="Not yet",P38=""),B38+2/24,IF(Q38="",B38+4/24,""))))</f>
        <v/>
      </c>
      <c r="G38" s="15" t="inlineStr">
        <is>
          <t>Chetan</t>
        </is>
      </c>
      <c r="H38" s="15" t="inlineStr">
        <is>
          <t>Google</t>
        </is>
      </c>
      <c r="I38" s="15" t="inlineStr">
        <is>
          <t>Round2</t>
        </is>
      </c>
      <c r="J38" s="18" t="inlineStr">
        <is>
          <t>+91 9920264452</t>
        </is>
      </c>
      <c r="K38" s="15" t="inlineStr">
        <is>
          <t>chetan@weekday.works</t>
        </is>
      </c>
      <c r="L38" s="15" t="inlineStr">
        <is>
          <t>&lt;calendly_link&gt;</t>
        </is>
      </c>
      <c r="M38" s="15" t="inlineStr">
        <is>
          <t>Yes</t>
        </is>
      </c>
      <c r="N38" s="15" t="n"/>
      <c r="O38" s="15" t="n"/>
      <c r="P38" s="15" t="n"/>
      <c r="Q38" s="15" t="n"/>
      <c r="R38" s="15">
        <f>IF(OR(O38="Scheduled",Q38="Scheduled"),"SCHEDULED",IF(Q38="Escalate to call","ESCALATED TO CALL",IF(N38="Bad contact","BAD CONTACT",IF(N38="","NOT STARTED","IN PROGRESS"))))</f>
        <v/>
      </c>
      <c r="S38" s="15" t="n"/>
    </row>
    <row r="39">
      <c r="A39" s="15" t="inlineStr">
        <is>
          <t>REQ-0038</t>
        </is>
      </c>
      <c r="B39" s="16" t="n">
        <v>44867.82708333333</v>
      </c>
      <c r="C39" s="16">
        <f>B39+1</f>
        <v/>
      </c>
      <c r="D39" s="17">
        <f>(C39-NOW())*24</f>
        <v/>
      </c>
      <c r="E39" s="15">
        <f>IF(N39="","STEP 1: Send WhatsApp + Email blast now (Playbook M1)",IF(N39="Bad contact","STOP: report bad contact to lead (Playbook)",IF(O39="Scheduled","DONE: scheduled via Calendly",IF(O39="","STEP 2: Check Calendly now",IF(P39="","STEP 3: Send WhatsApp nudge (Playbook M2)",IF(Q39="Scheduled","DONE: scheduled via Calendly",IF(Q39="Escalate to call","HANDED to Shyam (call queue)","STEP 4: Final Calendly check")))))))</f>
        <v/>
      </c>
      <c r="F39" s="16">
        <f>IF(N39="",B39,IF(O39="",B39+2/24,IF(AND(O39="Not yet",P39=""),B39+2/24,IF(Q39="",B39+4/24,""))))</f>
        <v/>
      </c>
      <c r="G39" s="15" t="inlineStr">
        <is>
          <t>Chetan</t>
        </is>
      </c>
      <c r="H39" s="15" t="inlineStr">
        <is>
          <t>Google</t>
        </is>
      </c>
      <c r="I39" s="15" t="inlineStr">
        <is>
          <t>Round1</t>
        </is>
      </c>
      <c r="J39" s="18" t="inlineStr">
        <is>
          <t>+91 9920264452</t>
        </is>
      </c>
      <c r="K39" s="15" t="inlineStr">
        <is>
          <t>chetan@weekday.works</t>
        </is>
      </c>
      <c r="L39" s="15" t="inlineStr">
        <is>
          <t>&lt;calendly_link&gt;</t>
        </is>
      </c>
      <c r="M39" s="15" t="inlineStr">
        <is>
          <t>Yes</t>
        </is>
      </c>
      <c r="N39" s="15" t="n"/>
      <c r="O39" s="15" t="n"/>
      <c r="P39" s="15" t="n"/>
      <c r="Q39" s="15" t="n"/>
      <c r="R39" s="15">
        <f>IF(OR(O39="Scheduled",Q39="Scheduled"),"SCHEDULED",IF(Q39="Escalate to call","ESCALATED TO CALL",IF(N39="Bad contact","BAD CONTACT",IF(N39="","NOT STARTED","IN PROGRESS"))))</f>
        <v/>
      </c>
      <c r="S39" s="15" t="n"/>
    </row>
    <row r="40">
      <c r="A40" s="15" t="inlineStr">
        <is>
          <t>REQ-0039</t>
        </is>
      </c>
      <c r="B40" s="16" t="n">
        <v>44867.82708333333</v>
      </c>
      <c r="C40" s="16">
        <f>B40+1</f>
        <v/>
      </c>
      <c r="D40" s="17">
        <f>(C40-NOW())*24</f>
        <v/>
      </c>
      <c r="E40" s="15">
        <f>IF(N40="","STEP 1: Send WhatsApp + Email blast now (Playbook M1)",IF(N40="Bad contact","STOP: report bad contact to lead (Playbook)",IF(O40="Scheduled","DONE: scheduled via Calendly",IF(O40="","STEP 2: Check Calendly now",IF(P40="","STEP 3: Send WhatsApp nudge (Playbook M2)",IF(Q40="Scheduled","DONE: scheduled via Calendly",IF(Q40="Escalate to call","HANDED to Shyam (call queue)","STEP 4: Final Calendly check")))))))</f>
        <v/>
      </c>
      <c r="F40" s="16">
        <f>IF(N40="",B40,IF(O40="",B40+2/24,IF(AND(O40="Not yet",P40=""),B40+2/24,IF(Q40="",B40+4/24,""))))</f>
        <v/>
      </c>
      <c r="G40" s="15" t="inlineStr">
        <is>
          <t>Chetan</t>
        </is>
      </c>
      <c r="H40" s="15" t="inlineStr">
        <is>
          <t>Google</t>
        </is>
      </c>
      <c r="I40" s="15" t="inlineStr">
        <is>
          <t>Round1</t>
        </is>
      </c>
      <c r="J40" s="18" t="inlineStr">
        <is>
          <t>+91 9920264452</t>
        </is>
      </c>
      <c r="K40" s="15" t="inlineStr">
        <is>
          <t>chetan@weekday.works</t>
        </is>
      </c>
      <c r="L40" s="15" t="inlineStr">
        <is>
          <t>&lt;calendly_link&gt;</t>
        </is>
      </c>
      <c r="M40" s="15" t="inlineStr">
        <is>
          <t>Yes</t>
        </is>
      </c>
      <c r="N40" s="15" t="n"/>
      <c r="O40" s="15" t="n"/>
      <c r="P40" s="15" t="n"/>
      <c r="Q40" s="15" t="n"/>
      <c r="R40" s="15">
        <f>IF(OR(O40="Scheduled",Q40="Scheduled"),"SCHEDULED",IF(Q40="Escalate to call","ESCALATED TO CALL",IF(N40="Bad contact","BAD CONTACT",IF(N40="","NOT STARTED","IN PROGRESS"))))</f>
        <v/>
      </c>
      <c r="S40" s="15" t="n"/>
    </row>
    <row r="41">
      <c r="A41" s="15" t="inlineStr">
        <is>
          <t>REQ-0040</t>
        </is>
      </c>
      <c r="B41" s="16" t="n">
        <v>44867.82708333333</v>
      </c>
      <c r="C41" s="16">
        <f>B41+1</f>
        <v/>
      </c>
      <c r="D41" s="17">
        <f>(C41-NOW())*24</f>
        <v/>
      </c>
      <c r="E41" s="15">
        <f>IF(N41="","STEP 1: Send WhatsApp + Email blast now (Playbook M1)",IF(N41="Bad contact","STOP: report bad contact to lead (Playbook)",IF(O41="Scheduled","DONE: scheduled via Calendly",IF(O41="","STEP 2: Check Calendly now",IF(P41="","STEP 3: Send WhatsApp nudge (Playbook M2)",IF(Q41="Scheduled","DONE: scheduled via Calendly",IF(Q41="Escalate to call","HANDED to Shyam (call queue)","STEP 4: Final Calendly check")))))))</f>
        <v/>
      </c>
      <c r="F41" s="16">
        <f>IF(N41="",B41,IF(O41="",B41+2/24,IF(AND(O41="Not yet",P41=""),B41+2/24,IF(Q41="",B41+4/24,""))))</f>
        <v/>
      </c>
      <c r="G41" s="15" t="inlineStr">
        <is>
          <t>Chetan</t>
        </is>
      </c>
      <c r="H41" s="15" t="inlineStr">
        <is>
          <t>Google</t>
        </is>
      </c>
      <c r="I41" s="15" t="inlineStr">
        <is>
          <t>Round1</t>
        </is>
      </c>
      <c r="J41" s="18" t="inlineStr">
        <is>
          <t>+91 9920264452</t>
        </is>
      </c>
      <c r="K41" s="15" t="inlineStr">
        <is>
          <t>chetan@weekday.works</t>
        </is>
      </c>
      <c r="L41" s="15" t="inlineStr">
        <is>
          <t>&lt;calendly_link&gt;</t>
        </is>
      </c>
      <c r="M41" s="15" t="inlineStr">
        <is>
          <t>Yes</t>
        </is>
      </c>
      <c r="N41" s="15" t="n"/>
      <c r="O41" s="15" t="n"/>
      <c r="P41" s="15" t="n"/>
      <c r="Q41" s="15" t="n"/>
      <c r="R41" s="15">
        <f>IF(OR(O41="Scheduled",Q41="Scheduled"),"SCHEDULED",IF(Q41="Escalate to call","ESCALATED TO CALL",IF(N41="Bad contact","BAD CONTACT",IF(N41="","NOT STARTED","IN PROGRESS"))))</f>
        <v/>
      </c>
      <c r="S41" s="15" t="n"/>
    </row>
    <row r="42">
      <c r="A42" s="15" t="inlineStr">
        <is>
          <t>REQ-0041</t>
        </is>
      </c>
      <c r="B42" s="16" t="n">
        <v>44867.82708333333</v>
      </c>
      <c r="C42" s="16">
        <f>B42+1</f>
        <v/>
      </c>
      <c r="D42" s="17">
        <f>(C42-NOW())*24</f>
        <v/>
      </c>
      <c r="E42" s="15">
        <f>IF(N42="","STEP 1: Send WhatsApp + Email blast now (Playbook M1)",IF(N42="Bad contact","STOP: report bad contact to lead (Playbook)",IF(O42="Scheduled","DONE: scheduled via Calendly",IF(O42="","STEP 2: Check Calendly now",IF(P42="","STEP 3: Send WhatsApp nudge (Playbook M2)",IF(Q42="Scheduled","DONE: scheduled via Calendly",IF(Q42="Escalate to call","HANDED to Shyam (call queue)","STEP 4: Final Calendly check")))))))</f>
        <v/>
      </c>
      <c r="F42" s="16">
        <f>IF(N42="",B42,IF(O42="",B42+2/24,IF(AND(O42="Not yet",P42=""),B42+2/24,IF(Q42="",B42+4/24,""))))</f>
        <v/>
      </c>
      <c r="G42" s="15" t="inlineStr">
        <is>
          <t>Chetan</t>
        </is>
      </c>
      <c r="H42" s="15" t="inlineStr">
        <is>
          <t>Google</t>
        </is>
      </c>
      <c r="I42" s="15" t="inlineStr">
        <is>
          <t>Round1</t>
        </is>
      </c>
      <c r="J42" s="18" t="inlineStr">
        <is>
          <t>+91 9920264452</t>
        </is>
      </c>
      <c r="K42" s="15" t="inlineStr">
        <is>
          <t>chetan@weekday.works</t>
        </is>
      </c>
      <c r="L42" s="15" t="inlineStr">
        <is>
          <t>&lt;calendly_link&gt;</t>
        </is>
      </c>
      <c r="M42" s="15" t="inlineStr">
        <is>
          <t>Yes</t>
        </is>
      </c>
      <c r="N42" s="15" t="n"/>
      <c r="O42" s="15" t="n"/>
      <c r="P42" s="15" t="n"/>
      <c r="Q42" s="15" t="n"/>
      <c r="R42" s="15">
        <f>IF(OR(O42="Scheduled",Q42="Scheduled"),"SCHEDULED",IF(Q42="Escalate to call","ESCALATED TO CALL",IF(N42="Bad contact","BAD CONTACT",IF(N42="","NOT STARTED","IN PROGRESS"))))</f>
        <v/>
      </c>
      <c r="S42" s="15" t="n"/>
    </row>
    <row r="43">
      <c r="A43" s="15" t="inlineStr">
        <is>
          <t>REQ-0042</t>
        </is>
      </c>
      <c r="B43" s="16" t="n">
        <v>44867.82708333333</v>
      </c>
      <c r="C43" s="16">
        <f>B43+1</f>
        <v/>
      </c>
      <c r="D43" s="17">
        <f>(C43-NOW())*24</f>
        <v/>
      </c>
      <c r="E43" s="15">
        <f>IF(N43="","STEP 1: Send WhatsApp + Email blast now (Playbook M1)",IF(N43="Bad contact","STOP: report bad contact to lead (Playbook)",IF(O43="Scheduled","DONE: scheduled via Calendly",IF(O43="","STEP 2: Check Calendly now",IF(P43="","STEP 3: Send WhatsApp nudge (Playbook M2)",IF(Q43="Scheduled","DONE: scheduled via Calendly",IF(Q43="Escalate to call","HANDED to Shyam (call queue)","STEP 4: Final Calendly check")))))))</f>
        <v/>
      </c>
      <c r="F43" s="16">
        <f>IF(N43="",B43,IF(O43="",B43+2/24,IF(AND(O43="Not yet",P43=""),B43+2/24,IF(Q43="",B43+4/24,""))))</f>
        <v/>
      </c>
      <c r="G43" s="15" t="inlineStr">
        <is>
          <t>Chetan</t>
        </is>
      </c>
      <c r="H43" s="15" t="inlineStr">
        <is>
          <t>Google</t>
        </is>
      </c>
      <c r="I43" s="15" t="inlineStr">
        <is>
          <t>Round1</t>
        </is>
      </c>
      <c r="J43" s="18" t="inlineStr">
        <is>
          <t>+91 9920264452</t>
        </is>
      </c>
      <c r="K43" s="15" t="inlineStr">
        <is>
          <t>chetan@weekday.works</t>
        </is>
      </c>
      <c r="L43" s="15" t="inlineStr">
        <is>
          <t>&lt;calendly_link&gt;</t>
        </is>
      </c>
      <c r="M43" s="15" t="inlineStr">
        <is>
          <t>Yes</t>
        </is>
      </c>
      <c r="N43" s="15" t="n"/>
      <c r="O43" s="15" t="n"/>
      <c r="P43" s="15" t="n"/>
      <c r="Q43" s="15" t="n"/>
      <c r="R43" s="15">
        <f>IF(OR(O43="Scheduled",Q43="Scheduled"),"SCHEDULED",IF(Q43="Escalate to call","ESCALATED TO CALL",IF(N43="Bad contact","BAD CONTACT",IF(N43="","NOT STARTED","IN PROGRESS"))))</f>
        <v/>
      </c>
      <c r="S43" s="15" t="n"/>
    </row>
    <row r="44">
      <c r="A44" s="15" t="inlineStr">
        <is>
          <t>REQ-0043</t>
        </is>
      </c>
      <c r="B44" s="16" t="n">
        <v>44867.82708333333</v>
      </c>
      <c r="C44" s="16">
        <f>B44+1</f>
        <v/>
      </c>
      <c r="D44" s="17">
        <f>(C44-NOW())*24</f>
        <v/>
      </c>
      <c r="E44" s="15">
        <f>IF(N44="","STEP 1: Send WhatsApp + Email blast now (Playbook M1)",IF(N44="Bad contact","STOP: report bad contact to lead (Playbook)",IF(O44="Scheduled","DONE: scheduled via Calendly",IF(O44="","STEP 2: Check Calendly now",IF(P44="","STEP 3: Send WhatsApp nudge (Playbook M2)",IF(Q44="Scheduled","DONE: scheduled via Calendly",IF(Q44="Escalate to call","HANDED to Shyam (call queue)","STEP 4: Final Calendly check")))))))</f>
        <v/>
      </c>
      <c r="F44" s="16">
        <f>IF(N44="",B44,IF(O44="",B44+2/24,IF(AND(O44="Not yet",P44=""),B44+2/24,IF(Q44="",B44+4/24,""))))</f>
        <v/>
      </c>
      <c r="G44" s="15" t="inlineStr">
        <is>
          <t>Chetan</t>
        </is>
      </c>
      <c r="H44" s="15" t="inlineStr">
        <is>
          <t>Google</t>
        </is>
      </c>
      <c r="I44" s="15" t="inlineStr">
        <is>
          <t>Round1</t>
        </is>
      </c>
      <c r="J44" s="18" t="inlineStr">
        <is>
          <t>+91 9920264452</t>
        </is>
      </c>
      <c r="K44" s="15" t="inlineStr">
        <is>
          <t>chetan@weekday.works</t>
        </is>
      </c>
      <c r="L44" s="15" t="inlineStr">
        <is>
          <t>&lt;calendly_link&gt;</t>
        </is>
      </c>
      <c r="M44" s="15" t="inlineStr">
        <is>
          <t>Yes</t>
        </is>
      </c>
      <c r="N44" s="15" t="n"/>
      <c r="O44" s="15" t="n"/>
      <c r="P44" s="15" t="n"/>
      <c r="Q44" s="15" t="n"/>
      <c r="R44" s="15">
        <f>IF(OR(O44="Scheduled",Q44="Scheduled"),"SCHEDULED",IF(Q44="Escalate to call","ESCALATED TO CALL",IF(N44="Bad contact","BAD CONTACT",IF(N44="","NOT STARTED","IN PROGRESS"))))</f>
        <v/>
      </c>
      <c r="S44" s="15" t="n"/>
    </row>
    <row r="45">
      <c r="A45" s="15" t="inlineStr">
        <is>
          <t>REQ-0044</t>
        </is>
      </c>
      <c r="B45" s="16" t="n">
        <v>44867.82708333333</v>
      </c>
      <c r="C45" s="16">
        <f>B45+1</f>
        <v/>
      </c>
      <c r="D45" s="17">
        <f>(C45-NOW())*24</f>
        <v/>
      </c>
      <c r="E45" s="15">
        <f>IF(N45="","STEP 1: Send WhatsApp + Email blast now (Playbook M1)",IF(N45="Bad contact","STOP: report bad contact to lead (Playbook)",IF(O45="Scheduled","DONE: scheduled via Calendly",IF(O45="","STEP 2: Check Calendly now",IF(P45="","STEP 3: Send WhatsApp nudge (Playbook M2)",IF(Q45="Scheduled","DONE: scheduled via Calendly",IF(Q45="Escalate to call","HANDED to Shyam (call queue)","STEP 4: Final Calendly check")))))))</f>
        <v/>
      </c>
      <c r="F45" s="16">
        <f>IF(N45="",B45,IF(O45="",B45+2/24,IF(AND(O45="Not yet",P45=""),B45+2/24,IF(Q45="",B45+4/24,""))))</f>
        <v/>
      </c>
      <c r="G45" s="15" t="inlineStr">
        <is>
          <t>Chetan</t>
        </is>
      </c>
      <c r="H45" s="15" t="inlineStr">
        <is>
          <t>Google</t>
        </is>
      </c>
      <c r="I45" s="15" t="inlineStr">
        <is>
          <t>Round1</t>
        </is>
      </c>
      <c r="J45" s="18" t="inlineStr">
        <is>
          <t>+91 9920264452</t>
        </is>
      </c>
      <c r="K45" s="15" t="inlineStr">
        <is>
          <t>chetan@weekday.works</t>
        </is>
      </c>
      <c r="L45" s="15" t="inlineStr">
        <is>
          <t>&lt;calendly_link&gt;</t>
        </is>
      </c>
      <c r="M45" s="15" t="inlineStr">
        <is>
          <t>Yes</t>
        </is>
      </c>
      <c r="N45" s="15" t="n"/>
      <c r="O45" s="15" t="n"/>
      <c r="P45" s="15" t="n"/>
      <c r="Q45" s="15" t="n"/>
      <c r="R45" s="15">
        <f>IF(OR(O45="Scheduled",Q45="Scheduled"),"SCHEDULED",IF(Q45="Escalate to call","ESCALATED TO CALL",IF(N45="Bad contact","BAD CONTACT",IF(N45="","NOT STARTED","IN PROGRESS"))))</f>
        <v/>
      </c>
      <c r="S45" s="15" t="n"/>
    </row>
    <row r="46">
      <c r="A46" s="15" t="inlineStr">
        <is>
          <t>REQ-0045</t>
        </is>
      </c>
      <c r="B46" s="16" t="n">
        <v>44867.82708333333</v>
      </c>
      <c r="C46" s="16">
        <f>B46+1</f>
        <v/>
      </c>
      <c r="D46" s="17">
        <f>(C46-NOW())*24</f>
        <v/>
      </c>
      <c r="E46" s="15">
        <f>IF(N46="","STEP 1: Send WhatsApp + Email blast now (Playbook M1)",IF(N46="Bad contact","STOP: report bad contact to lead (Playbook)",IF(O46="Scheduled","DONE: scheduled via Calendly",IF(O46="","STEP 2: Check Calendly now",IF(P46="","STEP 3: Send WhatsApp nudge (Playbook M2)",IF(Q46="Scheduled","DONE: scheduled via Calendly",IF(Q46="Escalate to call","HANDED to Shyam (call queue)","STEP 4: Final Calendly check")))))))</f>
        <v/>
      </c>
      <c r="F46" s="16">
        <f>IF(N46="",B46,IF(O46="",B46+2/24,IF(AND(O46="Not yet",P46=""),B46+2/24,IF(Q46="",B46+4/24,""))))</f>
        <v/>
      </c>
      <c r="G46" s="15" t="inlineStr">
        <is>
          <t>Chetan</t>
        </is>
      </c>
      <c r="H46" s="15" t="inlineStr">
        <is>
          <t>Google</t>
        </is>
      </c>
      <c r="I46" s="15" t="inlineStr">
        <is>
          <t>Round1</t>
        </is>
      </c>
      <c r="J46" s="18" t="inlineStr">
        <is>
          <t>+91 9920264452</t>
        </is>
      </c>
      <c r="K46" s="15" t="inlineStr">
        <is>
          <t>chetan@weekday.works</t>
        </is>
      </c>
      <c r="L46" s="15" t="inlineStr">
        <is>
          <t>&lt;calendly_link&gt;</t>
        </is>
      </c>
      <c r="M46" s="15" t="inlineStr">
        <is>
          <t>Yes</t>
        </is>
      </c>
      <c r="N46" s="15" t="n"/>
      <c r="O46" s="15" t="n"/>
      <c r="P46" s="15" t="n"/>
      <c r="Q46" s="15" t="n"/>
      <c r="R46" s="15">
        <f>IF(OR(O46="Scheduled",Q46="Scheduled"),"SCHEDULED",IF(Q46="Escalate to call","ESCALATED TO CALL",IF(N46="Bad contact","BAD CONTACT",IF(N46="","NOT STARTED","IN PROGRESS"))))</f>
        <v/>
      </c>
      <c r="S46" s="15" t="n"/>
    </row>
    <row r="47">
      <c r="A47" s="15" t="inlineStr">
        <is>
          <t>REQ-0046</t>
        </is>
      </c>
      <c r="B47" s="16" t="n">
        <v>44867.82708333333</v>
      </c>
      <c r="C47" s="16">
        <f>B47+1</f>
        <v/>
      </c>
      <c r="D47" s="17">
        <f>(C47-NOW())*24</f>
        <v/>
      </c>
      <c r="E47" s="15">
        <f>IF(N47="","STEP 1: Send WhatsApp + Email blast now (Playbook M1)",IF(N47="Bad contact","STOP: report bad contact to lead (Playbook)",IF(O47="Scheduled","DONE: scheduled via Calendly",IF(O47="","STEP 2: Check Calendly now",IF(P47="","STEP 3: Send WhatsApp nudge (Playbook M2)",IF(Q47="Scheduled","DONE: scheduled via Calendly",IF(Q47="Escalate to call","HANDED to Shyam (call queue)","STEP 4: Final Calendly check")))))))</f>
        <v/>
      </c>
      <c r="F47" s="16">
        <f>IF(N47="",B47,IF(O47="",B47+2/24,IF(AND(O47="Not yet",P47=""),B47+2/24,IF(Q47="",B47+4/24,""))))</f>
        <v/>
      </c>
      <c r="G47" s="15" t="inlineStr">
        <is>
          <t>Chetan</t>
        </is>
      </c>
      <c r="H47" s="15" t="inlineStr">
        <is>
          <t>Google</t>
        </is>
      </c>
      <c r="I47" s="15" t="inlineStr">
        <is>
          <t>Round1</t>
        </is>
      </c>
      <c r="J47" s="18" t="inlineStr">
        <is>
          <t>+91 9920264452</t>
        </is>
      </c>
      <c r="K47" s="15" t="inlineStr">
        <is>
          <t>chetan@weekday.works</t>
        </is>
      </c>
      <c r="L47" s="15" t="inlineStr">
        <is>
          <t>&lt;calendly_link&gt;</t>
        </is>
      </c>
      <c r="M47" s="15" t="inlineStr">
        <is>
          <t>Yes</t>
        </is>
      </c>
      <c r="N47" s="15" t="n"/>
      <c r="O47" s="15" t="n"/>
      <c r="P47" s="15" t="n"/>
      <c r="Q47" s="15" t="n"/>
      <c r="R47" s="15">
        <f>IF(OR(O47="Scheduled",Q47="Scheduled"),"SCHEDULED",IF(Q47="Escalate to call","ESCALATED TO CALL",IF(N47="Bad contact","BAD CONTACT",IF(N47="","NOT STARTED","IN PROGRESS"))))</f>
        <v/>
      </c>
      <c r="S47" s="15" t="n"/>
    </row>
    <row r="48">
      <c r="A48" s="15" t="inlineStr">
        <is>
          <t>REQ-0047</t>
        </is>
      </c>
      <c r="B48" s="16" t="n">
        <v>44867.82708333333</v>
      </c>
      <c r="C48" s="16">
        <f>B48+1</f>
        <v/>
      </c>
      <c r="D48" s="17">
        <f>(C48-NOW())*24</f>
        <v/>
      </c>
      <c r="E48" s="15">
        <f>IF(N48="","STEP 1: Send WhatsApp + Email blast now (Playbook M1)",IF(N48="Bad contact","STOP: report bad contact to lead (Playbook)",IF(O48="Scheduled","DONE: scheduled via Calendly",IF(O48="","STEP 2: Check Calendly now",IF(P48="","STEP 3: Send WhatsApp nudge (Playbook M2)",IF(Q48="Scheduled","DONE: scheduled via Calendly",IF(Q48="Escalate to call","HANDED to Shyam (call queue)","STEP 4: Final Calendly check")))))))</f>
        <v/>
      </c>
      <c r="F48" s="16">
        <f>IF(N48="",B48,IF(O48="",B48+2/24,IF(AND(O48="Not yet",P48=""),B48+2/24,IF(Q48="",B48+4/24,""))))</f>
        <v/>
      </c>
      <c r="G48" s="15" t="inlineStr">
        <is>
          <t>Chetan</t>
        </is>
      </c>
      <c r="H48" s="15" t="inlineStr">
        <is>
          <t>Google</t>
        </is>
      </c>
      <c r="I48" s="15" t="inlineStr">
        <is>
          <t>Round1</t>
        </is>
      </c>
      <c r="J48" s="18" t="inlineStr">
        <is>
          <t>+91 9920264452</t>
        </is>
      </c>
      <c r="K48" s="15" t="inlineStr">
        <is>
          <t>chetan@weekday.works</t>
        </is>
      </c>
      <c r="L48" s="15" t="inlineStr">
        <is>
          <t>&lt;calendly_link&gt;</t>
        </is>
      </c>
      <c r="M48" s="15" t="inlineStr">
        <is>
          <t>Yes</t>
        </is>
      </c>
      <c r="N48" s="15" t="n"/>
      <c r="O48" s="15" t="n"/>
      <c r="P48" s="15" t="n"/>
      <c r="Q48" s="15" t="n"/>
      <c r="R48" s="15">
        <f>IF(OR(O48="Scheduled",Q48="Scheduled"),"SCHEDULED",IF(Q48="Escalate to call","ESCALATED TO CALL",IF(N48="Bad contact","BAD CONTACT",IF(N48="","NOT STARTED","IN PROGRESS"))))</f>
        <v/>
      </c>
      <c r="S48" s="15" t="n"/>
    </row>
    <row r="49">
      <c r="A49" s="15" t="inlineStr">
        <is>
          <t>REQ-0048</t>
        </is>
      </c>
      <c r="B49" s="16" t="n">
        <v>44867.82708333333</v>
      </c>
      <c r="C49" s="16">
        <f>B49+1</f>
        <v/>
      </c>
      <c r="D49" s="17">
        <f>(C49-NOW())*24</f>
        <v/>
      </c>
      <c r="E49" s="15">
        <f>IF(N49="","STEP 1: Send WhatsApp + Email blast now (Playbook M1)",IF(N49="Bad contact","STOP: report bad contact to lead (Playbook)",IF(O49="Scheduled","DONE: scheduled via Calendly",IF(O49="","STEP 2: Check Calendly now",IF(P49="","STEP 3: Send WhatsApp nudge (Playbook M2)",IF(Q49="Scheduled","DONE: scheduled via Calendly",IF(Q49="Escalate to call","HANDED to Shyam (call queue)","STEP 4: Final Calendly check")))))))</f>
        <v/>
      </c>
      <c r="F49" s="16">
        <f>IF(N49="",B49,IF(O49="",B49+2/24,IF(AND(O49="Not yet",P49=""),B49+2/24,IF(Q49="",B49+4/24,""))))</f>
        <v/>
      </c>
      <c r="G49" s="15" t="inlineStr">
        <is>
          <t>Chetan</t>
        </is>
      </c>
      <c r="H49" s="15" t="inlineStr">
        <is>
          <t>Google</t>
        </is>
      </c>
      <c r="I49" s="15" t="inlineStr">
        <is>
          <t>Round1</t>
        </is>
      </c>
      <c r="J49" s="18" t="inlineStr">
        <is>
          <t>+91 9920264452</t>
        </is>
      </c>
      <c r="K49" s="15" t="inlineStr">
        <is>
          <t>chetan@weekday.works</t>
        </is>
      </c>
      <c r="L49" s="15" t="inlineStr">
        <is>
          <t>&lt;calendly_link&gt;</t>
        </is>
      </c>
      <c r="M49" s="15" t="inlineStr">
        <is>
          <t>Yes</t>
        </is>
      </c>
      <c r="N49" s="15" t="n"/>
      <c r="O49" s="15" t="n"/>
      <c r="P49" s="15" t="n"/>
      <c r="Q49" s="15" t="n"/>
      <c r="R49" s="15">
        <f>IF(OR(O49="Scheduled",Q49="Scheduled"),"SCHEDULED",IF(Q49="Escalate to call","ESCALATED TO CALL",IF(N49="Bad contact","BAD CONTACT",IF(N49="","NOT STARTED","IN PROGRESS"))))</f>
        <v/>
      </c>
      <c r="S49" s="15" t="n"/>
    </row>
    <row r="50">
      <c r="A50" s="15" t="inlineStr">
        <is>
          <t>REQ-0049</t>
        </is>
      </c>
      <c r="B50" s="16" t="n">
        <v>44867.82708333333</v>
      </c>
      <c r="C50" s="16">
        <f>B50+1</f>
        <v/>
      </c>
      <c r="D50" s="17">
        <f>(C50-NOW())*24</f>
        <v/>
      </c>
      <c r="E50" s="15">
        <f>IF(N50="","STEP 1: Send WhatsApp + Email blast now (Playbook M1)",IF(N50="Bad contact","STOP: report bad contact to lead (Playbook)",IF(O50="Scheduled","DONE: scheduled via Calendly",IF(O50="","STEP 2: Check Calendly now",IF(P50="","STEP 3: Send WhatsApp nudge (Playbook M2)",IF(Q50="Scheduled","DONE: scheduled via Calendly",IF(Q50="Escalate to call","HANDED to Shyam (call queue)","STEP 4: Final Calendly check")))))))</f>
        <v/>
      </c>
      <c r="F50" s="16">
        <f>IF(N50="",B50,IF(O50="",B50+2/24,IF(AND(O50="Not yet",P50=""),B50+2/24,IF(Q50="",B50+4/24,""))))</f>
        <v/>
      </c>
      <c r="G50" s="15" t="inlineStr">
        <is>
          <t>Chetan</t>
        </is>
      </c>
      <c r="H50" s="15" t="inlineStr">
        <is>
          <t>Google</t>
        </is>
      </c>
      <c r="I50" s="15" t="inlineStr">
        <is>
          <t>Round1</t>
        </is>
      </c>
      <c r="J50" s="18" t="inlineStr">
        <is>
          <t>+91 9920264452</t>
        </is>
      </c>
      <c r="K50" s="15" t="inlineStr">
        <is>
          <t>chetan@weekday.works</t>
        </is>
      </c>
      <c r="L50" s="15" t="inlineStr">
        <is>
          <t>&lt;calendly_link&gt;</t>
        </is>
      </c>
      <c r="M50" s="15" t="inlineStr">
        <is>
          <t>Yes</t>
        </is>
      </c>
      <c r="N50" s="15" t="n"/>
      <c r="O50" s="15" t="n"/>
      <c r="P50" s="15" t="n"/>
      <c r="Q50" s="15" t="n"/>
      <c r="R50" s="15">
        <f>IF(OR(O50="Scheduled",Q50="Scheduled"),"SCHEDULED",IF(Q50="Escalate to call","ESCALATED TO CALL",IF(N50="Bad contact","BAD CONTACT",IF(N50="","NOT STARTED","IN PROGRESS"))))</f>
        <v/>
      </c>
      <c r="S50" s="15" t="n"/>
    </row>
    <row r="51">
      <c r="A51" s="15" t="inlineStr">
        <is>
          <t>REQ-0050</t>
        </is>
      </c>
      <c r="B51" s="16" t="n">
        <v>44867.82708333333</v>
      </c>
      <c r="C51" s="16">
        <f>B51+1</f>
        <v/>
      </c>
      <c r="D51" s="17">
        <f>(C51-NOW())*24</f>
        <v/>
      </c>
      <c r="E51" s="15">
        <f>IF(N51="","STEP 1: Send WhatsApp + Email blast now (Playbook M1)",IF(N51="Bad contact","STOP: report bad contact to lead (Playbook)",IF(O51="Scheduled","DONE: scheduled via Calendly",IF(O51="","STEP 2: Check Calendly now",IF(P51="","STEP 3: Send WhatsApp nudge (Playbook M2)",IF(Q51="Scheduled","DONE: scheduled via Calendly",IF(Q51="Escalate to call","HANDED to Shyam (call queue)","STEP 4: Final Calendly check")))))))</f>
        <v/>
      </c>
      <c r="F51" s="16">
        <f>IF(N51="",B51,IF(O51="",B51+2/24,IF(AND(O51="Not yet",P51=""),B51+2/24,IF(Q51="",B51+4/24,""))))</f>
        <v/>
      </c>
      <c r="G51" s="15" t="inlineStr">
        <is>
          <t>Chetan</t>
        </is>
      </c>
      <c r="H51" s="15" t="inlineStr">
        <is>
          <t>Google</t>
        </is>
      </c>
      <c r="I51" s="15" t="inlineStr">
        <is>
          <t>Round1</t>
        </is>
      </c>
      <c r="J51" s="18" t="inlineStr">
        <is>
          <t>+91 9920264452</t>
        </is>
      </c>
      <c r="K51" s="15" t="inlineStr">
        <is>
          <t>chetan@weekday.works</t>
        </is>
      </c>
      <c r="L51" s="15" t="inlineStr">
        <is>
          <t>&lt;calendly_link&gt;</t>
        </is>
      </c>
      <c r="M51" s="15" t="inlineStr">
        <is>
          <t>Yes</t>
        </is>
      </c>
      <c r="N51" s="15" t="n"/>
      <c r="O51" s="15" t="n"/>
      <c r="P51" s="15" t="n"/>
      <c r="Q51" s="15" t="n"/>
      <c r="R51" s="15">
        <f>IF(OR(O51="Scheduled",Q51="Scheduled"),"SCHEDULED",IF(Q51="Escalate to call","ESCALATED TO CALL",IF(N51="Bad contact","BAD CONTACT",IF(N51="","NOT STARTED","IN PROGRESS"))))</f>
        <v/>
      </c>
      <c r="S51" s="15" t="n"/>
    </row>
    <row r="52">
      <c r="A52" s="15" t="inlineStr">
        <is>
          <t>REQ-0051</t>
        </is>
      </c>
      <c r="B52" s="16" t="n">
        <v>44867.82708333333</v>
      </c>
      <c r="C52" s="16">
        <f>B52+1</f>
        <v/>
      </c>
      <c r="D52" s="17">
        <f>(C52-NOW())*24</f>
        <v/>
      </c>
      <c r="E52" s="15">
        <f>IF(N52="","STEP 1: Send WhatsApp + Email blast now (Playbook M1)",IF(N52="Bad contact","STOP: report bad contact to lead (Playbook)",IF(O52="Scheduled","DONE: scheduled via Calendly",IF(O52="","STEP 2: Check Calendly now",IF(P52="","STEP 3: Send WhatsApp nudge (Playbook M2)",IF(Q52="Scheduled","DONE: scheduled via Calendly",IF(Q52="Escalate to call","HANDED to Shyam (call queue)","STEP 4: Final Calendly check")))))))</f>
        <v/>
      </c>
      <c r="F52" s="16">
        <f>IF(N52="",B52,IF(O52="",B52+2/24,IF(AND(O52="Not yet",P52=""),B52+2/24,IF(Q52="",B52+4/24,""))))</f>
        <v/>
      </c>
      <c r="G52" s="15" t="inlineStr">
        <is>
          <t>Chetan</t>
        </is>
      </c>
      <c r="H52" s="15" t="inlineStr">
        <is>
          <t>Google</t>
        </is>
      </c>
      <c r="I52" s="15" t="inlineStr">
        <is>
          <t>Round1</t>
        </is>
      </c>
      <c r="J52" s="18" t="inlineStr">
        <is>
          <t>+91 9920264452</t>
        </is>
      </c>
      <c r="K52" s="15" t="inlineStr">
        <is>
          <t>chetan@weekday.works</t>
        </is>
      </c>
      <c r="L52" s="15" t="inlineStr">
        <is>
          <t>&lt;calendly_link&gt;</t>
        </is>
      </c>
      <c r="M52" s="15" t="inlineStr">
        <is>
          <t>Yes</t>
        </is>
      </c>
      <c r="N52" s="15" t="n"/>
      <c r="O52" s="15" t="n"/>
      <c r="P52" s="15" t="n"/>
      <c r="Q52" s="15" t="n"/>
      <c r="R52" s="15">
        <f>IF(OR(O52="Scheduled",Q52="Scheduled"),"SCHEDULED",IF(Q52="Escalate to call","ESCALATED TO CALL",IF(N52="Bad contact","BAD CONTACT",IF(N52="","NOT STARTED","IN PROGRESS"))))</f>
        <v/>
      </c>
      <c r="S52" s="15" t="n"/>
    </row>
    <row r="53">
      <c r="A53" s="15" t="inlineStr">
        <is>
          <t>REQ-0052</t>
        </is>
      </c>
      <c r="B53" s="16" t="n">
        <v>44867.82708333333</v>
      </c>
      <c r="C53" s="16">
        <f>B53+1</f>
        <v/>
      </c>
      <c r="D53" s="17">
        <f>(C53-NOW())*24</f>
        <v/>
      </c>
      <c r="E53" s="15">
        <f>IF(N53="","STEP 1: Send WhatsApp + Email blast now (Playbook M1)",IF(N53="Bad contact","STOP: report bad contact to lead (Playbook)",IF(O53="Scheduled","DONE: scheduled via Calendly",IF(O53="","STEP 2: Check Calendly now",IF(P53="","STEP 3: Send WhatsApp nudge (Playbook M2)",IF(Q53="Scheduled","DONE: scheduled via Calendly",IF(Q53="Escalate to call","HANDED to Shyam (call queue)","STEP 4: Final Calendly check")))))))</f>
        <v/>
      </c>
      <c r="F53" s="16">
        <f>IF(N53="",B53,IF(O53="",B53+2/24,IF(AND(O53="Not yet",P53=""),B53+2/24,IF(Q53="",B53+4/24,""))))</f>
        <v/>
      </c>
      <c r="G53" s="15" t="inlineStr">
        <is>
          <t>Chetan</t>
        </is>
      </c>
      <c r="H53" s="15" t="inlineStr">
        <is>
          <t>Google</t>
        </is>
      </c>
      <c r="I53" s="15" t="inlineStr">
        <is>
          <t>Round1</t>
        </is>
      </c>
      <c r="J53" s="18" t="inlineStr">
        <is>
          <t>+91 9920264452</t>
        </is>
      </c>
      <c r="K53" s="15" t="inlineStr">
        <is>
          <t>chetan@weekday.works</t>
        </is>
      </c>
      <c r="L53" s="15" t="inlineStr">
        <is>
          <t>&lt;calendly_link&gt;</t>
        </is>
      </c>
      <c r="M53" s="15" t="inlineStr">
        <is>
          <t>Yes</t>
        </is>
      </c>
      <c r="N53" s="15" t="n"/>
      <c r="O53" s="15" t="n"/>
      <c r="P53" s="15" t="n"/>
      <c r="Q53" s="15" t="n"/>
      <c r="R53" s="15">
        <f>IF(OR(O53="Scheduled",Q53="Scheduled"),"SCHEDULED",IF(Q53="Escalate to call","ESCALATED TO CALL",IF(N53="Bad contact","BAD CONTACT",IF(N53="","NOT STARTED","IN PROGRESS"))))</f>
        <v/>
      </c>
      <c r="S53" s="15" t="n"/>
    </row>
    <row r="54">
      <c r="A54" s="15" t="inlineStr">
        <is>
          <t>REQ-0053</t>
        </is>
      </c>
      <c r="B54" s="16" t="n">
        <v>44867.82708333333</v>
      </c>
      <c r="C54" s="16">
        <f>B54+1</f>
        <v/>
      </c>
      <c r="D54" s="17">
        <f>(C54-NOW())*24</f>
        <v/>
      </c>
      <c r="E54" s="15">
        <f>IF(N54="","STEP 1: Send WhatsApp + Email blast now (Playbook M1)",IF(N54="Bad contact","STOP: report bad contact to lead (Playbook)",IF(O54="Scheduled","DONE: scheduled via Calendly",IF(O54="","STEP 2: Check Calendly now",IF(P54="","STEP 3: Send WhatsApp nudge (Playbook M2)",IF(Q54="Scheduled","DONE: scheduled via Calendly",IF(Q54="Escalate to call","HANDED to Shyam (call queue)","STEP 4: Final Calendly check")))))))</f>
        <v/>
      </c>
      <c r="F54" s="16">
        <f>IF(N54="",B54,IF(O54="",B54+2/24,IF(AND(O54="Not yet",P54=""),B54+2/24,IF(Q54="",B54+4/24,""))))</f>
        <v/>
      </c>
      <c r="G54" s="15" t="inlineStr">
        <is>
          <t>Chetan</t>
        </is>
      </c>
      <c r="H54" s="15" t="inlineStr">
        <is>
          <t>Google</t>
        </is>
      </c>
      <c r="I54" s="15" t="inlineStr">
        <is>
          <t>Round1</t>
        </is>
      </c>
      <c r="J54" s="18" t="inlineStr">
        <is>
          <t>+91 9920264452</t>
        </is>
      </c>
      <c r="K54" s="15" t="inlineStr">
        <is>
          <t>chetan@weekday.works</t>
        </is>
      </c>
      <c r="L54" s="15" t="inlineStr">
        <is>
          <t>&lt;calendly_link&gt;</t>
        </is>
      </c>
      <c r="M54" s="15" t="inlineStr">
        <is>
          <t>Yes</t>
        </is>
      </c>
      <c r="N54" s="15" t="n"/>
      <c r="O54" s="15" t="n"/>
      <c r="P54" s="15" t="n"/>
      <c r="Q54" s="15" t="n"/>
      <c r="R54" s="15">
        <f>IF(OR(O54="Scheduled",Q54="Scheduled"),"SCHEDULED",IF(Q54="Escalate to call","ESCALATED TO CALL",IF(N54="Bad contact","BAD CONTACT",IF(N54="","NOT STARTED","IN PROGRESS"))))</f>
        <v/>
      </c>
      <c r="S54" s="15" t="n"/>
    </row>
    <row r="55">
      <c r="A55" s="15" t="inlineStr">
        <is>
          <t>REQ-0054</t>
        </is>
      </c>
      <c r="B55" s="16" t="n">
        <v>44867.82708333333</v>
      </c>
      <c r="C55" s="16">
        <f>B55+1</f>
        <v/>
      </c>
      <c r="D55" s="17">
        <f>(C55-NOW())*24</f>
        <v/>
      </c>
      <c r="E55" s="15">
        <f>IF(N55="","STEP 1: Send WhatsApp + Email blast now (Playbook M1)",IF(N55="Bad contact","STOP: report bad contact to lead (Playbook)",IF(O55="Scheduled","DONE: scheduled via Calendly",IF(O55="","STEP 2: Check Calendly now",IF(P55="","STEP 3: Send WhatsApp nudge (Playbook M2)",IF(Q55="Scheduled","DONE: scheduled via Calendly",IF(Q55="Escalate to call","HANDED to Shyam (call queue)","STEP 4: Final Calendly check")))))))</f>
        <v/>
      </c>
      <c r="F55" s="16">
        <f>IF(N55="",B55,IF(O55="",B55+2/24,IF(AND(O55="Not yet",P55=""),B55+2/24,IF(Q55="",B55+4/24,""))))</f>
        <v/>
      </c>
      <c r="G55" s="15" t="inlineStr">
        <is>
          <t>Chetan</t>
        </is>
      </c>
      <c r="H55" s="15" t="inlineStr">
        <is>
          <t>Google</t>
        </is>
      </c>
      <c r="I55" s="15" t="inlineStr">
        <is>
          <t>Round1</t>
        </is>
      </c>
      <c r="J55" s="18" t="inlineStr">
        <is>
          <t>+91 9920264452</t>
        </is>
      </c>
      <c r="K55" s="15" t="inlineStr">
        <is>
          <t>chetan@weekday.works</t>
        </is>
      </c>
      <c r="L55" s="15" t="inlineStr">
        <is>
          <t>&lt;calendly_link&gt;</t>
        </is>
      </c>
      <c r="M55" s="15" t="inlineStr">
        <is>
          <t>Yes</t>
        </is>
      </c>
      <c r="N55" s="15" t="n"/>
      <c r="O55" s="15" t="n"/>
      <c r="P55" s="15" t="n"/>
      <c r="Q55" s="15" t="n"/>
      <c r="R55" s="15">
        <f>IF(OR(O55="Scheduled",Q55="Scheduled"),"SCHEDULED",IF(Q55="Escalate to call","ESCALATED TO CALL",IF(N55="Bad contact","BAD CONTACT",IF(N55="","NOT STARTED","IN PROGRESS"))))</f>
        <v/>
      </c>
      <c r="S55" s="15" t="n"/>
    </row>
    <row r="56">
      <c r="A56" s="15" t="inlineStr">
        <is>
          <t>REQ-0055</t>
        </is>
      </c>
      <c r="B56" s="16" t="n">
        <v>44867.82708333333</v>
      </c>
      <c r="C56" s="16">
        <f>B56+1</f>
        <v/>
      </c>
      <c r="D56" s="17">
        <f>(C56-NOW())*24</f>
        <v/>
      </c>
      <c r="E56" s="15">
        <f>IF(N56="","STEP 1: Send WhatsApp + Email blast now (Playbook M1)",IF(N56="Bad contact","STOP: report bad contact to lead (Playbook)",IF(O56="Scheduled","DONE: scheduled via Calendly",IF(O56="","STEP 2: Check Calendly now",IF(P56="","STEP 3: Send WhatsApp nudge (Playbook M2)",IF(Q56="Scheduled","DONE: scheduled via Calendly",IF(Q56="Escalate to call","HANDED to Shyam (call queue)","STEP 4: Final Calendly check")))))))</f>
        <v/>
      </c>
      <c r="F56" s="16">
        <f>IF(N56="",B56,IF(O56="",B56+2/24,IF(AND(O56="Not yet",P56=""),B56+2/24,IF(Q56="",B56+4/24,""))))</f>
        <v/>
      </c>
      <c r="G56" s="15" t="inlineStr">
        <is>
          <t>Chetan</t>
        </is>
      </c>
      <c r="H56" s="15" t="inlineStr">
        <is>
          <t>Google</t>
        </is>
      </c>
      <c r="I56" s="15" t="inlineStr">
        <is>
          <t>Round1</t>
        </is>
      </c>
      <c r="J56" s="18" t="inlineStr">
        <is>
          <t>+91 9920264452</t>
        </is>
      </c>
      <c r="K56" s="15" t="inlineStr">
        <is>
          <t>chetan@weekday.works</t>
        </is>
      </c>
      <c r="L56" s="15" t="inlineStr">
        <is>
          <t>&lt;calendly_link&gt;</t>
        </is>
      </c>
      <c r="M56" s="15" t="inlineStr">
        <is>
          <t>Yes</t>
        </is>
      </c>
      <c r="N56" s="15" t="n"/>
      <c r="O56" s="15" t="n"/>
      <c r="P56" s="15" t="n"/>
      <c r="Q56" s="15" t="n"/>
      <c r="R56" s="15">
        <f>IF(OR(O56="Scheduled",Q56="Scheduled"),"SCHEDULED",IF(Q56="Escalate to call","ESCALATED TO CALL",IF(N56="Bad contact","BAD CONTACT",IF(N56="","NOT STARTED","IN PROGRESS"))))</f>
        <v/>
      </c>
      <c r="S56" s="15" t="n"/>
    </row>
    <row r="57">
      <c r="A57" s="15" t="inlineStr">
        <is>
          <t>REQ-0056</t>
        </is>
      </c>
      <c r="B57" s="16" t="n">
        <v>44867.82708333333</v>
      </c>
      <c r="C57" s="16">
        <f>B57+1</f>
        <v/>
      </c>
      <c r="D57" s="17">
        <f>(C57-NOW())*24</f>
        <v/>
      </c>
      <c r="E57" s="15">
        <f>IF(N57="","STEP 1: Send WhatsApp + Email blast now (Playbook M1)",IF(N57="Bad contact","STOP: report bad contact to lead (Playbook)",IF(O57="Scheduled","DONE: scheduled via Calendly",IF(O57="","STEP 2: Check Calendly now",IF(P57="","STEP 3: Send WhatsApp nudge (Playbook M2)",IF(Q57="Scheduled","DONE: scheduled via Calendly",IF(Q57="Escalate to call","HANDED to Shyam (call queue)","STEP 4: Final Calendly check")))))))</f>
        <v/>
      </c>
      <c r="F57" s="16">
        <f>IF(N57="",B57,IF(O57="",B57+2/24,IF(AND(O57="Not yet",P57=""),B57+2/24,IF(Q57="",B57+4/24,""))))</f>
        <v/>
      </c>
      <c r="G57" s="15" t="inlineStr">
        <is>
          <t>Chetan</t>
        </is>
      </c>
      <c r="H57" s="15" t="inlineStr">
        <is>
          <t>Google</t>
        </is>
      </c>
      <c r="I57" s="15" t="inlineStr">
        <is>
          <t>Round1</t>
        </is>
      </c>
      <c r="J57" s="18" t="inlineStr">
        <is>
          <t>+91 9920264452</t>
        </is>
      </c>
      <c r="K57" s="15" t="inlineStr">
        <is>
          <t>chetan@weekday.works</t>
        </is>
      </c>
      <c r="L57" s="15" t="inlineStr">
        <is>
          <t>&lt;calendly_link&gt;</t>
        </is>
      </c>
      <c r="M57" s="15" t="inlineStr">
        <is>
          <t>Yes</t>
        </is>
      </c>
      <c r="N57" s="15" t="n"/>
      <c r="O57" s="15" t="n"/>
      <c r="P57" s="15" t="n"/>
      <c r="Q57" s="15" t="n"/>
      <c r="R57" s="15">
        <f>IF(OR(O57="Scheduled",Q57="Scheduled"),"SCHEDULED",IF(Q57="Escalate to call","ESCALATED TO CALL",IF(N57="Bad contact","BAD CONTACT",IF(N57="","NOT STARTED","IN PROGRESS"))))</f>
        <v/>
      </c>
      <c r="S57" s="15" t="n"/>
    </row>
    <row r="58">
      <c r="A58" s="15" t="inlineStr">
        <is>
          <t>REQ-0057</t>
        </is>
      </c>
      <c r="B58" s="16" t="n">
        <v>44867.82708333333</v>
      </c>
      <c r="C58" s="16">
        <f>B58+1</f>
        <v/>
      </c>
      <c r="D58" s="17">
        <f>(C58-NOW())*24</f>
        <v/>
      </c>
      <c r="E58" s="15">
        <f>IF(N58="","STEP 1: Send WhatsApp + Email blast now (Playbook M1)",IF(N58="Bad contact","STOP: report bad contact to lead (Playbook)",IF(O58="Scheduled","DONE: scheduled via Calendly",IF(O58="","STEP 2: Check Calendly now",IF(P58="","STEP 3: Send WhatsApp nudge (Playbook M2)",IF(Q58="Scheduled","DONE: scheduled via Calendly",IF(Q58="Escalate to call","HANDED to Shyam (call queue)","STEP 4: Final Calendly check")))))))</f>
        <v/>
      </c>
      <c r="F58" s="16">
        <f>IF(N58="",B58,IF(O58="",B58+2/24,IF(AND(O58="Not yet",P58=""),B58+2/24,IF(Q58="",B58+4/24,""))))</f>
        <v/>
      </c>
      <c r="G58" s="15" t="inlineStr">
        <is>
          <t>Chetan</t>
        </is>
      </c>
      <c r="H58" s="15" t="inlineStr">
        <is>
          <t>Google</t>
        </is>
      </c>
      <c r="I58" s="15" t="inlineStr">
        <is>
          <t>Round1</t>
        </is>
      </c>
      <c r="J58" s="18" t="inlineStr">
        <is>
          <t>+91 9920264452</t>
        </is>
      </c>
      <c r="K58" s="15" t="inlineStr">
        <is>
          <t>chetan@weekday.works</t>
        </is>
      </c>
      <c r="L58" s="15" t="inlineStr">
        <is>
          <t>&lt;calendly_link&gt;</t>
        </is>
      </c>
      <c r="M58" s="15" t="inlineStr">
        <is>
          <t>Yes</t>
        </is>
      </c>
      <c r="N58" s="15" t="n"/>
      <c r="O58" s="15" t="n"/>
      <c r="P58" s="15" t="n"/>
      <c r="Q58" s="15" t="n"/>
      <c r="R58" s="15">
        <f>IF(OR(O58="Scheduled",Q58="Scheduled"),"SCHEDULED",IF(Q58="Escalate to call","ESCALATED TO CALL",IF(N58="Bad contact","BAD CONTACT",IF(N58="","NOT STARTED","IN PROGRESS"))))</f>
        <v/>
      </c>
      <c r="S58" s="15" t="n"/>
    </row>
    <row r="59">
      <c r="A59" s="15" t="inlineStr">
        <is>
          <t>REQ-0058</t>
        </is>
      </c>
      <c r="B59" s="16" t="n">
        <v>44867.82708333333</v>
      </c>
      <c r="C59" s="16">
        <f>B59+1</f>
        <v/>
      </c>
      <c r="D59" s="17">
        <f>(C59-NOW())*24</f>
        <v/>
      </c>
      <c r="E59" s="15">
        <f>IF(N59="","STEP 1: Send WhatsApp + Email blast now (Playbook M1)",IF(N59="Bad contact","STOP: report bad contact to lead (Playbook)",IF(O59="Scheduled","DONE: scheduled via Calendly",IF(O59="","STEP 2: Check Calendly now",IF(P59="","STEP 3: Send WhatsApp nudge (Playbook M2)",IF(Q59="Scheduled","DONE: scheduled via Calendly",IF(Q59="Escalate to call","HANDED to Shyam (call queue)","STEP 4: Final Calendly check")))))))</f>
        <v/>
      </c>
      <c r="F59" s="16">
        <f>IF(N59="",B59,IF(O59="",B59+2/24,IF(AND(O59="Not yet",P59=""),B59+2/24,IF(Q59="",B59+4/24,""))))</f>
        <v/>
      </c>
      <c r="G59" s="15" t="inlineStr">
        <is>
          <t>Chetan</t>
        </is>
      </c>
      <c r="H59" s="15" t="inlineStr">
        <is>
          <t>Google</t>
        </is>
      </c>
      <c r="I59" s="15" t="inlineStr">
        <is>
          <t>Round1</t>
        </is>
      </c>
      <c r="J59" s="18" t="inlineStr">
        <is>
          <t>+91 9920264452</t>
        </is>
      </c>
      <c r="K59" s="15" t="inlineStr">
        <is>
          <t>chetan@weekday.works</t>
        </is>
      </c>
      <c r="L59" s="15" t="inlineStr">
        <is>
          <t>&lt;calendly_link&gt;</t>
        </is>
      </c>
      <c r="M59" s="15" t="inlineStr">
        <is>
          <t>Yes</t>
        </is>
      </c>
      <c r="N59" s="15" t="n"/>
      <c r="O59" s="15" t="n"/>
      <c r="P59" s="15" t="n"/>
      <c r="Q59" s="15" t="n"/>
      <c r="R59" s="15">
        <f>IF(OR(O59="Scheduled",Q59="Scheduled"),"SCHEDULED",IF(Q59="Escalate to call","ESCALATED TO CALL",IF(N59="Bad contact","BAD CONTACT",IF(N59="","NOT STARTED","IN PROGRESS"))))</f>
        <v/>
      </c>
      <c r="S59" s="15" t="n"/>
    </row>
    <row r="60">
      <c r="A60" s="15" t="inlineStr">
        <is>
          <t>REQ-0059</t>
        </is>
      </c>
      <c r="B60" s="16" t="n">
        <v>44867.82708333333</v>
      </c>
      <c r="C60" s="16">
        <f>B60+1</f>
        <v/>
      </c>
      <c r="D60" s="17">
        <f>(C60-NOW())*24</f>
        <v/>
      </c>
      <c r="E60" s="15">
        <f>IF(N60="","STEP 1: Send WhatsApp + Email blast now (Playbook M1)",IF(N60="Bad contact","STOP: report bad contact to lead (Playbook)",IF(O60="Scheduled","DONE: scheduled via Calendly",IF(O60="","STEP 2: Check Calendly now",IF(P60="","STEP 3: Send WhatsApp nudge (Playbook M2)",IF(Q60="Scheduled","DONE: scheduled via Calendly",IF(Q60="Escalate to call","HANDED to Shyam (call queue)","STEP 4: Final Calendly check")))))))</f>
        <v/>
      </c>
      <c r="F60" s="16">
        <f>IF(N60="",B60,IF(O60="",B60+2/24,IF(AND(O60="Not yet",P60=""),B60+2/24,IF(Q60="",B60+4/24,""))))</f>
        <v/>
      </c>
      <c r="G60" s="15" t="inlineStr">
        <is>
          <t>Chetan</t>
        </is>
      </c>
      <c r="H60" s="15" t="inlineStr">
        <is>
          <t>Google</t>
        </is>
      </c>
      <c r="I60" s="15" t="inlineStr">
        <is>
          <t>Round1</t>
        </is>
      </c>
      <c r="J60" s="18" t="inlineStr">
        <is>
          <t>+91 9920264452</t>
        </is>
      </c>
      <c r="K60" s="15" t="inlineStr">
        <is>
          <t>chetan@weekday.works</t>
        </is>
      </c>
      <c r="L60" s="15" t="inlineStr">
        <is>
          <t>&lt;calendly_link&gt;</t>
        </is>
      </c>
      <c r="M60" s="15" t="inlineStr">
        <is>
          <t>Yes</t>
        </is>
      </c>
      <c r="N60" s="15" t="n"/>
      <c r="O60" s="15" t="n"/>
      <c r="P60" s="15" t="n"/>
      <c r="Q60" s="15" t="n"/>
      <c r="R60" s="15">
        <f>IF(OR(O60="Scheduled",Q60="Scheduled"),"SCHEDULED",IF(Q60="Escalate to call","ESCALATED TO CALL",IF(N60="Bad contact","BAD CONTACT",IF(N60="","NOT STARTED","IN PROGRESS"))))</f>
        <v/>
      </c>
      <c r="S60" s="15" t="n"/>
    </row>
    <row r="61">
      <c r="A61" s="15" t="inlineStr">
        <is>
          <t>REQ-0060</t>
        </is>
      </c>
      <c r="B61" s="16" t="n">
        <v>44867.82708333333</v>
      </c>
      <c r="C61" s="16">
        <f>B61+1</f>
        <v/>
      </c>
      <c r="D61" s="17">
        <f>(C61-NOW())*24</f>
        <v/>
      </c>
      <c r="E61" s="15">
        <f>IF(N61="","STEP 1: Send WhatsApp + Email blast now (Playbook M1)",IF(N61="Bad contact","STOP: report bad contact to lead (Playbook)",IF(O61="Scheduled","DONE: scheduled via Calendly",IF(O61="","STEP 2: Check Calendly now",IF(P61="","STEP 3: Send WhatsApp nudge (Playbook M2)",IF(Q61="Scheduled","DONE: scheduled via Calendly",IF(Q61="Escalate to call","HANDED to Shyam (call queue)","STEP 4: Final Calendly check")))))))</f>
        <v/>
      </c>
      <c r="F61" s="16">
        <f>IF(N61="",B61,IF(O61="",B61+2/24,IF(AND(O61="Not yet",P61=""),B61+2/24,IF(Q61="",B61+4/24,""))))</f>
        <v/>
      </c>
      <c r="G61" s="15" t="inlineStr">
        <is>
          <t>Chetan</t>
        </is>
      </c>
      <c r="H61" s="15" t="inlineStr">
        <is>
          <t>Google</t>
        </is>
      </c>
      <c r="I61" s="15" t="inlineStr">
        <is>
          <t>Round1</t>
        </is>
      </c>
      <c r="J61" s="18" t="inlineStr">
        <is>
          <t>+91 9920264452</t>
        </is>
      </c>
      <c r="K61" s="15" t="inlineStr">
        <is>
          <t>chetan@weekday.works</t>
        </is>
      </c>
      <c r="L61" s="15" t="inlineStr">
        <is>
          <t>&lt;calendly_link&gt;</t>
        </is>
      </c>
      <c r="M61" s="15" t="inlineStr">
        <is>
          <t>Yes</t>
        </is>
      </c>
      <c r="N61" s="15" t="n"/>
      <c r="O61" s="15" t="n"/>
      <c r="P61" s="15" t="n"/>
      <c r="Q61" s="15" t="n"/>
      <c r="R61" s="15">
        <f>IF(OR(O61="Scheduled",Q61="Scheduled"),"SCHEDULED",IF(Q61="Escalate to call","ESCALATED TO CALL",IF(N61="Bad contact","BAD CONTACT",IF(N61="","NOT STARTED","IN PROGRESS"))))</f>
        <v/>
      </c>
      <c r="S61" s="15" t="n"/>
    </row>
    <row r="62">
      <c r="A62" s="15" t="inlineStr">
        <is>
          <t>REQ-0061</t>
        </is>
      </c>
      <c r="B62" s="16" t="n">
        <v>44867.82708333333</v>
      </c>
      <c r="C62" s="16">
        <f>B62+1</f>
        <v/>
      </c>
      <c r="D62" s="17">
        <f>(C62-NOW())*24</f>
        <v/>
      </c>
      <c r="E62" s="15">
        <f>IF(N62="","STEP 1: Send WhatsApp + Email blast now (Playbook M1)",IF(N62="Bad contact","STOP: report bad contact to lead (Playbook)",IF(O62="Scheduled","DONE: scheduled via Calendly",IF(O62="","STEP 2: Check Calendly now",IF(P62="","STEP 3: Send WhatsApp nudge (Playbook M2)",IF(Q62="Scheduled","DONE: scheduled via Calendly",IF(Q62="Escalate to call","HANDED to Shyam (call queue)","STEP 4: Final Calendly check")))))))</f>
        <v/>
      </c>
      <c r="F62" s="16">
        <f>IF(N62="",B62,IF(O62="",B62+2/24,IF(AND(O62="Not yet",P62=""),B62+2/24,IF(Q62="",B62+4/24,""))))</f>
        <v/>
      </c>
      <c r="G62" s="15" t="inlineStr">
        <is>
          <t>Chetan</t>
        </is>
      </c>
      <c r="H62" s="15" t="inlineStr">
        <is>
          <t>Google</t>
        </is>
      </c>
      <c r="I62" s="15" t="inlineStr">
        <is>
          <t>Round1</t>
        </is>
      </c>
      <c r="J62" s="18" t="inlineStr">
        <is>
          <t>+91 9920264452</t>
        </is>
      </c>
      <c r="K62" s="15" t="inlineStr">
        <is>
          <t>chetan@weekday.works</t>
        </is>
      </c>
      <c r="L62" s="15" t="inlineStr">
        <is>
          <t>&lt;calendly_link&gt;</t>
        </is>
      </c>
      <c r="M62" s="15" t="inlineStr">
        <is>
          <t>Yes</t>
        </is>
      </c>
      <c r="N62" s="15" t="n"/>
      <c r="O62" s="15" t="n"/>
      <c r="P62" s="15" t="n"/>
      <c r="Q62" s="15" t="n"/>
      <c r="R62" s="15">
        <f>IF(OR(O62="Scheduled",Q62="Scheduled"),"SCHEDULED",IF(Q62="Escalate to call","ESCALATED TO CALL",IF(N62="Bad contact","BAD CONTACT",IF(N62="","NOT STARTED","IN PROGRESS"))))</f>
        <v/>
      </c>
      <c r="S62" s="15" t="n"/>
    </row>
    <row r="63">
      <c r="A63" s="15" t="inlineStr">
        <is>
          <t>REQ-0062</t>
        </is>
      </c>
      <c r="B63" s="16" t="n">
        <v>44867.82708333333</v>
      </c>
      <c r="C63" s="16">
        <f>B63+1</f>
        <v/>
      </c>
      <c r="D63" s="17">
        <f>(C63-NOW())*24</f>
        <v/>
      </c>
      <c r="E63" s="15">
        <f>IF(N63="","STEP 1: Send WhatsApp + Email blast now (Playbook M1)",IF(N63="Bad contact","STOP: report bad contact to lead (Playbook)",IF(O63="Scheduled","DONE: scheduled via Calendly",IF(O63="","STEP 2: Check Calendly now",IF(P63="","STEP 3: Send WhatsApp nudge (Playbook M2)",IF(Q63="Scheduled","DONE: scheduled via Calendly",IF(Q63="Escalate to call","HANDED to Shyam (call queue)","STEP 4: Final Calendly check")))))))</f>
        <v/>
      </c>
      <c r="F63" s="16">
        <f>IF(N63="",B63,IF(O63="",B63+2/24,IF(AND(O63="Not yet",P63=""),B63+2/24,IF(Q63="",B63+4/24,""))))</f>
        <v/>
      </c>
      <c r="G63" s="15" t="inlineStr">
        <is>
          <t>Chetan</t>
        </is>
      </c>
      <c r="H63" s="15" t="inlineStr">
        <is>
          <t>Google</t>
        </is>
      </c>
      <c r="I63" s="15" t="inlineStr">
        <is>
          <t>Round1</t>
        </is>
      </c>
      <c r="J63" s="18" t="inlineStr">
        <is>
          <t>+91 9920264452</t>
        </is>
      </c>
      <c r="K63" s="15" t="inlineStr">
        <is>
          <t>chetan@weekday.works</t>
        </is>
      </c>
      <c r="L63" s="15" t="inlineStr">
        <is>
          <t>&lt;calendly_link&gt;</t>
        </is>
      </c>
      <c r="M63" s="15" t="inlineStr">
        <is>
          <t>Yes</t>
        </is>
      </c>
      <c r="N63" s="15" t="n"/>
      <c r="O63" s="15" t="n"/>
      <c r="P63" s="15" t="n"/>
      <c r="Q63" s="15" t="n"/>
      <c r="R63" s="15">
        <f>IF(OR(O63="Scheduled",Q63="Scheduled"),"SCHEDULED",IF(Q63="Escalate to call","ESCALATED TO CALL",IF(N63="Bad contact","BAD CONTACT",IF(N63="","NOT STARTED","IN PROGRESS"))))</f>
        <v/>
      </c>
      <c r="S63" s="15" t="n"/>
    </row>
    <row r="64">
      <c r="A64" s="15" t="inlineStr">
        <is>
          <t>REQ-0063</t>
        </is>
      </c>
      <c r="B64" s="16" t="n">
        <v>44867.82708333333</v>
      </c>
      <c r="C64" s="16">
        <f>B64+1</f>
        <v/>
      </c>
      <c r="D64" s="17">
        <f>(C64-NOW())*24</f>
        <v/>
      </c>
      <c r="E64" s="15">
        <f>IF(N64="","STEP 1: Send WhatsApp + Email blast now (Playbook M1)",IF(N64="Bad contact","STOP: report bad contact to lead (Playbook)",IF(O64="Scheduled","DONE: scheduled via Calendly",IF(O64="","STEP 2: Check Calendly now",IF(P64="","STEP 3: Send WhatsApp nudge (Playbook M2)",IF(Q64="Scheduled","DONE: scheduled via Calendly",IF(Q64="Escalate to call","HANDED to Shyam (call queue)","STEP 4: Final Calendly check")))))))</f>
        <v/>
      </c>
      <c r="F64" s="16">
        <f>IF(N64="",B64,IF(O64="",B64+2/24,IF(AND(O64="Not yet",P64=""),B64+2/24,IF(Q64="",B64+4/24,""))))</f>
        <v/>
      </c>
      <c r="G64" s="15" t="inlineStr">
        <is>
          <t>Chetan</t>
        </is>
      </c>
      <c r="H64" s="15" t="inlineStr">
        <is>
          <t>Google</t>
        </is>
      </c>
      <c r="I64" s="15" t="inlineStr">
        <is>
          <t>Round1</t>
        </is>
      </c>
      <c r="J64" s="18" t="inlineStr">
        <is>
          <t>+91 9920264452</t>
        </is>
      </c>
      <c r="K64" s="15" t="inlineStr">
        <is>
          <t>chetan@weekday.works</t>
        </is>
      </c>
      <c r="L64" s="15" t="inlineStr">
        <is>
          <t>&lt;calendly_link&gt;</t>
        </is>
      </c>
      <c r="M64" s="15" t="inlineStr">
        <is>
          <t>Yes</t>
        </is>
      </c>
      <c r="N64" s="15" t="n"/>
      <c r="O64" s="15" t="n"/>
      <c r="P64" s="15" t="n"/>
      <c r="Q64" s="15" t="n"/>
      <c r="R64" s="15">
        <f>IF(OR(O64="Scheduled",Q64="Scheduled"),"SCHEDULED",IF(Q64="Escalate to call","ESCALATED TO CALL",IF(N64="Bad contact","BAD CONTACT",IF(N64="","NOT STARTED","IN PROGRESS"))))</f>
        <v/>
      </c>
      <c r="S64" s="15" t="n"/>
    </row>
    <row r="65">
      <c r="A65" s="15" t="inlineStr">
        <is>
          <t>REQ-0064</t>
        </is>
      </c>
      <c r="B65" s="16" t="n">
        <v>44867.82708333333</v>
      </c>
      <c r="C65" s="16">
        <f>B65+1</f>
        <v/>
      </c>
      <c r="D65" s="17">
        <f>(C65-NOW())*24</f>
        <v/>
      </c>
      <c r="E65" s="15">
        <f>IF(N65="","STEP 1: Send WhatsApp + Email blast now (Playbook M1)",IF(N65="Bad contact","STOP: report bad contact to lead (Playbook)",IF(O65="Scheduled","DONE: scheduled via Calendly",IF(O65="","STEP 2: Check Calendly now",IF(P65="","STEP 3: Send WhatsApp nudge (Playbook M2)",IF(Q65="Scheduled","DONE: scheduled via Calendly",IF(Q65="Escalate to call","HANDED to Shyam (call queue)","STEP 4: Final Calendly check")))))))</f>
        <v/>
      </c>
      <c r="F65" s="16">
        <f>IF(N65="",B65,IF(O65="",B65+2/24,IF(AND(O65="Not yet",P65=""),B65+2/24,IF(Q65="",B65+4/24,""))))</f>
        <v/>
      </c>
      <c r="G65" s="15" t="inlineStr">
        <is>
          <t>Chetan</t>
        </is>
      </c>
      <c r="H65" s="15" t="inlineStr">
        <is>
          <t>Google</t>
        </is>
      </c>
      <c r="I65" s="15" t="inlineStr">
        <is>
          <t>Round1</t>
        </is>
      </c>
      <c r="J65" s="18" t="inlineStr">
        <is>
          <t>+91 9920264452</t>
        </is>
      </c>
      <c r="K65" s="15" t="inlineStr">
        <is>
          <t>chetan@weekday.works</t>
        </is>
      </c>
      <c r="L65" s="15" t="inlineStr">
        <is>
          <t>&lt;calendly_link&gt;</t>
        </is>
      </c>
      <c r="M65" s="15" t="inlineStr">
        <is>
          <t>Yes</t>
        </is>
      </c>
      <c r="N65" s="15" t="n"/>
      <c r="O65" s="15" t="n"/>
      <c r="P65" s="15" t="n"/>
      <c r="Q65" s="15" t="n"/>
      <c r="R65" s="15">
        <f>IF(OR(O65="Scheduled",Q65="Scheduled"),"SCHEDULED",IF(Q65="Escalate to call","ESCALATED TO CALL",IF(N65="Bad contact","BAD CONTACT",IF(N65="","NOT STARTED","IN PROGRESS"))))</f>
        <v/>
      </c>
      <c r="S65" s="15" t="n"/>
    </row>
    <row r="66">
      <c r="A66" s="15" t="inlineStr">
        <is>
          <t>REQ-0065</t>
        </is>
      </c>
      <c r="B66" s="16" t="n">
        <v>44867.82708333333</v>
      </c>
      <c r="C66" s="16">
        <f>B66+1</f>
        <v/>
      </c>
      <c r="D66" s="17">
        <f>(C66-NOW())*24</f>
        <v/>
      </c>
      <c r="E66" s="15">
        <f>IF(N66="","STEP 1: Send WhatsApp + Email blast now (Playbook M1)",IF(N66="Bad contact","STOP: report bad contact to lead (Playbook)",IF(O66="Scheduled","DONE: scheduled via Calendly",IF(O66="","STEP 2: Check Calendly now",IF(P66="","STEP 3: Send WhatsApp nudge (Playbook M2)",IF(Q66="Scheduled","DONE: scheduled via Calendly",IF(Q66="Escalate to call","HANDED to Shyam (call queue)","STEP 4: Final Calendly check")))))))</f>
        <v/>
      </c>
      <c r="F66" s="16">
        <f>IF(N66="",B66,IF(O66="",B66+2/24,IF(AND(O66="Not yet",P66=""),B66+2/24,IF(Q66="",B66+4/24,""))))</f>
        <v/>
      </c>
      <c r="G66" s="15" t="inlineStr">
        <is>
          <t>Chetan</t>
        </is>
      </c>
      <c r="H66" s="15" t="inlineStr">
        <is>
          <t>Google</t>
        </is>
      </c>
      <c r="I66" s="15" t="inlineStr">
        <is>
          <t>Round1</t>
        </is>
      </c>
      <c r="J66" s="18" t="inlineStr">
        <is>
          <t>+91 9920264452</t>
        </is>
      </c>
      <c r="K66" s="15" t="inlineStr">
        <is>
          <t>chetan@weekday.works</t>
        </is>
      </c>
      <c r="L66" s="15" t="inlineStr">
        <is>
          <t>&lt;calendly_link&gt;</t>
        </is>
      </c>
      <c r="M66" s="15" t="inlineStr">
        <is>
          <t>Yes</t>
        </is>
      </c>
      <c r="N66" s="15" t="n"/>
      <c r="O66" s="15" t="n"/>
      <c r="P66" s="15" t="n"/>
      <c r="Q66" s="15" t="n"/>
      <c r="R66" s="15">
        <f>IF(OR(O66="Scheduled",Q66="Scheduled"),"SCHEDULED",IF(Q66="Escalate to call","ESCALATED TO CALL",IF(N66="Bad contact","BAD CONTACT",IF(N66="","NOT STARTED","IN PROGRESS"))))</f>
        <v/>
      </c>
      <c r="S66" s="15" t="n"/>
    </row>
    <row r="67">
      <c r="A67" s="15" t="inlineStr">
        <is>
          <t>REQ-0066</t>
        </is>
      </c>
      <c r="B67" s="16" t="n">
        <v>44867.82708333333</v>
      </c>
      <c r="C67" s="16">
        <f>B67+1</f>
        <v/>
      </c>
      <c r="D67" s="17">
        <f>(C67-NOW())*24</f>
        <v/>
      </c>
      <c r="E67" s="15">
        <f>IF(N67="","STEP 1: Send WhatsApp + Email blast now (Playbook M1)",IF(N67="Bad contact","STOP: report bad contact to lead (Playbook)",IF(O67="Scheduled","DONE: scheduled via Calendly",IF(O67="","STEP 2: Check Calendly now",IF(P67="","STEP 3: Send WhatsApp nudge (Playbook M2)",IF(Q67="Scheduled","DONE: scheduled via Calendly",IF(Q67="Escalate to call","HANDED to Shyam (call queue)","STEP 4: Final Calendly check")))))))</f>
        <v/>
      </c>
      <c r="F67" s="16">
        <f>IF(N67="",B67,IF(O67="",B67+2/24,IF(AND(O67="Not yet",P67=""),B67+2/24,IF(Q67="",B67+4/24,""))))</f>
        <v/>
      </c>
      <c r="G67" s="15" t="inlineStr">
        <is>
          <t>Chetan</t>
        </is>
      </c>
      <c r="H67" s="15" t="inlineStr">
        <is>
          <t>Google</t>
        </is>
      </c>
      <c r="I67" s="15" t="inlineStr">
        <is>
          <t>Round1</t>
        </is>
      </c>
      <c r="J67" s="18" t="inlineStr">
        <is>
          <t>+91 9920264452</t>
        </is>
      </c>
      <c r="K67" s="15" t="inlineStr">
        <is>
          <t>chetan@weekday.works</t>
        </is>
      </c>
      <c r="L67" s="15" t="inlineStr">
        <is>
          <t>&lt;calendly_link&gt;</t>
        </is>
      </c>
      <c r="M67" s="15" t="inlineStr">
        <is>
          <t>Yes</t>
        </is>
      </c>
      <c r="N67" s="15" t="n"/>
      <c r="O67" s="15" t="n"/>
      <c r="P67" s="15" t="n"/>
      <c r="Q67" s="15" t="n"/>
      <c r="R67" s="15">
        <f>IF(OR(O67="Scheduled",Q67="Scheduled"),"SCHEDULED",IF(Q67="Escalate to call","ESCALATED TO CALL",IF(N67="Bad contact","BAD CONTACT",IF(N67="","NOT STARTED","IN PROGRESS"))))</f>
        <v/>
      </c>
      <c r="S67" s="15" t="n"/>
    </row>
    <row r="68">
      <c r="A68" s="15" t="inlineStr">
        <is>
          <t>REQ-0067</t>
        </is>
      </c>
      <c r="B68" s="16" t="n">
        <v>44867.82708333333</v>
      </c>
      <c r="C68" s="16">
        <f>B68+1</f>
        <v/>
      </c>
      <c r="D68" s="17">
        <f>(C68-NOW())*24</f>
        <v/>
      </c>
      <c r="E68" s="15">
        <f>IF(N68="","STEP 1: Send WhatsApp + Email blast now (Playbook M1)",IF(N68="Bad contact","STOP: report bad contact to lead (Playbook)",IF(O68="Scheduled","DONE: scheduled via Calendly",IF(O68="","STEP 2: Check Calendly now",IF(P68="","STEP 3: Send WhatsApp nudge (Playbook M2)",IF(Q68="Scheduled","DONE: scheduled via Calendly",IF(Q68="Escalate to call","HANDED to Shyam (call queue)","STEP 4: Final Calendly check")))))))</f>
        <v/>
      </c>
      <c r="F68" s="16">
        <f>IF(N68="",B68,IF(O68="",B68+2/24,IF(AND(O68="Not yet",P68=""),B68+2/24,IF(Q68="",B68+4/24,""))))</f>
        <v/>
      </c>
      <c r="G68" s="15" t="inlineStr">
        <is>
          <t>Chetan</t>
        </is>
      </c>
      <c r="H68" s="15" t="inlineStr">
        <is>
          <t>Google</t>
        </is>
      </c>
      <c r="I68" s="15" t="inlineStr">
        <is>
          <t>Round1</t>
        </is>
      </c>
      <c r="J68" s="18" t="inlineStr">
        <is>
          <t>+91 9920264452</t>
        </is>
      </c>
      <c r="K68" s="15" t="inlineStr">
        <is>
          <t>chetan@weekday.works</t>
        </is>
      </c>
      <c r="L68" s="15" t="inlineStr">
        <is>
          <t>&lt;calendly_link&gt;</t>
        </is>
      </c>
      <c r="M68" s="15" t="inlineStr">
        <is>
          <t>Yes</t>
        </is>
      </c>
      <c r="N68" s="15" t="n"/>
      <c r="O68" s="15" t="n"/>
      <c r="P68" s="15" t="n"/>
      <c r="Q68" s="15" t="n"/>
      <c r="R68" s="15">
        <f>IF(OR(O68="Scheduled",Q68="Scheduled"),"SCHEDULED",IF(Q68="Escalate to call","ESCALATED TO CALL",IF(N68="Bad contact","BAD CONTACT",IF(N68="","NOT STARTED","IN PROGRESS"))))</f>
        <v/>
      </c>
      <c r="S68" s="15" t="n"/>
    </row>
    <row r="69">
      <c r="A69" s="15" t="inlineStr">
        <is>
          <t>REQ-0068</t>
        </is>
      </c>
      <c r="B69" s="16" t="n">
        <v>44867.82708333333</v>
      </c>
      <c r="C69" s="16">
        <f>B69+1</f>
        <v/>
      </c>
      <c r="D69" s="17">
        <f>(C69-NOW())*24</f>
        <v/>
      </c>
      <c r="E69" s="15">
        <f>IF(N69="","STEP 1: Send WhatsApp + Email blast now (Playbook M1)",IF(N69="Bad contact","STOP: report bad contact to lead (Playbook)",IF(O69="Scheduled","DONE: scheduled via Calendly",IF(O69="","STEP 2: Check Calendly now",IF(P69="","STEP 3: Send WhatsApp nudge (Playbook M2)",IF(Q69="Scheduled","DONE: scheduled via Calendly",IF(Q69="Escalate to call","HANDED to Shyam (call queue)","STEP 4: Final Calendly check")))))))</f>
        <v/>
      </c>
      <c r="F69" s="16">
        <f>IF(N69="",B69,IF(O69="",B69+2/24,IF(AND(O69="Not yet",P69=""),B69+2/24,IF(Q69="",B69+4/24,""))))</f>
        <v/>
      </c>
      <c r="G69" s="15" t="inlineStr">
        <is>
          <t>Chetan</t>
        </is>
      </c>
      <c r="H69" s="15" t="inlineStr">
        <is>
          <t>Google</t>
        </is>
      </c>
      <c r="I69" s="15" t="inlineStr">
        <is>
          <t>Round1</t>
        </is>
      </c>
      <c r="J69" s="18" t="inlineStr">
        <is>
          <t>+91 9920264452</t>
        </is>
      </c>
      <c r="K69" s="15" t="inlineStr">
        <is>
          <t>chetan@weekday.works</t>
        </is>
      </c>
      <c r="L69" s="15" t="inlineStr">
        <is>
          <t>&lt;calendly_link&gt;</t>
        </is>
      </c>
      <c r="M69" s="15" t="inlineStr">
        <is>
          <t>Yes</t>
        </is>
      </c>
      <c r="N69" s="15" t="n"/>
      <c r="O69" s="15" t="n"/>
      <c r="P69" s="15" t="n"/>
      <c r="Q69" s="15" t="n"/>
      <c r="R69" s="15">
        <f>IF(OR(O69="Scheduled",Q69="Scheduled"),"SCHEDULED",IF(Q69="Escalate to call","ESCALATED TO CALL",IF(N69="Bad contact","BAD CONTACT",IF(N69="","NOT STARTED","IN PROGRESS"))))</f>
        <v/>
      </c>
      <c r="S69" s="15" t="n"/>
    </row>
    <row r="70">
      <c r="A70" s="15" t="inlineStr">
        <is>
          <t>REQ-0069</t>
        </is>
      </c>
      <c r="B70" s="16" t="n">
        <v>44867.82708333333</v>
      </c>
      <c r="C70" s="16">
        <f>B70+1</f>
        <v/>
      </c>
      <c r="D70" s="17">
        <f>(C70-NOW())*24</f>
        <v/>
      </c>
      <c r="E70" s="15">
        <f>IF(N70="","STEP 1: Send WhatsApp + Email blast now (Playbook M1)",IF(N70="Bad contact","STOP: report bad contact to lead (Playbook)",IF(O70="Scheduled","DONE: scheduled via Calendly",IF(O70="","STEP 2: Check Calendly now",IF(P70="","STEP 3: Send WhatsApp nudge (Playbook M2)",IF(Q70="Scheduled","DONE: scheduled via Calendly",IF(Q70="Escalate to call","HANDED to Shyam (call queue)","STEP 4: Final Calendly check")))))))</f>
        <v/>
      </c>
      <c r="F70" s="16">
        <f>IF(N70="",B70,IF(O70="",B70+2/24,IF(AND(O70="Not yet",P70=""),B70+2/24,IF(Q70="",B70+4/24,""))))</f>
        <v/>
      </c>
      <c r="G70" s="15" t="inlineStr">
        <is>
          <t>Chetan</t>
        </is>
      </c>
      <c r="H70" s="15" t="inlineStr">
        <is>
          <t>Google</t>
        </is>
      </c>
      <c r="I70" s="15" t="inlineStr">
        <is>
          <t>Round1</t>
        </is>
      </c>
      <c r="J70" s="18" t="inlineStr">
        <is>
          <t>+91 9920264452</t>
        </is>
      </c>
      <c r="K70" s="15" t="inlineStr">
        <is>
          <t>chetan@weekday.works</t>
        </is>
      </c>
      <c r="L70" s="15" t="inlineStr">
        <is>
          <t>&lt;calendly_link&gt;</t>
        </is>
      </c>
      <c r="M70" s="15" t="inlineStr">
        <is>
          <t>Yes</t>
        </is>
      </c>
      <c r="N70" s="15" t="n"/>
      <c r="O70" s="15" t="n"/>
      <c r="P70" s="15" t="n"/>
      <c r="Q70" s="15" t="n"/>
      <c r="R70" s="15">
        <f>IF(OR(O70="Scheduled",Q70="Scheduled"),"SCHEDULED",IF(Q70="Escalate to call","ESCALATED TO CALL",IF(N70="Bad contact","BAD CONTACT",IF(N70="","NOT STARTED","IN PROGRESS"))))</f>
        <v/>
      </c>
      <c r="S70" s="15" t="n"/>
    </row>
    <row r="71">
      <c r="A71" s="15" t="inlineStr">
        <is>
          <t>REQ-0070</t>
        </is>
      </c>
      <c r="B71" s="16" t="n">
        <v>44867.82708333333</v>
      </c>
      <c r="C71" s="16">
        <f>B71+1</f>
        <v/>
      </c>
      <c r="D71" s="17">
        <f>(C71-NOW())*24</f>
        <v/>
      </c>
      <c r="E71" s="15">
        <f>IF(N71="","STEP 1: Send WhatsApp + Email blast now (Playbook M1)",IF(N71="Bad contact","STOP: report bad contact to lead (Playbook)",IF(O71="Scheduled","DONE: scheduled via Calendly",IF(O71="","STEP 2: Check Calendly now",IF(P71="","STEP 3: Send WhatsApp nudge (Playbook M2)",IF(Q71="Scheduled","DONE: scheduled via Calendly",IF(Q71="Escalate to call","HANDED to Shyam (call queue)","STEP 4: Final Calendly check")))))))</f>
        <v/>
      </c>
      <c r="F71" s="16">
        <f>IF(N71="",B71,IF(O71="",B71+2/24,IF(AND(O71="Not yet",P71=""),B71+2/24,IF(Q71="",B71+4/24,""))))</f>
        <v/>
      </c>
      <c r="G71" s="15" t="inlineStr">
        <is>
          <t>Chetan</t>
        </is>
      </c>
      <c r="H71" s="15" t="inlineStr">
        <is>
          <t>Google</t>
        </is>
      </c>
      <c r="I71" s="15" t="inlineStr">
        <is>
          <t>Round1</t>
        </is>
      </c>
      <c r="J71" s="18" t="inlineStr">
        <is>
          <t>+91 9920264452</t>
        </is>
      </c>
      <c r="K71" s="15" t="inlineStr">
        <is>
          <t>chetan@weekday.works</t>
        </is>
      </c>
      <c r="L71" s="15" t="inlineStr">
        <is>
          <t>&lt;calendly_link&gt;</t>
        </is>
      </c>
      <c r="M71" s="15" t="inlineStr">
        <is>
          <t>Yes</t>
        </is>
      </c>
      <c r="N71" s="15" t="n"/>
      <c r="O71" s="15" t="n"/>
      <c r="P71" s="15" t="n"/>
      <c r="Q71" s="15" t="n"/>
      <c r="R71" s="15">
        <f>IF(OR(O71="Scheduled",Q71="Scheduled"),"SCHEDULED",IF(Q71="Escalate to call","ESCALATED TO CALL",IF(N71="Bad contact","BAD CONTACT",IF(N71="","NOT STARTED","IN PROGRESS"))))</f>
        <v/>
      </c>
      <c r="S71" s="15" t="n"/>
    </row>
    <row r="72">
      <c r="A72" s="15" t="inlineStr">
        <is>
          <t>REQ-0071</t>
        </is>
      </c>
      <c r="B72" s="16" t="n">
        <v>44867.82708333333</v>
      </c>
      <c r="C72" s="16">
        <f>B72+1</f>
        <v/>
      </c>
      <c r="D72" s="17">
        <f>(C72-NOW())*24</f>
        <v/>
      </c>
      <c r="E72" s="15">
        <f>IF(N72="","STEP 1: Send WhatsApp + Email blast now (Playbook M1)",IF(N72="Bad contact","STOP: report bad contact to lead (Playbook)",IF(O72="Scheduled","DONE: scheduled via Calendly",IF(O72="","STEP 2: Check Calendly now",IF(P72="","STEP 3: Send WhatsApp nudge (Playbook M2)",IF(Q72="Scheduled","DONE: scheduled via Calendly",IF(Q72="Escalate to call","HANDED to Shyam (call queue)","STEP 4: Final Calendly check")))))))</f>
        <v/>
      </c>
      <c r="F72" s="16">
        <f>IF(N72="",B72,IF(O72="",B72+2/24,IF(AND(O72="Not yet",P72=""),B72+2/24,IF(Q72="",B72+4/24,""))))</f>
        <v/>
      </c>
      <c r="G72" s="15" t="inlineStr">
        <is>
          <t>Chetan</t>
        </is>
      </c>
      <c r="H72" s="15" t="inlineStr">
        <is>
          <t>Google</t>
        </is>
      </c>
      <c r="I72" s="15" t="inlineStr">
        <is>
          <t>Round1</t>
        </is>
      </c>
      <c r="J72" s="18" t="inlineStr">
        <is>
          <t>+91 9920264452</t>
        </is>
      </c>
      <c r="K72" s="15" t="inlineStr">
        <is>
          <t>chetan@weekday.works</t>
        </is>
      </c>
      <c r="L72" s="15" t="inlineStr">
        <is>
          <t>&lt;calendly_link&gt;</t>
        </is>
      </c>
      <c r="M72" s="15" t="inlineStr">
        <is>
          <t>Yes</t>
        </is>
      </c>
      <c r="N72" s="15" t="n"/>
      <c r="O72" s="15" t="n"/>
      <c r="P72" s="15" t="n"/>
      <c r="Q72" s="15" t="n"/>
      <c r="R72" s="15">
        <f>IF(OR(O72="Scheduled",Q72="Scheduled"),"SCHEDULED",IF(Q72="Escalate to call","ESCALATED TO CALL",IF(N72="Bad contact","BAD CONTACT",IF(N72="","NOT STARTED","IN PROGRESS"))))</f>
        <v/>
      </c>
      <c r="S72" s="15" t="n"/>
    </row>
    <row r="73">
      <c r="A73" s="15" t="inlineStr">
        <is>
          <t>REQ-0072</t>
        </is>
      </c>
      <c r="B73" s="16" t="n">
        <v>44867.82708333333</v>
      </c>
      <c r="C73" s="16">
        <f>B73+1</f>
        <v/>
      </c>
      <c r="D73" s="17">
        <f>(C73-NOW())*24</f>
        <v/>
      </c>
      <c r="E73" s="15">
        <f>IF(N73="","STEP 1: Send WhatsApp + Email blast now (Playbook M1)",IF(N73="Bad contact","STOP: report bad contact to lead (Playbook)",IF(O73="Scheduled","DONE: scheduled via Calendly",IF(O73="","STEP 2: Check Calendly now",IF(P73="","STEP 3: Send WhatsApp nudge (Playbook M2)",IF(Q73="Scheduled","DONE: scheduled via Calendly",IF(Q73="Escalate to call","HANDED to Shyam (call queue)","STEP 4: Final Calendly check")))))))</f>
        <v/>
      </c>
      <c r="F73" s="16">
        <f>IF(N73="",B73,IF(O73="",B73+2/24,IF(AND(O73="Not yet",P73=""),B73+2/24,IF(Q73="",B73+4/24,""))))</f>
        <v/>
      </c>
      <c r="G73" s="15" t="inlineStr">
        <is>
          <t>Chetan</t>
        </is>
      </c>
      <c r="H73" s="15" t="inlineStr">
        <is>
          <t>Google</t>
        </is>
      </c>
      <c r="I73" s="15" t="inlineStr">
        <is>
          <t>Round1</t>
        </is>
      </c>
      <c r="J73" s="18" t="inlineStr">
        <is>
          <t>+91 9920264452</t>
        </is>
      </c>
      <c r="K73" s="15" t="inlineStr">
        <is>
          <t>chetan@weekday.works</t>
        </is>
      </c>
      <c r="L73" s="15" t="inlineStr">
        <is>
          <t>&lt;calendly_link&gt;</t>
        </is>
      </c>
      <c r="M73" s="15" t="inlineStr">
        <is>
          <t>Yes</t>
        </is>
      </c>
      <c r="N73" s="15" t="n"/>
      <c r="O73" s="15" t="n"/>
      <c r="P73" s="15" t="n"/>
      <c r="Q73" s="15" t="n"/>
      <c r="R73" s="15">
        <f>IF(OR(O73="Scheduled",Q73="Scheduled"),"SCHEDULED",IF(Q73="Escalate to call","ESCALATED TO CALL",IF(N73="Bad contact","BAD CONTACT",IF(N73="","NOT STARTED","IN PROGRESS"))))</f>
        <v/>
      </c>
      <c r="S73" s="15" t="n"/>
    </row>
    <row r="74">
      <c r="A74" s="15" t="inlineStr">
        <is>
          <t>REQ-0073</t>
        </is>
      </c>
      <c r="B74" s="16" t="n">
        <v>44867.82708333333</v>
      </c>
      <c r="C74" s="16">
        <f>B74+1</f>
        <v/>
      </c>
      <c r="D74" s="17">
        <f>(C74-NOW())*24</f>
        <v/>
      </c>
      <c r="E74" s="15">
        <f>IF(N74="","STEP 1: Send WhatsApp + Email blast now (Playbook M1)",IF(N74="Bad contact","STOP: report bad contact to lead (Playbook)",IF(O74="Scheduled","DONE: scheduled via Calendly",IF(O74="","STEP 2: Check Calendly now",IF(P74="","STEP 3: Send WhatsApp nudge (Playbook M2)",IF(Q74="Scheduled","DONE: scheduled via Calendly",IF(Q74="Escalate to call","HANDED to Shyam (call queue)","STEP 4: Final Calendly check")))))))</f>
        <v/>
      </c>
      <c r="F74" s="16">
        <f>IF(N74="",B74,IF(O74="",B74+2/24,IF(AND(O74="Not yet",P74=""),B74+2/24,IF(Q74="",B74+4/24,""))))</f>
        <v/>
      </c>
      <c r="G74" s="15" t="inlineStr">
        <is>
          <t>Chetan</t>
        </is>
      </c>
      <c r="H74" s="15" t="inlineStr">
        <is>
          <t>Google</t>
        </is>
      </c>
      <c r="I74" s="15" t="inlineStr">
        <is>
          <t>Round1</t>
        </is>
      </c>
      <c r="J74" s="18" t="inlineStr">
        <is>
          <t>+91 9920264452</t>
        </is>
      </c>
      <c r="K74" s="15" t="inlineStr">
        <is>
          <t>chetan@weekday.works</t>
        </is>
      </c>
      <c r="L74" s="15" t="inlineStr">
        <is>
          <t>&lt;calendly_link&gt;</t>
        </is>
      </c>
      <c r="M74" s="15" t="inlineStr">
        <is>
          <t>Yes</t>
        </is>
      </c>
      <c r="N74" s="15" t="n"/>
      <c r="O74" s="15" t="n"/>
      <c r="P74" s="15" t="n"/>
      <c r="Q74" s="15" t="n"/>
      <c r="R74" s="15">
        <f>IF(OR(O74="Scheduled",Q74="Scheduled"),"SCHEDULED",IF(Q74="Escalate to call","ESCALATED TO CALL",IF(N74="Bad contact","BAD CONTACT",IF(N74="","NOT STARTED","IN PROGRESS"))))</f>
        <v/>
      </c>
      <c r="S74" s="15" t="n"/>
    </row>
    <row r="75">
      <c r="A75" s="15" t="inlineStr">
        <is>
          <t>REQ-0074</t>
        </is>
      </c>
      <c r="B75" s="16" t="n">
        <v>44867.82708333333</v>
      </c>
      <c r="C75" s="16">
        <f>B75+1</f>
        <v/>
      </c>
      <c r="D75" s="17">
        <f>(C75-NOW())*24</f>
        <v/>
      </c>
      <c r="E75" s="15">
        <f>IF(N75="","STEP 1: Send WhatsApp + Email blast now (Playbook M1)",IF(N75="Bad contact","STOP: report bad contact to lead (Playbook)",IF(O75="Scheduled","DONE: scheduled via Calendly",IF(O75="","STEP 2: Check Calendly now",IF(P75="","STEP 3: Send WhatsApp nudge (Playbook M2)",IF(Q75="Scheduled","DONE: scheduled via Calendly",IF(Q75="Escalate to call","HANDED to Shyam (call queue)","STEP 4: Final Calendly check")))))))</f>
        <v/>
      </c>
      <c r="F75" s="16">
        <f>IF(N75="",B75,IF(O75="",B75+2/24,IF(AND(O75="Not yet",P75=""),B75+2/24,IF(Q75="",B75+4/24,""))))</f>
        <v/>
      </c>
      <c r="G75" s="15" t="inlineStr">
        <is>
          <t>Chetan</t>
        </is>
      </c>
      <c r="H75" s="15" t="inlineStr">
        <is>
          <t>Google</t>
        </is>
      </c>
      <c r="I75" s="15" t="inlineStr">
        <is>
          <t>Round1</t>
        </is>
      </c>
      <c r="J75" s="18" t="inlineStr">
        <is>
          <t>+91 9920264452</t>
        </is>
      </c>
      <c r="K75" s="15" t="inlineStr">
        <is>
          <t>chetan@weekday.works</t>
        </is>
      </c>
      <c r="L75" s="15" t="inlineStr">
        <is>
          <t>&lt;calendly_link&gt;</t>
        </is>
      </c>
      <c r="M75" s="15" t="inlineStr">
        <is>
          <t>Yes</t>
        </is>
      </c>
      <c r="N75" s="15" t="n"/>
      <c r="O75" s="15" t="n"/>
      <c r="P75" s="15" t="n"/>
      <c r="Q75" s="15" t="n"/>
      <c r="R75" s="15">
        <f>IF(OR(O75="Scheduled",Q75="Scheduled"),"SCHEDULED",IF(Q75="Escalate to call","ESCALATED TO CALL",IF(N75="Bad contact","BAD CONTACT",IF(N75="","NOT STARTED","IN PROGRESS"))))</f>
        <v/>
      </c>
      <c r="S75" s="15" t="n"/>
    </row>
    <row r="76">
      <c r="A76" s="15" t="inlineStr">
        <is>
          <t>REQ-0075</t>
        </is>
      </c>
      <c r="B76" s="16" t="n">
        <v>44867.82708333333</v>
      </c>
      <c r="C76" s="16">
        <f>B76+1</f>
        <v/>
      </c>
      <c r="D76" s="17">
        <f>(C76-NOW())*24</f>
        <v/>
      </c>
      <c r="E76" s="15">
        <f>IF(N76="","STEP 1: Send WhatsApp + Email blast now (Playbook M1)",IF(N76="Bad contact","STOP: report bad contact to lead (Playbook)",IF(O76="Scheduled","DONE: scheduled via Calendly",IF(O76="","STEP 2: Check Calendly now",IF(P76="","STEP 3: Send WhatsApp nudge (Playbook M2)",IF(Q76="Scheduled","DONE: scheduled via Calendly",IF(Q76="Escalate to call","HANDED to Shyam (call queue)","STEP 4: Final Calendly check")))))))</f>
        <v/>
      </c>
      <c r="F76" s="16">
        <f>IF(N76="",B76,IF(O76="",B76+2/24,IF(AND(O76="Not yet",P76=""),B76+2/24,IF(Q76="",B76+4/24,""))))</f>
        <v/>
      </c>
      <c r="G76" s="15" t="inlineStr">
        <is>
          <t>Chetan</t>
        </is>
      </c>
      <c r="H76" s="15" t="inlineStr">
        <is>
          <t>Google</t>
        </is>
      </c>
      <c r="I76" s="15" t="inlineStr">
        <is>
          <t>Round1</t>
        </is>
      </c>
      <c r="J76" s="18" t="inlineStr">
        <is>
          <t>+91 9920264452</t>
        </is>
      </c>
      <c r="K76" s="15" t="inlineStr">
        <is>
          <t>chetan@weekday.works</t>
        </is>
      </c>
      <c r="L76" s="15" t="inlineStr">
        <is>
          <t>&lt;calendly_link&gt;</t>
        </is>
      </c>
      <c r="M76" s="15" t="inlineStr">
        <is>
          <t>Yes</t>
        </is>
      </c>
      <c r="N76" s="15" t="n"/>
      <c r="O76" s="15" t="n"/>
      <c r="P76" s="15" t="n"/>
      <c r="Q76" s="15" t="n"/>
      <c r="R76" s="15">
        <f>IF(OR(O76="Scheduled",Q76="Scheduled"),"SCHEDULED",IF(Q76="Escalate to call","ESCALATED TO CALL",IF(N76="Bad contact","BAD CONTACT",IF(N76="","NOT STARTED","IN PROGRESS"))))</f>
        <v/>
      </c>
      <c r="S76" s="15" t="n"/>
    </row>
    <row r="77">
      <c r="A77" s="15" t="inlineStr">
        <is>
          <t>REQ-0076</t>
        </is>
      </c>
      <c r="B77" s="16" t="n">
        <v>44867.82708333333</v>
      </c>
      <c r="C77" s="16">
        <f>B77+1</f>
        <v/>
      </c>
      <c r="D77" s="17">
        <f>(C77-NOW())*24</f>
        <v/>
      </c>
      <c r="E77" s="15">
        <f>IF(N77="","STEP 1: Send WhatsApp + Email blast now (Playbook M1)",IF(N77="Bad contact","STOP: report bad contact to lead (Playbook)",IF(O77="Scheduled","DONE: scheduled via Calendly",IF(O77="","STEP 2: Check Calendly now",IF(P77="","STEP 3: Send WhatsApp nudge (Playbook M2)",IF(Q77="Scheduled","DONE: scheduled via Calendly",IF(Q77="Escalate to call","HANDED to Shyam (call queue)","STEP 4: Final Calendly check")))))))</f>
        <v/>
      </c>
      <c r="F77" s="16">
        <f>IF(N77="",B77,IF(O77="",B77+2/24,IF(AND(O77="Not yet",P77=""),B77+2/24,IF(Q77="",B77+4/24,""))))</f>
        <v/>
      </c>
      <c r="G77" s="15" t="inlineStr">
        <is>
          <t>Chetan</t>
        </is>
      </c>
      <c r="H77" s="15" t="inlineStr">
        <is>
          <t>Google</t>
        </is>
      </c>
      <c r="I77" s="15" t="inlineStr">
        <is>
          <t>Round1</t>
        </is>
      </c>
      <c r="J77" s="18" t="inlineStr">
        <is>
          <t>+91 9920264452</t>
        </is>
      </c>
      <c r="K77" s="15" t="inlineStr">
        <is>
          <t>chetan@weekday.works</t>
        </is>
      </c>
      <c r="L77" s="15" t="inlineStr">
        <is>
          <t>&lt;calendly_link&gt;</t>
        </is>
      </c>
      <c r="M77" s="15" t="inlineStr">
        <is>
          <t>Yes</t>
        </is>
      </c>
      <c r="N77" s="15" t="n"/>
      <c r="O77" s="15" t="n"/>
      <c r="P77" s="15" t="n"/>
      <c r="Q77" s="15" t="n"/>
      <c r="R77" s="15">
        <f>IF(OR(O77="Scheduled",Q77="Scheduled"),"SCHEDULED",IF(Q77="Escalate to call","ESCALATED TO CALL",IF(N77="Bad contact","BAD CONTACT",IF(N77="","NOT STARTED","IN PROGRESS"))))</f>
        <v/>
      </c>
      <c r="S77" s="15" t="n"/>
    </row>
    <row r="78">
      <c r="A78" s="15" t="inlineStr">
        <is>
          <t>REQ-0077</t>
        </is>
      </c>
      <c r="B78" s="16" t="n">
        <v>44867.82708333333</v>
      </c>
      <c r="C78" s="16">
        <f>B78+1</f>
        <v/>
      </c>
      <c r="D78" s="17">
        <f>(C78-NOW())*24</f>
        <v/>
      </c>
      <c r="E78" s="15">
        <f>IF(N78="","STEP 1: Send WhatsApp + Email blast now (Playbook M1)",IF(N78="Bad contact","STOP: report bad contact to lead (Playbook)",IF(O78="Scheduled","DONE: scheduled via Calendly",IF(O78="","STEP 2: Check Calendly now",IF(P78="","STEP 3: Send WhatsApp nudge (Playbook M2)",IF(Q78="Scheduled","DONE: scheduled via Calendly",IF(Q78="Escalate to call","HANDED to Shyam (call queue)","STEP 4: Final Calendly check")))))))</f>
        <v/>
      </c>
      <c r="F78" s="16">
        <f>IF(N78="",B78,IF(O78="",B78+2/24,IF(AND(O78="Not yet",P78=""),B78+2/24,IF(Q78="",B78+4/24,""))))</f>
        <v/>
      </c>
      <c r="G78" s="15" t="inlineStr">
        <is>
          <t>Chetan</t>
        </is>
      </c>
      <c r="H78" s="15" t="inlineStr">
        <is>
          <t>Google</t>
        </is>
      </c>
      <c r="I78" s="15" t="inlineStr">
        <is>
          <t>Round1</t>
        </is>
      </c>
      <c r="J78" s="18" t="inlineStr">
        <is>
          <t>+91 9920264452</t>
        </is>
      </c>
      <c r="K78" s="15" t="inlineStr">
        <is>
          <t>chetan@weekday.works</t>
        </is>
      </c>
      <c r="L78" s="15" t="inlineStr">
        <is>
          <t>&lt;calendly_link&gt;</t>
        </is>
      </c>
      <c r="M78" s="15" t="inlineStr">
        <is>
          <t>Yes</t>
        </is>
      </c>
      <c r="N78" s="15" t="n"/>
      <c r="O78" s="15" t="n"/>
      <c r="P78" s="15" t="n"/>
      <c r="Q78" s="15" t="n"/>
      <c r="R78" s="15">
        <f>IF(OR(O78="Scheduled",Q78="Scheduled"),"SCHEDULED",IF(Q78="Escalate to call","ESCALATED TO CALL",IF(N78="Bad contact","BAD CONTACT",IF(N78="","NOT STARTED","IN PROGRESS"))))</f>
        <v/>
      </c>
      <c r="S78" s="15" t="n"/>
    </row>
    <row r="79">
      <c r="A79" s="15" t="inlineStr">
        <is>
          <t>REQ-0078</t>
        </is>
      </c>
      <c r="B79" s="16" t="n">
        <v>44867.82708333333</v>
      </c>
      <c r="C79" s="16">
        <f>B79+1</f>
        <v/>
      </c>
      <c r="D79" s="17">
        <f>(C79-NOW())*24</f>
        <v/>
      </c>
      <c r="E79" s="15">
        <f>IF(N79="","STEP 1: Send WhatsApp + Email blast now (Playbook M1)",IF(N79="Bad contact","STOP: report bad contact to lead (Playbook)",IF(O79="Scheduled","DONE: scheduled via Calendly",IF(O79="","STEP 2: Check Calendly now",IF(P79="","STEP 3: Send WhatsApp nudge (Playbook M2)",IF(Q79="Scheduled","DONE: scheduled via Calendly",IF(Q79="Escalate to call","HANDED to Shyam (call queue)","STEP 4: Final Calendly check")))))))</f>
        <v/>
      </c>
      <c r="F79" s="16">
        <f>IF(N79="",B79,IF(O79="",B79+2/24,IF(AND(O79="Not yet",P79=""),B79+2/24,IF(Q79="",B79+4/24,""))))</f>
        <v/>
      </c>
      <c r="G79" s="15" t="inlineStr">
        <is>
          <t>Chetan</t>
        </is>
      </c>
      <c r="H79" s="15" t="inlineStr">
        <is>
          <t>Google</t>
        </is>
      </c>
      <c r="I79" s="15" t="inlineStr">
        <is>
          <t>Round1</t>
        </is>
      </c>
      <c r="J79" s="18" t="inlineStr">
        <is>
          <t>+91 9920264452</t>
        </is>
      </c>
      <c r="K79" s="15" t="inlineStr">
        <is>
          <t>chetan@weekday.works</t>
        </is>
      </c>
      <c r="L79" s="15" t="inlineStr">
        <is>
          <t>&lt;calendly_link&gt;</t>
        </is>
      </c>
      <c r="M79" s="15" t="inlineStr">
        <is>
          <t>Yes</t>
        </is>
      </c>
      <c r="N79" s="15" t="n"/>
      <c r="O79" s="15" t="n"/>
      <c r="P79" s="15" t="n"/>
      <c r="Q79" s="15" t="n"/>
      <c r="R79" s="15">
        <f>IF(OR(O79="Scheduled",Q79="Scheduled"),"SCHEDULED",IF(Q79="Escalate to call","ESCALATED TO CALL",IF(N79="Bad contact","BAD CONTACT",IF(N79="","NOT STARTED","IN PROGRESS"))))</f>
        <v/>
      </c>
      <c r="S79" s="15" t="n"/>
    </row>
    <row r="80">
      <c r="A80" s="15" t="inlineStr">
        <is>
          <t>REQ-0079</t>
        </is>
      </c>
      <c r="B80" s="16" t="n">
        <v>44867.82708333333</v>
      </c>
      <c r="C80" s="16">
        <f>B80+1</f>
        <v/>
      </c>
      <c r="D80" s="17">
        <f>(C80-NOW())*24</f>
        <v/>
      </c>
      <c r="E80" s="15">
        <f>IF(N80="","STEP 1: Send WhatsApp + Email blast now (Playbook M1)",IF(N80="Bad contact","STOP: report bad contact to lead (Playbook)",IF(O80="Scheduled","DONE: scheduled via Calendly",IF(O80="","STEP 2: Check Calendly now",IF(P80="","STEP 3: Send WhatsApp nudge (Playbook M2)",IF(Q80="Scheduled","DONE: scheduled via Calendly",IF(Q80="Escalate to call","HANDED to Shyam (call queue)","STEP 4: Final Calendly check")))))))</f>
        <v/>
      </c>
      <c r="F80" s="16">
        <f>IF(N80="",B80,IF(O80="",B80+2/24,IF(AND(O80="Not yet",P80=""),B80+2/24,IF(Q80="",B80+4/24,""))))</f>
        <v/>
      </c>
      <c r="G80" s="15" t="inlineStr">
        <is>
          <t>Chetan</t>
        </is>
      </c>
      <c r="H80" s="15" t="inlineStr">
        <is>
          <t>Google</t>
        </is>
      </c>
      <c r="I80" s="15" t="inlineStr">
        <is>
          <t>Round1</t>
        </is>
      </c>
      <c r="J80" s="18" t="inlineStr">
        <is>
          <t>+91 9920264452</t>
        </is>
      </c>
      <c r="K80" s="15" t="inlineStr">
        <is>
          <t>chetan@weekday.works</t>
        </is>
      </c>
      <c r="L80" s="15" t="inlineStr">
        <is>
          <t>&lt;calendly_link&gt;</t>
        </is>
      </c>
      <c r="M80" s="15" t="inlineStr">
        <is>
          <t>Yes</t>
        </is>
      </c>
      <c r="N80" s="15" t="n"/>
      <c r="O80" s="15" t="n"/>
      <c r="P80" s="15" t="n"/>
      <c r="Q80" s="15" t="n"/>
      <c r="R80" s="15">
        <f>IF(OR(O80="Scheduled",Q80="Scheduled"),"SCHEDULED",IF(Q80="Escalate to call","ESCALATED TO CALL",IF(N80="Bad contact","BAD CONTACT",IF(N80="","NOT STARTED","IN PROGRESS"))))</f>
        <v/>
      </c>
      <c r="S80" s="15" t="n"/>
    </row>
    <row r="81">
      <c r="A81" s="15" t="inlineStr">
        <is>
          <t>REQ-0080</t>
        </is>
      </c>
      <c r="B81" s="16" t="n">
        <v>44867.82708333333</v>
      </c>
      <c r="C81" s="16">
        <f>B81+1</f>
        <v/>
      </c>
      <c r="D81" s="17">
        <f>(C81-NOW())*24</f>
        <v/>
      </c>
      <c r="E81" s="15">
        <f>IF(N81="","STEP 1: Send WhatsApp + Email blast now (Playbook M1)",IF(N81="Bad contact","STOP: report bad contact to lead (Playbook)",IF(O81="Scheduled","DONE: scheduled via Calendly",IF(O81="","STEP 2: Check Calendly now",IF(P81="","STEP 3: Send WhatsApp nudge (Playbook M2)",IF(Q81="Scheduled","DONE: scheduled via Calendly",IF(Q81="Escalate to call","HANDED to Shyam (call queue)","STEP 4: Final Calendly check")))))))</f>
        <v/>
      </c>
      <c r="F81" s="16">
        <f>IF(N81="",B81,IF(O81="",B81+2/24,IF(AND(O81="Not yet",P81=""),B81+2/24,IF(Q81="",B81+4/24,""))))</f>
        <v/>
      </c>
      <c r="G81" s="15" t="inlineStr">
        <is>
          <t>Chetan</t>
        </is>
      </c>
      <c r="H81" s="15" t="inlineStr">
        <is>
          <t>Google</t>
        </is>
      </c>
      <c r="I81" s="15" t="inlineStr">
        <is>
          <t>Round1</t>
        </is>
      </c>
      <c r="J81" s="18" t="inlineStr">
        <is>
          <t>+91 9920264452</t>
        </is>
      </c>
      <c r="K81" s="15" t="inlineStr">
        <is>
          <t>chetan@weekday.works</t>
        </is>
      </c>
      <c r="L81" s="15" t="inlineStr">
        <is>
          <t>&lt;calendly_link&gt;</t>
        </is>
      </c>
      <c r="M81" s="15" t="inlineStr">
        <is>
          <t>Yes</t>
        </is>
      </c>
      <c r="N81" s="15" t="n"/>
      <c r="O81" s="15" t="n"/>
      <c r="P81" s="15" t="n"/>
      <c r="Q81" s="15" t="n"/>
      <c r="R81" s="15">
        <f>IF(OR(O81="Scheduled",Q81="Scheduled"),"SCHEDULED",IF(Q81="Escalate to call","ESCALATED TO CALL",IF(N81="Bad contact","BAD CONTACT",IF(N81="","NOT STARTED","IN PROGRESS"))))</f>
        <v/>
      </c>
      <c r="S81" s="15" t="n"/>
    </row>
    <row r="82">
      <c r="A82" s="15" t="inlineStr">
        <is>
          <t>REQ-0081</t>
        </is>
      </c>
      <c r="B82" s="16" t="n">
        <v>44867.82708333333</v>
      </c>
      <c r="C82" s="16">
        <f>B82+1</f>
        <v/>
      </c>
      <c r="D82" s="17">
        <f>(C82-NOW())*24</f>
        <v/>
      </c>
      <c r="E82" s="15">
        <f>IF(N82="","STEP 1: Send WhatsApp + Email blast now (Playbook M1)",IF(N82="Bad contact","STOP: report bad contact to lead (Playbook)",IF(O82="Scheduled","DONE: scheduled via Calendly",IF(O82="","STEP 2: Check Calendly now",IF(P82="","STEP 3: Send WhatsApp nudge (Playbook M2)",IF(Q82="Scheduled","DONE: scheduled via Calendly",IF(Q82="Escalate to call","HANDED to Shyam (call queue)","STEP 4: Final Calendly check")))))))</f>
        <v/>
      </c>
      <c r="F82" s="16">
        <f>IF(N82="",B82,IF(O82="",B82+2/24,IF(AND(O82="Not yet",P82=""),B82+2/24,IF(Q82="",B82+4/24,""))))</f>
        <v/>
      </c>
      <c r="G82" s="15" t="inlineStr">
        <is>
          <t>Chetan</t>
        </is>
      </c>
      <c r="H82" s="15" t="inlineStr">
        <is>
          <t>Google</t>
        </is>
      </c>
      <c r="I82" s="15" t="inlineStr">
        <is>
          <t>Round1</t>
        </is>
      </c>
      <c r="J82" s="18" t="inlineStr">
        <is>
          <t>+91 9920264452</t>
        </is>
      </c>
      <c r="K82" s="15" t="inlineStr">
        <is>
          <t>chetan@weekday.works</t>
        </is>
      </c>
      <c r="L82" s="15" t="inlineStr">
        <is>
          <t>&lt;calendly_link&gt;</t>
        </is>
      </c>
      <c r="M82" s="15" t="inlineStr">
        <is>
          <t>Yes</t>
        </is>
      </c>
      <c r="N82" s="15" t="n"/>
      <c r="O82" s="15" t="n"/>
      <c r="P82" s="15" t="n"/>
      <c r="Q82" s="15" t="n"/>
      <c r="R82" s="15">
        <f>IF(OR(O82="Scheduled",Q82="Scheduled"),"SCHEDULED",IF(Q82="Escalate to call","ESCALATED TO CALL",IF(N82="Bad contact","BAD CONTACT",IF(N82="","NOT STARTED","IN PROGRESS"))))</f>
        <v/>
      </c>
      <c r="S82" s="15" t="n"/>
    </row>
    <row r="83">
      <c r="A83" s="15" t="inlineStr">
        <is>
          <t>REQ-0082</t>
        </is>
      </c>
      <c r="B83" s="16" t="n">
        <v>44867.82708333333</v>
      </c>
      <c r="C83" s="16">
        <f>B83+1</f>
        <v/>
      </c>
      <c r="D83" s="17">
        <f>(C83-NOW())*24</f>
        <v/>
      </c>
      <c r="E83" s="15">
        <f>IF(N83="","STEP 1: Send WhatsApp + Email blast now (Playbook M1)",IF(N83="Bad contact","STOP: report bad contact to lead (Playbook)",IF(O83="Scheduled","DONE: scheduled via Calendly",IF(O83="","STEP 2: Check Calendly now",IF(P83="","STEP 3: Send WhatsApp nudge (Playbook M2)",IF(Q83="Scheduled","DONE: scheduled via Calendly",IF(Q83="Escalate to call","HANDED to Shyam (call queue)","STEP 4: Final Calendly check")))))))</f>
        <v/>
      </c>
      <c r="F83" s="16">
        <f>IF(N83="",B83,IF(O83="",B83+2/24,IF(AND(O83="Not yet",P83=""),B83+2/24,IF(Q83="",B83+4/24,""))))</f>
        <v/>
      </c>
      <c r="G83" s="15" t="inlineStr">
        <is>
          <t>Chetan</t>
        </is>
      </c>
      <c r="H83" s="15" t="inlineStr">
        <is>
          <t>Google</t>
        </is>
      </c>
      <c r="I83" s="15" t="inlineStr">
        <is>
          <t>Round1</t>
        </is>
      </c>
      <c r="J83" s="18" t="inlineStr">
        <is>
          <t>+91 9920264452</t>
        </is>
      </c>
      <c r="K83" s="15" t="inlineStr">
        <is>
          <t>chetan@weekday.works</t>
        </is>
      </c>
      <c r="L83" s="15" t="inlineStr">
        <is>
          <t>&lt;calendly_link&gt;</t>
        </is>
      </c>
      <c r="M83" s="15" t="inlineStr">
        <is>
          <t>Yes</t>
        </is>
      </c>
      <c r="N83" s="15" t="n"/>
      <c r="O83" s="15" t="n"/>
      <c r="P83" s="15" t="n"/>
      <c r="Q83" s="15" t="n"/>
      <c r="R83" s="15">
        <f>IF(OR(O83="Scheduled",Q83="Scheduled"),"SCHEDULED",IF(Q83="Escalate to call","ESCALATED TO CALL",IF(N83="Bad contact","BAD CONTACT",IF(N83="","NOT STARTED","IN PROGRESS"))))</f>
        <v/>
      </c>
      <c r="S83" s="15" t="n"/>
    </row>
    <row r="84">
      <c r="A84" s="15" t="inlineStr">
        <is>
          <t>REQ-0083</t>
        </is>
      </c>
      <c r="B84" s="16" t="n">
        <v>44867.82708333333</v>
      </c>
      <c r="C84" s="16">
        <f>B84+1</f>
        <v/>
      </c>
      <c r="D84" s="17">
        <f>(C84-NOW())*24</f>
        <v/>
      </c>
      <c r="E84" s="15">
        <f>IF(N84="","STEP 1: Send WhatsApp + Email blast now (Playbook M1)",IF(N84="Bad contact","STOP: report bad contact to lead (Playbook)",IF(O84="Scheduled","DONE: scheduled via Calendly",IF(O84="","STEP 2: Check Calendly now",IF(P84="","STEP 3: Send WhatsApp nudge (Playbook M2)",IF(Q84="Scheduled","DONE: scheduled via Calendly",IF(Q84="Escalate to call","HANDED to Shyam (call queue)","STEP 4: Final Calendly check")))))))</f>
        <v/>
      </c>
      <c r="F84" s="16">
        <f>IF(N84="",B84,IF(O84="",B84+2/24,IF(AND(O84="Not yet",P84=""),B84+2/24,IF(Q84="",B84+4/24,""))))</f>
        <v/>
      </c>
      <c r="G84" s="15" t="inlineStr">
        <is>
          <t>Chetan</t>
        </is>
      </c>
      <c r="H84" s="15" t="inlineStr">
        <is>
          <t>Google</t>
        </is>
      </c>
      <c r="I84" s="15" t="inlineStr">
        <is>
          <t>Round1</t>
        </is>
      </c>
      <c r="J84" s="18" t="inlineStr">
        <is>
          <t>+91 9920264452</t>
        </is>
      </c>
      <c r="K84" s="15" t="inlineStr">
        <is>
          <t>chetan@weekday.works</t>
        </is>
      </c>
      <c r="L84" s="15" t="inlineStr">
        <is>
          <t>&lt;calendly_link&gt;</t>
        </is>
      </c>
      <c r="M84" s="15" t="inlineStr">
        <is>
          <t>Yes</t>
        </is>
      </c>
      <c r="N84" s="15" t="n"/>
      <c r="O84" s="15" t="n"/>
      <c r="P84" s="15" t="n"/>
      <c r="Q84" s="15" t="n"/>
      <c r="R84" s="15">
        <f>IF(OR(O84="Scheduled",Q84="Scheduled"),"SCHEDULED",IF(Q84="Escalate to call","ESCALATED TO CALL",IF(N84="Bad contact","BAD CONTACT",IF(N84="","NOT STARTED","IN PROGRESS"))))</f>
        <v/>
      </c>
      <c r="S84" s="15" t="n"/>
    </row>
    <row r="85">
      <c r="A85" s="15" t="inlineStr">
        <is>
          <t>REQ-0084</t>
        </is>
      </c>
      <c r="B85" s="16" t="n">
        <v>44867.82708333333</v>
      </c>
      <c r="C85" s="16">
        <f>B85+1</f>
        <v/>
      </c>
      <c r="D85" s="17">
        <f>(C85-NOW())*24</f>
        <v/>
      </c>
      <c r="E85" s="15">
        <f>IF(N85="","STEP 1: Send WhatsApp + Email blast now (Playbook M1)",IF(N85="Bad contact","STOP: report bad contact to lead (Playbook)",IF(O85="Scheduled","DONE: scheduled via Calendly",IF(O85="","STEP 2: Check Calendly now",IF(P85="","STEP 3: Send WhatsApp nudge (Playbook M2)",IF(Q85="Scheduled","DONE: scheduled via Calendly",IF(Q85="Escalate to call","HANDED to Shyam (call queue)","STEP 4: Final Calendly check")))))))</f>
        <v/>
      </c>
      <c r="F85" s="16">
        <f>IF(N85="",B85,IF(O85="",B85+2/24,IF(AND(O85="Not yet",P85=""),B85+2/24,IF(Q85="",B85+4/24,""))))</f>
        <v/>
      </c>
      <c r="G85" s="15" t="inlineStr">
        <is>
          <t>Chetan</t>
        </is>
      </c>
      <c r="H85" s="15" t="inlineStr">
        <is>
          <t>Google</t>
        </is>
      </c>
      <c r="I85" s="15" t="inlineStr">
        <is>
          <t>Round1</t>
        </is>
      </c>
      <c r="J85" s="18" t="inlineStr">
        <is>
          <t>+91 9920264452</t>
        </is>
      </c>
      <c r="K85" s="15" t="inlineStr">
        <is>
          <t>chetan@weekday.works</t>
        </is>
      </c>
      <c r="L85" s="15" t="inlineStr">
        <is>
          <t>&lt;calendly_link&gt;</t>
        </is>
      </c>
      <c r="M85" s="15" t="inlineStr">
        <is>
          <t>Yes</t>
        </is>
      </c>
      <c r="N85" s="15" t="n"/>
      <c r="O85" s="15" t="n"/>
      <c r="P85" s="15" t="n"/>
      <c r="Q85" s="15" t="n"/>
      <c r="R85" s="15">
        <f>IF(OR(O85="Scheduled",Q85="Scheduled"),"SCHEDULED",IF(Q85="Escalate to call","ESCALATED TO CALL",IF(N85="Bad contact","BAD CONTACT",IF(N85="","NOT STARTED","IN PROGRESS"))))</f>
        <v/>
      </c>
      <c r="S85" s="15" t="n"/>
    </row>
    <row r="86">
      <c r="A86" s="15" t="inlineStr">
        <is>
          <t>REQ-0085</t>
        </is>
      </c>
      <c r="B86" s="16" t="n">
        <v>44867.82708333333</v>
      </c>
      <c r="C86" s="16">
        <f>B86+1</f>
        <v/>
      </c>
      <c r="D86" s="17">
        <f>(C86-NOW())*24</f>
        <v/>
      </c>
      <c r="E86" s="15">
        <f>IF(N86="","STEP 1: Send WhatsApp + Email blast now (Playbook M1)",IF(N86="Bad contact","STOP: report bad contact to lead (Playbook)",IF(O86="Scheduled","DONE: scheduled via Calendly",IF(O86="","STEP 2: Check Calendly now",IF(P86="","STEP 3: Send WhatsApp nudge (Playbook M2)",IF(Q86="Scheduled","DONE: scheduled via Calendly",IF(Q86="Escalate to call","HANDED to Shyam (call queue)","STEP 4: Final Calendly check")))))))</f>
        <v/>
      </c>
      <c r="F86" s="16">
        <f>IF(N86="",B86,IF(O86="",B86+2/24,IF(AND(O86="Not yet",P86=""),B86+2/24,IF(Q86="",B86+4/24,""))))</f>
        <v/>
      </c>
      <c r="G86" s="15" t="inlineStr">
        <is>
          <t>Chetan</t>
        </is>
      </c>
      <c r="H86" s="15" t="inlineStr">
        <is>
          <t>Google</t>
        </is>
      </c>
      <c r="I86" s="15" t="inlineStr">
        <is>
          <t>Round1</t>
        </is>
      </c>
      <c r="J86" s="18" t="inlineStr">
        <is>
          <t>+91 9920264452</t>
        </is>
      </c>
      <c r="K86" s="15" t="inlineStr">
        <is>
          <t>chetan@weekday.works</t>
        </is>
      </c>
      <c r="L86" s="15" t="inlineStr">
        <is>
          <t>&lt;calendly_link&gt;</t>
        </is>
      </c>
      <c r="M86" s="15" t="inlineStr">
        <is>
          <t>Yes</t>
        </is>
      </c>
      <c r="N86" s="15" t="n"/>
      <c r="O86" s="15" t="n"/>
      <c r="P86" s="15" t="n"/>
      <c r="Q86" s="15" t="n"/>
      <c r="R86" s="15">
        <f>IF(OR(O86="Scheduled",Q86="Scheduled"),"SCHEDULED",IF(Q86="Escalate to call","ESCALATED TO CALL",IF(N86="Bad contact","BAD CONTACT",IF(N86="","NOT STARTED","IN PROGRESS"))))</f>
        <v/>
      </c>
      <c r="S86" s="15" t="n"/>
    </row>
    <row r="87">
      <c r="A87" s="15" t="inlineStr">
        <is>
          <t>REQ-0086</t>
        </is>
      </c>
      <c r="B87" s="16" t="n">
        <v>44867.82708333333</v>
      </c>
      <c r="C87" s="16">
        <f>B87+1</f>
        <v/>
      </c>
      <c r="D87" s="17">
        <f>(C87-NOW())*24</f>
        <v/>
      </c>
      <c r="E87" s="15">
        <f>IF(N87="","STEP 1: Send WhatsApp + Email blast now (Playbook M1)",IF(N87="Bad contact","STOP: report bad contact to lead (Playbook)",IF(O87="Scheduled","DONE: scheduled via Calendly",IF(O87="","STEP 2: Check Calendly now",IF(P87="","STEP 3: Send WhatsApp nudge (Playbook M2)",IF(Q87="Scheduled","DONE: scheduled via Calendly",IF(Q87="Escalate to call","HANDED to Shyam (call queue)","STEP 4: Final Calendly check")))))))</f>
        <v/>
      </c>
      <c r="F87" s="16">
        <f>IF(N87="",B87,IF(O87="",B87+2/24,IF(AND(O87="Not yet",P87=""),B87+2/24,IF(Q87="",B87+4/24,""))))</f>
        <v/>
      </c>
      <c r="G87" s="15" t="inlineStr">
        <is>
          <t>Chetan</t>
        </is>
      </c>
      <c r="H87" s="15" t="inlineStr">
        <is>
          <t>Google</t>
        </is>
      </c>
      <c r="I87" s="15" t="inlineStr">
        <is>
          <t>Round1</t>
        </is>
      </c>
      <c r="J87" s="18" t="inlineStr">
        <is>
          <t>+91 9920264452</t>
        </is>
      </c>
      <c r="K87" s="15" t="inlineStr">
        <is>
          <t>chetan@weekday.works</t>
        </is>
      </c>
      <c r="L87" s="15" t="inlineStr">
        <is>
          <t>&lt;calendly_link&gt;</t>
        </is>
      </c>
      <c r="M87" s="15" t="inlineStr">
        <is>
          <t>Yes</t>
        </is>
      </c>
      <c r="N87" s="15" t="n"/>
      <c r="O87" s="15" t="n"/>
      <c r="P87" s="15" t="n"/>
      <c r="Q87" s="15" t="n"/>
      <c r="R87" s="15">
        <f>IF(OR(O87="Scheduled",Q87="Scheduled"),"SCHEDULED",IF(Q87="Escalate to call","ESCALATED TO CALL",IF(N87="Bad contact","BAD CONTACT",IF(N87="","NOT STARTED","IN PROGRESS"))))</f>
        <v/>
      </c>
      <c r="S87" s="15" t="n"/>
    </row>
    <row r="88">
      <c r="A88" s="15" t="inlineStr">
        <is>
          <t>REQ-0087</t>
        </is>
      </c>
      <c r="B88" s="16" t="n">
        <v>44867.82708333333</v>
      </c>
      <c r="C88" s="16">
        <f>B88+1</f>
        <v/>
      </c>
      <c r="D88" s="17">
        <f>(C88-NOW())*24</f>
        <v/>
      </c>
      <c r="E88" s="15">
        <f>IF(N88="","STEP 1: Send WhatsApp + Email blast now (Playbook M1)",IF(N88="Bad contact","STOP: report bad contact to lead (Playbook)",IF(O88="Scheduled","DONE: scheduled via Calendly",IF(O88="","STEP 2: Check Calendly now",IF(P88="","STEP 3: Send WhatsApp nudge (Playbook M2)",IF(Q88="Scheduled","DONE: scheduled via Calendly",IF(Q88="Escalate to call","HANDED to Shyam (call queue)","STEP 4: Final Calendly check")))))))</f>
        <v/>
      </c>
      <c r="F88" s="16">
        <f>IF(N88="",B88,IF(O88="",B88+2/24,IF(AND(O88="Not yet",P88=""),B88+2/24,IF(Q88="",B88+4/24,""))))</f>
        <v/>
      </c>
      <c r="G88" s="15" t="inlineStr">
        <is>
          <t>Chetan</t>
        </is>
      </c>
      <c r="H88" s="15" t="inlineStr">
        <is>
          <t>Google</t>
        </is>
      </c>
      <c r="I88" s="15" t="inlineStr">
        <is>
          <t>Round1</t>
        </is>
      </c>
      <c r="J88" s="18" t="inlineStr">
        <is>
          <t>+91 9920264452</t>
        </is>
      </c>
      <c r="K88" s="15" t="inlineStr">
        <is>
          <t>chetan@weekday.works</t>
        </is>
      </c>
      <c r="L88" s="15" t="inlineStr">
        <is>
          <t>&lt;calendly_link&gt;</t>
        </is>
      </c>
      <c r="M88" s="15" t="inlineStr">
        <is>
          <t>Yes</t>
        </is>
      </c>
      <c r="N88" s="15" t="n"/>
      <c r="O88" s="15" t="n"/>
      <c r="P88" s="15" t="n"/>
      <c r="Q88" s="15" t="n"/>
      <c r="R88" s="15">
        <f>IF(OR(O88="Scheduled",Q88="Scheduled"),"SCHEDULED",IF(Q88="Escalate to call","ESCALATED TO CALL",IF(N88="Bad contact","BAD CONTACT",IF(N88="","NOT STARTED","IN PROGRESS"))))</f>
        <v/>
      </c>
      <c r="S88" s="15" t="n"/>
    </row>
    <row r="89">
      <c r="A89" s="15" t="inlineStr">
        <is>
          <t>REQ-0088</t>
        </is>
      </c>
      <c r="B89" s="16" t="n">
        <v>44867.82708333333</v>
      </c>
      <c r="C89" s="16">
        <f>B89+1</f>
        <v/>
      </c>
      <c r="D89" s="17">
        <f>(C89-NOW())*24</f>
        <v/>
      </c>
      <c r="E89" s="15">
        <f>IF(N89="","STEP 1: Send WhatsApp + Email blast now (Playbook M1)",IF(N89="Bad contact","STOP: report bad contact to lead (Playbook)",IF(O89="Scheduled","DONE: scheduled via Calendly",IF(O89="","STEP 2: Check Calendly now",IF(P89="","STEP 3: Send WhatsApp nudge (Playbook M2)",IF(Q89="Scheduled","DONE: scheduled via Calendly",IF(Q89="Escalate to call","HANDED to Shyam (call queue)","STEP 4: Final Calendly check")))))))</f>
        <v/>
      </c>
      <c r="F89" s="16">
        <f>IF(N89="",B89,IF(O89="",B89+2/24,IF(AND(O89="Not yet",P89=""),B89+2/24,IF(Q89="",B89+4/24,""))))</f>
        <v/>
      </c>
      <c r="G89" s="15" t="inlineStr">
        <is>
          <t>Chetan</t>
        </is>
      </c>
      <c r="H89" s="15" t="inlineStr">
        <is>
          <t>Google</t>
        </is>
      </c>
      <c r="I89" s="15" t="inlineStr">
        <is>
          <t>Round1</t>
        </is>
      </c>
      <c r="J89" s="18" t="inlineStr">
        <is>
          <t>+91 9920264452</t>
        </is>
      </c>
      <c r="K89" s="15" t="inlineStr">
        <is>
          <t>chetan@weekday.works</t>
        </is>
      </c>
      <c r="L89" s="15" t="inlineStr">
        <is>
          <t>&lt;calendly_link&gt;</t>
        </is>
      </c>
      <c r="M89" s="15" t="inlineStr">
        <is>
          <t>Yes</t>
        </is>
      </c>
      <c r="N89" s="15" t="n"/>
      <c r="O89" s="15" t="n"/>
      <c r="P89" s="15" t="n"/>
      <c r="Q89" s="15" t="n"/>
      <c r="R89" s="15">
        <f>IF(OR(O89="Scheduled",Q89="Scheduled"),"SCHEDULED",IF(Q89="Escalate to call","ESCALATED TO CALL",IF(N89="Bad contact","BAD CONTACT",IF(N89="","NOT STARTED","IN PROGRESS"))))</f>
        <v/>
      </c>
      <c r="S89" s="15" t="n"/>
    </row>
    <row r="90">
      <c r="A90" s="15" t="inlineStr">
        <is>
          <t>REQ-0089</t>
        </is>
      </c>
      <c r="B90" s="16" t="n">
        <v>44867.82708333333</v>
      </c>
      <c r="C90" s="16">
        <f>B90+1</f>
        <v/>
      </c>
      <c r="D90" s="17">
        <f>(C90-NOW())*24</f>
        <v/>
      </c>
      <c r="E90" s="15">
        <f>IF(N90="","STEP 1: Send WhatsApp + Email blast now (Playbook M1)",IF(N90="Bad contact","STOP: report bad contact to lead (Playbook)",IF(O90="Scheduled","DONE: scheduled via Calendly",IF(O90="","STEP 2: Check Calendly now",IF(P90="","STEP 3: Send WhatsApp nudge (Playbook M2)",IF(Q90="Scheduled","DONE: scheduled via Calendly",IF(Q90="Escalate to call","HANDED to Shyam (call queue)","STEP 4: Final Calendly check")))))))</f>
        <v/>
      </c>
      <c r="F90" s="16">
        <f>IF(N90="",B90,IF(O90="",B90+2/24,IF(AND(O90="Not yet",P90=""),B90+2/24,IF(Q90="",B90+4/24,""))))</f>
        <v/>
      </c>
      <c r="G90" s="15" t="inlineStr">
        <is>
          <t>Chetan</t>
        </is>
      </c>
      <c r="H90" s="15" t="inlineStr">
        <is>
          <t>Google</t>
        </is>
      </c>
      <c r="I90" s="15" t="inlineStr">
        <is>
          <t>Round1</t>
        </is>
      </c>
      <c r="J90" s="18" t="inlineStr">
        <is>
          <t>+91 9920264452</t>
        </is>
      </c>
      <c r="K90" s="15" t="inlineStr">
        <is>
          <t>chetan@weekday.works</t>
        </is>
      </c>
      <c r="L90" s="15" t="inlineStr">
        <is>
          <t>&lt;calendly_link&gt;</t>
        </is>
      </c>
      <c r="M90" s="15" t="inlineStr">
        <is>
          <t>Yes</t>
        </is>
      </c>
      <c r="N90" s="15" t="n"/>
      <c r="O90" s="15" t="n"/>
      <c r="P90" s="15" t="n"/>
      <c r="Q90" s="15" t="n"/>
      <c r="R90" s="15">
        <f>IF(OR(O90="Scheduled",Q90="Scheduled"),"SCHEDULED",IF(Q90="Escalate to call","ESCALATED TO CALL",IF(N90="Bad contact","BAD CONTACT",IF(N90="","NOT STARTED","IN PROGRESS"))))</f>
        <v/>
      </c>
      <c r="S90" s="15" t="n"/>
    </row>
    <row r="91">
      <c r="A91" s="15" t="inlineStr">
        <is>
          <t>REQ-0090</t>
        </is>
      </c>
      <c r="B91" s="16" t="n">
        <v>44867.82708333333</v>
      </c>
      <c r="C91" s="16">
        <f>B91+1</f>
        <v/>
      </c>
      <c r="D91" s="17">
        <f>(C91-NOW())*24</f>
        <v/>
      </c>
      <c r="E91" s="15">
        <f>IF(N91="","STEP 1: Send WhatsApp + Email blast now (Playbook M1)",IF(N91="Bad contact","STOP: report bad contact to lead (Playbook)",IF(O91="Scheduled","DONE: scheduled via Calendly",IF(O91="","STEP 2: Check Calendly now",IF(P91="","STEP 3: Send WhatsApp nudge (Playbook M2)",IF(Q91="Scheduled","DONE: scheduled via Calendly",IF(Q91="Escalate to call","HANDED to Shyam (call queue)","STEP 4: Final Calendly check")))))))</f>
        <v/>
      </c>
      <c r="F91" s="16">
        <f>IF(N91="",B91,IF(O91="",B91+2/24,IF(AND(O91="Not yet",P91=""),B91+2/24,IF(Q91="",B91+4/24,""))))</f>
        <v/>
      </c>
      <c r="G91" s="15" t="inlineStr">
        <is>
          <t>Chetan</t>
        </is>
      </c>
      <c r="H91" s="15" t="inlineStr">
        <is>
          <t>Google</t>
        </is>
      </c>
      <c r="I91" s="15" t="inlineStr">
        <is>
          <t>Round1</t>
        </is>
      </c>
      <c r="J91" s="18" t="inlineStr">
        <is>
          <t>+91 9920264452</t>
        </is>
      </c>
      <c r="K91" s="15" t="inlineStr">
        <is>
          <t>chetan@weekday.works</t>
        </is>
      </c>
      <c r="L91" s="15" t="inlineStr">
        <is>
          <t>&lt;calendly_link&gt;</t>
        </is>
      </c>
      <c r="M91" s="15" t="inlineStr">
        <is>
          <t>Yes</t>
        </is>
      </c>
      <c r="N91" s="15" t="n"/>
      <c r="O91" s="15" t="n"/>
      <c r="P91" s="15" t="n"/>
      <c r="Q91" s="15" t="n"/>
      <c r="R91" s="15">
        <f>IF(OR(O91="Scheduled",Q91="Scheduled"),"SCHEDULED",IF(Q91="Escalate to call","ESCALATED TO CALL",IF(N91="Bad contact","BAD CONTACT",IF(N91="","NOT STARTED","IN PROGRESS"))))</f>
        <v/>
      </c>
      <c r="S91" s="15" t="n"/>
    </row>
    <row r="92">
      <c r="A92" s="15" t="inlineStr">
        <is>
          <t>REQ-0091</t>
        </is>
      </c>
      <c r="B92" s="16" t="n">
        <v>44867.82708333333</v>
      </c>
      <c r="C92" s="16">
        <f>B92+1</f>
        <v/>
      </c>
      <c r="D92" s="17">
        <f>(C92-NOW())*24</f>
        <v/>
      </c>
      <c r="E92" s="15">
        <f>IF(N92="","STEP 1: Send WhatsApp + Email blast now (Playbook M1)",IF(N92="Bad contact","STOP: report bad contact to lead (Playbook)",IF(O92="Scheduled","DONE: scheduled via Calendly",IF(O92="","STEP 2: Check Calendly now",IF(P92="","STEP 3: Send WhatsApp nudge (Playbook M2)",IF(Q92="Scheduled","DONE: scheduled via Calendly",IF(Q92="Escalate to call","HANDED to Shyam (call queue)","STEP 4: Final Calendly check")))))))</f>
        <v/>
      </c>
      <c r="F92" s="16">
        <f>IF(N92="",B92,IF(O92="",B92+2/24,IF(AND(O92="Not yet",P92=""),B92+2/24,IF(Q92="",B92+4/24,""))))</f>
        <v/>
      </c>
      <c r="G92" s="15" t="inlineStr">
        <is>
          <t>Chetan</t>
        </is>
      </c>
      <c r="H92" s="15" t="inlineStr">
        <is>
          <t>Google</t>
        </is>
      </c>
      <c r="I92" s="15" t="inlineStr">
        <is>
          <t>Round1</t>
        </is>
      </c>
      <c r="J92" s="18" t="inlineStr">
        <is>
          <t>+91 9920264452</t>
        </is>
      </c>
      <c r="K92" s="15" t="inlineStr">
        <is>
          <t>chetan@weekday.works</t>
        </is>
      </c>
      <c r="L92" s="15" t="inlineStr">
        <is>
          <t>&lt;calendly_link&gt;</t>
        </is>
      </c>
      <c r="M92" s="15" t="inlineStr">
        <is>
          <t>Yes</t>
        </is>
      </c>
      <c r="N92" s="15" t="n"/>
      <c r="O92" s="15" t="n"/>
      <c r="P92" s="15" t="n"/>
      <c r="Q92" s="15" t="n"/>
      <c r="R92" s="15">
        <f>IF(OR(O92="Scheduled",Q92="Scheduled"),"SCHEDULED",IF(Q92="Escalate to call","ESCALATED TO CALL",IF(N92="Bad contact","BAD CONTACT",IF(N92="","NOT STARTED","IN PROGRESS"))))</f>
        <v/>
      </c>
      <c r="S92" s="15" t="n"/>
    </row>
    <row r="93">
      <c r="A93" s="15" t="inlineStr">
        <is>
          <t>REQ-0092</t>
        </is>
      </c>
      <c r="B93" s="16" t="n">
        <v>44867.82708333333</v>
      </c>
      <c r="C93" s="16">
        <f>B93+1</f>
        <v/>
      </c>
      <c r="D93" s="17">
        <f>(C93-NOW())*24</f>
        <v/>
      </c>
      <c r="E93" s="15">
        <f>IF(N93="","STEP 1: Send WhatsApp + Email blast now (Playbook M1)",IF(N93="Bad contact","STOP: report bad contact to lead (Playbook)",IF(O93="Scheduled","DONE: scheduled via Calendly",IF(O93="","STEP 2: Check Calendly now",IF(P93="","STEP 3: Send WhatsApp nudge (Playbook M2)",IF(Q93="Scheduled","DONE: scheduled via Calendly",IF(Q93="Escalate to call","HANDED to Shyam (call queue)","STEP 4: Final Calendly check")))))))</f>
        <v/>
      </c>
      <c r="F93" s="16">
        <f>IF(N93="",B93,IF(O93="",B93+2/24,IF(AND(O93="Not yet",P93=""),B93+2/24,IF(Q93="",B93+4/24,""))))</f>
        <v/>
      </c>
      <c r="G93" s="15" t="inlineStr">
        <is>
          <t>Chetan</t>
        </is>
      </c>
      <c r="H93" s="15" t="inlineStr">
        <is>
          <t>Google</t>
        </is>
      </c>
      <c r="I93" s="15" t="inlineStr">
        <is>
          <t>Round1</t>
        </is>
      </c>
      <c r="J93" s="18" t="inlineStr">
        <is>
          <t>+91 9920264452</t>
        </is>
      </c>
      <c r="K93" s="15" t="inlineStr">
        <is>
          <t>chetan@weekday.works</t>
        </is>
      </c>
      <c r="L93" s="15" t="inlineStr">
        <is>
          <t>&lt;calendly_link&gt;</t>
        </is>
      </c>
      <c r="M93" s="15" t="inlineStr">
        <is>
          <t>Yes</t>
        </is>
      </c>
      <c r="N93" s="15" t="n"/>
      <c r="O93" s="15" t="n"/>
      <c r="P93" s="15" t="n"/>
      <c r="Q93" s="15" t="n"/>
      <c r="R93" s="15">
        <f>IF(OR(O93="Scheduled",Q93="Scheduled"),"SCHEDULED",IF(Q93="Escalate to call","ESCALATED TO CALL",IF(N93="Bad contact","BAD CONTACT",IF(N93="","NOT STARTED","IN PROGRESS"))))</f>
        <v/>
      </c>
      <c r="S93" s="15" t="n"/>
    </row>
    <row r="94">
      <c r="A94" s="15" t="inlineStr">
        <is>
          <t>REQ-0093</t>
        </is>
      </c>
      <c r="B94" s="16" t="n">
        <v>44867.82708333333</v>
      </c>
      <c r="C94" s="16">
        <f>B94+1</f>
        <v/>
      </c>
      <c r="D94" s="17">
        <f>(C94-NOW())*24</f>
        <v/>
      </c>
      <c r="E94" s="15">
        <f>IF(N94="","STEP 1: Send WhatsApp + Email blast now (Playbook M1)",IF(N94="Bad contact","STOP: report bad contact to lead (Playbook)",IF(O94="Scheduled","DONE: scheduled via Calendly",IF(O94="","STEP 2: Check Calendly now",IF(P94="","STEP 3: Send WhatsApp nudge (Playbook M2)",IF(Q94="Scheduled","DONE: scheduled via Calendly",IF(Q94="Escalate to call","HANDED to Shyam (call queue)","STEP 4: Final Calendly check")))))))</f>
        <v/>
      </c>
      <c r="F94" s="16">
        <f>IF(N94="",B94,IF(O94="",B94+2/24,IF(AND(O94="Not yet",P94=""),B94+2/24,IF(Q94="",B94+4/24,""))))</f>
        <v/>
      </c>
      <c r="G94" s="15" t="inlineStr">
        <is>
          <t>Chetan</t>
        </is>
      </c>
      <c r="H94" s="15" t="inlineStr">
        <is>
          <t>Google</t>
        </is>
      </c>
      <c r="I94" s="15" t="inlineStr">
        <is>
          <t>Round1</t>
        </is>
      </c>
      <c r="J94" s="18" t="inlineStr">
        <is>
          <t>+91 9920264452</t>
        </is>
      </c>
      <c r="K94" s="15" t="inlineStr">
        <is>
          <t>chetan@weekday.works</t>
        </is>
      </c>
      <c r="L94" s="15" t="inlineStr">
        <is>
          <t>&lt;calendly_link&gt;</t>
        </is>
      </c>
      <c r="M94" s="15" t="inlineStr">
        <is>
          <t>Yes</t>
        </is>
      </c>
      <c r="N94" s="15" t="n"/>
      <c r="O94" s="15" t="n"/>
      <c r="P94" s="15" t="n"/>
      <c r="Q94" s="15" t="n"/>
      <c r="R94" s="15">
        <f>IF(OR(O94="Scheduled",Q94="Scheduled"),"SCHEDULED",IF(Q94="Escalate to call","ESCALATED TO CALL",IF(N94="Bad contact","BAD CONTACT",IF(N94="","NOT STARTED","IN PROGRESS"))))</f>
        <v/>
      </c>
      <c r="S94" s="15" t="n"/>
    </row>
    <row r="95">
      <c r="A95" s="15" t="inlineStr">
        <is>
          <t>REQ-0094</t>
        </is>
      </c>
      <c r="B95" s="16" t="n">
        <v>44867.82708333333</v>
      </c>
      <c r="C95" s="16">
        <f>B95+1</f>
        <v/>
      </c>
      <c r="D95" s="17">
        <f>(C95-NOW())*24</f>
        <v/>
      </c>
      <c r="E95" s="15">
        <f>IF(N95="","STEP 1: Send WhatsApp + Email blast now (Playbook M1)",IF(N95="Bad contact","STOP: report bad contact to lead (Playbook)",IF(O95="Scheduled","DONE: scheduled via Calendly",IF(O95="","STEP 2: Check Calendly now",IF(P95="","STEP 3: Send WhatsApp nudge (Playbook M2)",IF(Q95="Scheduled","DONE: scheduled via Calendly",IF(Q95="Escalate to call","HANDED to Shyam (call queue)","STEP 4: Final Calendly check")))))))</f>
        <v/>
      </c>
      <c r="F95" s="16">
        <f>IF(N95="",B95,IF(O95="",B95+2/24,IF(AND(O95="Not yet",P95=""),B95+2/24,IF(Q95="",B95+4/24,""))))</f>
        <v/>
      </c>
      <c r="G95" s="15" t="inlineStr">
        <is>
          <t>Chetan</t>
        </is>
      </c>
      <c r="H95" s="15" t="inlineStr">
        <is>
          <t>Google</t>
        </is>
      </c>
      <c r="I95" s="15" t="inlineStr">
        <is>
          <t>Round1</t>
        </is>
      </c>
      <c r="J95" s="18" t="inlineStr">
        <is>
          <t>+91 9920264452</t>
        </is>
      </c>
      <c r="K95" s="15" t="inlineStr">
        <is>
          <t>chetan@weekday.works</t>
        </is>
      </c>
      <c r="L95" s="15" t="inlineStr">
        <is>
          <t>&lt;calendly_link&gt;</t>
        </is>
      </c>
      <c r="M95" s="15" t="inlineStr">
        <is>
          <t>Yes</t>
        </is>
      </c>
      <c r="N95" s="15" t="n"/>
      <c r="O95" s="15" t="n"/>
      <c r="P95" s="15" t="n"/>
      <c r="Q95" s="15" t="n"/>
      <c r="R95" s="15">
        <f>IF(OR(O95="Scheduled",Q95="Scheduled"),"SCHEDULED",IF(Q95="Escalate to call","ESCALATED TO CALL",IF(N95="Bad contact","BAD CONTACT",IF(N95="","NOT STARTED","IN PROGRESS"))))</f>
        <v/>
      </c>
      <c r="S95" s="15" t="n"/>
    </row>
    <row r="96">
      <c r="A96" s="15" t="inlineStr">
        <is>
          <t>REQ-0095</t>
        </is>
      </c>
      <c r="B96" s="16" t="n">
        <v>44867.82708333333</v>
      </c>
      <c r="C96" s="16">
        <f>B96+1</f>
        <v/>
      </c>
      <c r="D96" s="17">
        <f>(C96-NOW())*24</f>
        <v/>
      </c>
      <c r="E96" s="15">
        <f>IF(N96="","STEP 1: Send WhatsApp + Email blast now (Playbook M1)",IF(N96="Bad contact","STOP: report bad contact to lead (Playbook)",IF(O96="Scheduled","DONE: scheduled via Calendly",IF(O96="","STEP 2: Check Calendly now",IF(P96="","STEP 3: Send WhatsApp nudge (Playbook M2)",IF(Q96="Scheduled","DONE: scheduled via Calendly",IF(Q96="Escalate to call","HANDED to Shyam (call queue)","STEP 4: Final Calendly check")))))))</f>
        <v/>
      </c>
      <c r="F96" s="16">
        <f>IF(N96="",B96,IF(O96="",B96+2/24,IF(AND(O96="Not yet",P96=""),B96+2/24,IF(Q96="",B96+4/24,""))))</f>
        <v/>
      </c>
      <c r="G96" s="15" t="inlineStr">
        <is>
          <t>Chetan</t>
        </is>
      </c>
      <c r="H96" s="15" t="inlineStr">
        <is>
          <t>Google</t>
        </is>
      </c>
      <c r="I96" s="15" t="inlineStr">
        <is>
          <t>Round1</t>
        </is>
      </c>
      <c r="J96" s="18" t="inlineStr">
        <is>
          <t>+91 9920264452</t>
        </is>
      </c>
      <c r="K96" s="15" t="inlineStr">
        <is>
          <t>chetan@weekday.works</t>
        </is>
      </c>
      <c r="L96" s="15" t="inlineStr">
        <is>
          <t>&lt;calendly_link&gt;</t>
        </is>
      </c>
      <c r="M96" s="15" t="inlineStr">
        <is>
          <t>Yes</t>
        </is>
      </c>
      <c r="N96" s="15" t="n"/>
      <c r="O96" s="15" t="n"/>
      <c r="P96" s="15" t="n"/>
      <c r="Q96" s="15" t="n"/>
      <c r="R96" s="15">
        <f>IF(OR(O96="Scheduled",Q96="Scheduled"),"SCHEDULED",IF(Q96="Escalate to call","ESCALATED TO CALL",IF(N96="Bad contact","BAD CONTACT",IF(N96="","NOT STARTED","IN PROGRESS"))))</f>
        <v/>
      </c>
      <c r="S96" s="15" t="n"/>
    </row>
    <row r="97">
      <c r="A97" s="15" t="inlineStr">
        <is>
          <t>REQ-0096</t>
        </is>
      </c>
      <c r="B97" s="16" t="n">
        <v>44867.82708333333</v>
      </c>
      <c r="C97" s="16">
        <f>B97+1</f>
        <v/>
      </c>
      <c r="D97" s="17">
        <f>(C97-NOW())*24</f>
        <v/>
      </c>
      <c r="E97" s="15">
        <f>IF(N97="","STEP 1: Send WhatsApp + Email blast now (Playbook M1)",IF(N97="Bad contact","STOP: report bad contact to lead (Playbook)",IF(O97="Scheduled","DONE: scheduled via Calendly",IF(O97="","STEP 2: Check Calendly now",IF(P97="","STEP 3: Send WhatsApp nudge (Playbook M2)",IF(Q97="Scheduled","DONE: scheduled via Calendly",IF(Q97="Escalate to call","HANDED to Shyam (call queue)","STEP 4: Final Calendly check")))))))</f>
        <v/>
      </c>
      <c r="F97" s="16">
        <f>IF(N97="",B97,IF(O97="",B97+2/24,IF(AND(O97="Not yet",P97=""),B97+2/24,IF(Q97="",B97+4/24,""))))</f>
        <v/>
      </c>
      <c r="G97" s="15" t="inlineStr">
        <is>
          <t>Chetan</t>
        </is>
      </c>
      <c r="H97" s="15" t="inlineStr">
        <is>
          <t>Google</t>
        </is>
      </c>
      <c r="I97" s="15" t="inlineStr">
        <is>
          <t>Round1</t>
        </is>
      </c>
      <c r="J97" s="18" t="inlineStr">
        <is>
          <t>+91 9920264452</t>
        </is>
      </c>
      <c r="K97" s="15" t="inlineStr">
        <is>
          <t>chetan@weekday.works</t>
        </is>
      </c>
      <c r="L97" s="15" t="inlineStr">
        <is>
          <t>&lt;calendly_link&gt;</t>
        </is>
      </c>
      <c r="M97" s="15" t="inlineStr">
        <is>
          <t>Yes</t>
        </is>
      </c>
      <c r="N97" s="15" t="n"/>
      <c r="O97" s="15" t="n"/>
      <c r="P97" s="15" t="n"/>
      <c r="Q97" s="15" t="n"/>
      <c r="R97" s="15">
        <f>IF(OR(O97="Scheduled",Q97="Scheduled"),"SCHEDULED",IF(Q97="Escalate to call","ESCALATED TO CALL",IF(N97="Bad contact","BAD CONTACT",IF(N97="","NOT STARTED","IN PROGRESS"))))</f>
        <v/>
      </c>
      <c r="S97" s="15" t="n"/>
    </row>
    <row r="98">
      <c r="A98" s="15" t="inlineStr">
        <is>
          <t>REQ-0097</t>
        </is>
      </c>
      <c r="B98" s="16" t="n">
        <v>44867.82708333333</v>
      </c>
      <c r="C98" s="16">
        <f>B98+1</f>
        <v/>
      </c>
      <c r="D98" s="17">
        <f>(C98-NOW())*24</f>
        <v/>
      </c>
      <c r="E98" s="15">
        <f>IF(N98="","STEP 1: Send WhatsApp + Email blast now (Playbook M1)",IF(N98="Bad contact","STOP: report bad contact to lead (Playbook)",IF(O98="Scheduled","DONE: scheduled via Calendly",IF(O98="","STEP 2: Check Calendly now",IF(P98="","STEP 3: Send WhatsApp nudge (Playbook M2)",IF(Q98="Scheduled","DONE: scheduled via Calendly",IF(Q98="Escalate to call","HANDED to Shyam (call queue)","STEP 4: Final Calendly check")))))))</f>
        <v/>
      </c>
      <c r="F98" s="16">
        <f>IF(N98="",B98,IF(O98="",B98+2/24,IF(AND(O98="Not yet",P98=""),B98+2/24,IF(Q98="",B98+4/24,""))))</f>
        <v/>
      </c>
      <c r="G98" s="15" t="inlineStr">
        <is>
          <t>Chetan</t>
        </is>
      </c>
      <c r="H98" s="15" t="inlineStr">
        <is>
          <t>Google</t>
        </is>
      </c>
      <c r="I98" s="15" t="inlineStr">
        <is>
          <t>Round1</t>
        </is>
      </c>
      <c r="J98" s="18" t="inlineStr">
        <is>
          <t>+91 9920264452</t>
        </is>
      </c>
      <c r="K98" s="15" t="inlineStr">
        <is>
          <t>chetan@weekday.works</t>
        </is>
      </c>
      <c r="L98" s="15" t="inlineStr">
        <is>
          <t>&lt;calendly_link&gt;</t>
        </is>
      </c>
      <c r="M98" s="15" t="inlineStr">
        <is>
          <t>Yes</t>
        </is>
      </c>
      <c r="N98" s="15" t="n"/>
      <c r="O98" s="15" t="n"/>
      <c r="P98" s="15" t="n"/>
      <c r="Q98" s="15" t="n"/>
      <c r="R98" s="15">
        <f>IF(OR(O98="Scheduled",Q98="Scheduled"),"SCHEDULED",IF(Q98="Escalate to call","ESCALATED TO CALL",IF(N98="Bad contact","BAD CONTACT",IF(N98="","NOT STARTED","IN PROGRESS"))))</f>
        <v/>
      </c>
      <c r="S98" s="15" t="n"/>
    </row>
    <row r="99">
      <c r="A99" s="15" t="inlineStr">
        <is>
          <t>REQ-0098</t>
        </is>
      </c>
      <c r="B99" s="16" t="n">
        <v>44867.82708333333</v>
      </c>
      <c r="C99" s="16">
        <f>B99+1</f>
        <v/>
      </c>
      <c r="D99" s="17">
        <f>(C99-NOW())*24</f>
        <v/>
      </c>
      <c r="E99" s="15">
        <f>IF(N99="","STEP 1: Send WhatsApp + Email blast now (Playbook M1)",IF(N99="Bad contact","STOP: report bad contact to lead (Playbook)",IF(O99="Scheduled","DONE: scheduled via Calendly",IF(O99="","STEP 2: Check Calendly now",IF(P99="","STEP 3: Send WhatsApp nudge (Playbook M2)",IF(Q99="Scheduled","DONE: scheduled via Calendly",IF(Q99="Escalate to call","HANDED to Shyam (call queue)","STEP 4: Final Calendly check")))))))</f>
        <v/>
      </c>
      <c r="F99" s="16">
        <f>IF(N99="",B99,IF(O99="",B99+2/24,IF(AND(O99="Not yet",P99=""),B99+2/24,IF(Q99="",B99+4/24,""))))</f>
        <v/>
      </c>
      <c r="G99" s="15" t="inlineStr">
        <is>
          <t>Chetan</t>
        </is>
      </c>
      <c r="H99" s="15" t="inlineStr">
        <is>
          <t>Google</t>
        </is>
      </c>
      <c r="I99" s="15" t="inlineStr">
        <is>
          <t>Round1</t>
        </is>
      </c>
      <c r="J99" s="18" t="inlineStr">
        <is>
          <t>+91 9920264452</t>
        </is>
      </c>
      <c r="K99" s="15" t="inlineStr">
        <is>
          <t>chetan@weekday.works</t>
        </is>
      </c>
      <c r="L99" s="15" t="inlineStr">
        <is>
          <t>&lt;calendly_link&gt;</t>
        </is>
      </c>
      <c r="M99" s="15" t="inlineStr">
        <is>
          <t>Yes</t>
        </is>
      </c>
      <c r="N99" s="15" t="n"/>
      <c r="O99" s="15" t="n"/>
      <c r="P99" s="15" t="n"/>
      <c r="Q99" s="15" t="n"/>
      <c r="R99" s="15">
        <f>IF(OR(O99="Scheduled",Q99="Scheduled"),"SCHEDULED",IF(Q99="Escalate to call","ESCALATED TO CALL",IF(N99="Bad contact","BAD CONTACT",IF(N99="","NOT STARTED","IN PROGRESS"))))</f>
        <v/>
      </c>
      <c r="S99" s="15" t="n"/>
    </row>
    <row r="100">
      <c r="A100" s="15" t="inlineStr">
        <is>
          <t>REQ-0099</t>
        </is>
      </c>
      <c r="B100" s="16" t="n">
        <v>44867.82708333333</v>
      </c>
      <c r="C100" s="16">
        <f>B100+1</f>
        <v/>
      </c>
      <c r="D100" s="17">
        <f>(C100-NOW())*24</f>
        <v/>
      </c>
      <c r="E100" s="15">
        <f>IF(N100="","STEP 1: Send WhatsApp + Email blast now (Playbook M1)",IF(N100="Bad contact","STOP: report bad contact to lead (Playbook)",IF(O100="Scheduled","DONE: scheduled via Calendly",IF(O100="","STEP 2: Check Calendly now",IF(P100="","STEP 3: Send WhatsApp nudge (Playbook M2)",IF(Q100="Scheduled","DONE: scheduled via Calendly",IF(Q100="Escalate to call","HANDED to Shyam (call queue)","STEP 4: Final Calendly check")))))))</f>
        <v/>
      </c>
      <c r="F100" s="16">
        <f>IF(N100="",B100,IF(O100="",B100+2/24,IF(AND(O100="Not yet",P100=""),B100+2/24,IF(Q100="",B100+4/24,""))))</f>
        <v/>
      </c>
      <c r="G100" s="15" t="inlineStr">
        <is>
          <t>Chetan</t>
        </is>
      </c>
      <c r="H100" s="15" t="inlineStr">
        <is>
          <t>Google</t>
        </is>
      </c>
      <c r="I100" s="15" t="inlineStr">
        <is>
          <t>Round1</t>
        </is>
      </c>
      <c r="J100" s="18" t="inlineStr">
        <is>
          <t>+91 9920264452</t>
        </is>
      </c>
      <c r="K100" s="15" t="inlineStr">
        <is>
          <t>chetan@weekday.works</t>
        </is>
      </c>
      <c r="L100" s="15" t="inlineStr">
        <is>
          <t>&lt;calendly_link&gt;</t>
        </is>
      </c>
      <c r="M100" s="15" t="inlineStr">
        <is>
          <t>Yes</t>
        </is>
      </c>
      <c r="N100" s="15" t="n"/>
      <c r="O100" s="15" t="n"/>
      <c r="P100" s="15" t="n"/>
      <c r="Q100" s="15" t="n"/>
      <c r="R100" s="15">
        <f>IF(OR(O100="Scheduled",Q100="Scheduled"),"SCHEDULED",IF(Q100="Escalate to call","ESCALATED TO CALL",IF(N100="Bad contact","BAD CONTACT",IF(N100="","NOT STARTED","IN PROGRESS"))))</f>
        <v/>
      </c>
      <c r="S100" s="15" t="n"/>
    </row>
    <row r="101">
      <c r="A101" s="15" t="inlineStr">
        <is>
          <t>REQ-0100</t>
        </is>
      </c>
      <c r="B101" s="16" t="n">
        <v>44867.82708333333</v>
      </c>
      <c r="C101" s="16">
        <f>B101+1</f>
        <v/>
      </c>
      <c r="D101" s="17">
        <f>(C101-NOW())*24</f>
        <v/>
      </c>
      <c r="E101" s="15">
        <f>IF(N101="","STEP 1: Send WhatsApp + Email blast now (Playbook M1)",IF(N101="Bad contact","STOP: report bad contact to lead (Playbook)",IF(O101="Scheduled","DONE: scheduled via Calendly",IF(O101="","STEP 2: Check Calendly now",IF(P101="","STEP 3: Send WhatsApp nudge (Playbook M2)",IF(Q101="Scheduled","DONE: scheduled via Calendly",IF(Q101="Escalate to call","HANDED to Shyam (call queue)","STEP 4: Final Calendly check")))))))</f>
        <v/>
      </c>
      <c r="F101" s="16">
        <f>IF(N101="",B101,IF(O101="",B101+2/24,IF(AND(O101="Not yet",P101=""),B101+2/24,IF(Q101="",B101+4/24,""))))</f>
        <v/>
      </c>
      <c r="G101" s="15" t="inlineStr">
        <is>
          <t>Chetan</t>
        </is>
      </c>
      <c r="H101" s="15" t="inlineStr">
        <is>
          <t>Google</t>
        </is>
      </c>
      <c r="I101" s="15" t="inlineStr">
        <is>
          <t>Round1</t>
        </is>
      </c>
      <c r="J101" s="18" t="inlineStr">
        <is>
          <t>+91 9920264452</t>
        </is>
      </c>
      <c r="K101" s="15" t="inlineStr">
        <is>
          <t>chetan@weekday.works</t>
        </is>
      </c>
      <c r="L101" s="15" t="inlineStr">
        <is>
          <t>&lt;calendly_link&gt;</t>
        </is>
      </c>
      <c r="M101" s="15" t="inlineStr">
        <is>
          <t>Yes</t>
        </is>
      </c>
      <c r="N101" s="15" t="n"/>
      <c r="O101" s="15" t="n"/>
      <c r="P101" s="15" t="n"/>
      <c r="Q101" s="15" t="n"/>
      <c r="R101" s="15">
        <f>IF(OR(O101="Scheduled",Q101="Scheduled"),"SCHEDULED",IF(Q101="Escalate to call","ESCALATED TO CALL",IF(N101="Bad contact","BAD CONTACT",IF(N101="","NOT STARTED","IN PROGRESS"))))</f>
        <v/>
      </c>
      <c r="S101" s="15" t="n"/>
    </row>
    <row r="102">
      <c r="A102" s="15" t="inlineStr">
        <is>
          <t>REQ-0101</t>
        </is>
      </c>
      <c r="B102" s="16" t="n">
        <v>44867.82708333333</v>
      </c>
      <c r="C102" s="16">
        <f>B102+1</f>
        <v/>
      </c>
      <c r="D102" s="17">
        <f>(C102-NOW())*24</f>
        <v/>
      </c>
      <c r="E102" s="15">
        <f>IF(N102="","STEP 1: Send WhatsApp + Email blast now (Playbook M1)",IF(N102="Bad contact","STOP: report bad contact to lead (Playbook)",IF(O102="Scheduled","DONE: scheduled via Calendly",IF(O102="","STEP 2: Check Calendly now",IF(P102="","STEP 3: Send WhatsApp nudge (Playbook M2)",IF(Q102="Scheduled","DONE: scheduled via Calendly",IF(Q102="Escalate to call","HANDED to Shyam (call queue)","STEP 4: Final Calendly check")))))))</f>
        <v/>
      </c>
      <c r="F102" s="16">
        <f>IF(N102="",B102,IF(O102="",B102+2/24,IF(AND(O102="Not yet",P102=""),B102+2/24,IF(Q102="",B102+4/24,""))))</f>
        <v/>
      </c>
      <c r="G102" s="15" t="inlineStr">
        <is>
          <t>Chetan</t>
        </is>
      </c>
      <c r="H102" s="15" t="inlineStr">
        <is>
          <t>Google</t>
        </is>
      </c>
      <c r="I102" s="15" t="inlineStr">
        <is>
          <t>Round1</t>
        </is>
      </c>
      <c r="J102" s="18" t="inlineStr">
        <is>
          <t>+91 9920264452</t>
        </is>
      </c>
      <c r="K102" s="15" t="inlineStr">
        <is>
          <t>chetan@weekday.works</t>
        </is>
      </c>
      <c r="L102" s="15" t="inlineStr">
        <is>
          <t>&lt;calendly_link&gt;</t>
        </is>
      </c>
      <c r="M102" s="15" t="inlineStr">
        <is>
          <t>Yes</t>
        </is>
      </c>
      <c r="N102" s="15" t="n"/>
      <c r="O102" s="15" t="n"/>
      <c r="P102" s="15" t="n"/>
      <c r="Q102" s="15" t="n"/>
      <c r="R102" s="15">
        <f>IF(OR(O102="Scheduled",Q102="Scheduled"),"SCHEDULED",IF(Q102="Escalate to call","ESCALATED TO CALL",IF(N102="Bad contact","BAD CONTACT",IF(N102="","NOT STARTED","IN PROGRESS"))))</f>
        <v/>
      </c>
      <c r="S102" s="15" t="n"/>
    </row>
    <row r="103">
      <c r="A103" s="15" t="inlineStr">
        <is>
          <t>REQ-0102</t>
        </is>
      </c>
      <c r="B103" s="16" t="n">
        <v>44867.82708333333</v>
      </c>
      <c r="C103" s="16">
        <f>B103+1</f>
        <v/>
      </c>
      <c r="D103" s="17">
        <f>(C103-NOW())*24</f>
        <v/>
      </c>
      <c r="E103" s="15">
        <f>IF(N103="","STEP 1: Send WhatsApp + Email blast now (Playbook M1)",IF(N103="Bad contact","STOP: report bad contact to lead (Playbook)",IF(O103="Scheduled","DONE: scheduled via Calendly",IF(O103="","STEP 2: Check Calendly now",IF(P103="","STEP 3: Send WhatsApp nudge (Playbook M2)",IF(Q103="Scheduled","DONE: scheduled via Calendly",IF(Q103="Escalate to call","HANDED to Shyam (call queue)","STEP 4: Final Calendly check")))))))</f>
        <v/>
      </c>
      <c r="F103" s="16">
        <f>IF(N103="",B103,IF(O103="",B103+2/24,IF(AND(O103="Not yet",P103=""),B103+2/24,IF(Q103="",B103+4/24,""))))</f>
        <v/>
      </c>
      <c r="G103" s="15" t="inlineStr">
        <is>
          <t>Chetan</t>
        </is>
      </c>
      <c r="H103" s="15" t="inlineStr">
        <is>
          <t>Google</t>
        </is>
      </c>
      <c r="I103" s="15" t="inlineStr">
        <is>
          <t>Round1</t>
        </is>
      </c>
      <c r="J103" s="18" t="inlineStr">
        <is>
          <t>+91 9920264452</t>
        </is>
      </c>
      <c r="K103" s="15" t="inlineStr">
        <is>
          <t>chetan@weekday.works</t>
        </is>
      </c>
      <c r="L103" s="15" t="inlineStr">
        <is>
          <t>&lt;calendly_link&gt;</t>
        </is>
      </c>
      <c r="M103" s="15" t="inlineStr">
        <is>
          <t>Yes</t>
        </is>
      </c>
      <c r="N103" s="15" t="n"/>
      <c r="O103" s="15" t="n"/>
      <c r="P103" s="15" t="n"/>
      <c r="Q103" s="15" t="n"/>
      <c r="R103" s="15">
        <f>IF(OR(O103="Scheduled",Q103="Scheduled"),"SCHEDULED",IF(Q103="Escalate to call","ESCALATED TO CALL",IF(N103="Bad contact","BAD CONTACT",IF(N103="","NOT STARTED","IN PROGRESS"))))</f>
        <v/>
      </c>
      <c r="S103" s="15" t="n"/>
    </row>
    <row r="104">
      <c r="A104" s="15" t="inlineStr">
        <is>
          <t>REQ-0103</t>
        </is>
      </c>
      <c r="B104" s="16" t="n">
        <v>44867.82708333333</v>
      </c>
      <c r="C104" s="16">
        <f>B104+1</f>
        <v/>
      </c>
      <c r="D104" s="17">
        <f>(C104-NOW())*24</f>
        <v/>
      </c>
      <c r="E104" s="15">
        <f>IF(N104="","STEP 1: Send WhatsApp + Email blast now (Playbook M1)",IF(N104="Bad contact","STOP: report bad contact to lead (Playbook)",IF(O104="Scheduled","DONE: scheduled via Calendly",IF(O104="","STEP 2: Check Calendly now",IF(P104="","STEP 3: Send WhatsApp nudge (Playbook M2)",IF(Q104="Scheduled","DONE: scheduled via Calendly",IF(Q104="Escalate to call","HANDED to Shyam (call queue)","STEP 4: Final Calendly check")))))))</f>
        <v/>
      </c>
      <c r="F104" s="16">
        <f>IF(N104="",B104,IF(O104="",B104+2/24,IF(AND(O104="Not yet",P104=""),B104+2/24,IF(Q104="",B104+4/24,""))))</f>
        <v/>
      </c>
      <c r="G104" s="15" t="inlineStr">
        <is>
          <t>Chetan</t>
        </is>
      </c>
      <c r="H104" s="15" t="inlineStr">
        <is>
          <t>Google</t>
        </is>
      </c>
      <c r="I104" s="15" t="inlineStr">
        <is>
          <t>Round1</t>
        </is>
      </c>
      <c r="J104" s="18" t="inlineStr">
        <is>
          <t>+91 9920264452</t>
        </is>
      </c>
      <c r="K104" s="15" t="inlineStr">
        <is>
          <t>chetan@weekday.works</t>
        </is>
      </c>
      <c r="L104" s="15" t="inlineStr">
        <is>
          <t>&lt;calendly_link&gt;</t>
        </is>
      </c>
      <c r="M104" s="15" t="inlineStr">
        <is>
          <t>Yes</t>
        </is>
      </c>
      <c r="N104" s="15" t="n"/>
      <c r="O104" s="15" t="n"/>
      <c r="P104" s="15" t="n"/>
      <c r="Q104" s="15" t="n"/>
      <c r="R104" s="15">
        <f>IF(OR(O104="Scheduled",Q104="Scheduled"),"SCHEDULED",IF(Q104="Escalate to call","ESCALATED TO CALL",IF(N104="Bad contact","BAD CONTACT",IF(N104="","NOT STARTED","IN PROGRESS"))))</f>
        <v/>
      </c>
      <c r="S104" s="15" t="n"/>
    </row>
    <row r="105">
      <c r="A105" s="15" t="inlineStr">
        <is>
          <t>REQ-0104</t>
        </is>
      </c>
      <c r="B105" s="16" t="n">
        <v>44867.82708333333</v>
      </c>
      <c r="C105" s="16">
        <f>B105+1</f>
        <v/>
      </c>
      <c r="D105" s="17">
        <f>(C105-NOW())*24</f>
        <v/>
      </c>
      <c r="E105" s="15">
        <f>IF(N105="","STEP 1: Send WhatsApp + Email blast now (Playbook M1)",IF(N105="Bad contact","STOP: report bad contact to lead (Playbook)",IF(O105="Scheduled","DONE: scheduled via Calendly",IF(O105="","STEP 2: Check Calendly now",IF(P105="","STEP 3: Send WhatsApp nudge (Playbook M2)",IF(Q105="Scheduled","DONE: scheduled via Calendly",IF(Q105="Escalate to call","HANDED to Shyam (call queue)","STEP 4: Final Calendly check")))))))</f>
        <v/>
      </c>
      <c r="F105" s="16">
        <f>IF(N105="",B105,IF(O105="",B105+2/24,IF(AND(O105="Not yet",P105=""),B105+2/24,IF(Q105="",B105+4/24,""))))</f>
        <v/>
      </c>
      <c r="G105" s="15" t="inlineStr">
        <is>
          <t>Chetan</t>
        </is>
      </c>
      <c r="H105" s="15" t="inlineStr">
        <is>
          <t>Google</t>
        </is>
      </c>
      <c r="I105" s="15" t="inlineStr">
        <is>
          <t>Round1</t>
        </is>
      </c>
      <c r="J105" s="18" t="inlineStr">
        <is>
          <t>+91 9920264452</t>
        </is>
      </c>
      <c r="K105" s="15" t="inlineStr">
        <is>
          <t>chetan@weekday.works</t>
        </is>
      </c>
      <c r="L105" s="15" t="inlineStr">
        <is>
          <t>&lt;calendly_link&gt;</t>
        </is>
      </c>
      <c r="M105" s="15" t="inlineStr">
        <is>
          <t>Yes</t>
        </is>
      </c>
      <c r="N105" s="15" t="n"/>
      <c r="O105" s="15" t="n"/>
      <c r="P105" s="15" t="n"/>
      <c r="Q105" s="15" t="n"/>
      <c r="R105" s="15">
        <f>IF(OR(O105="Scheduled",Q105="Scheduled"),"SCHEDULED",IF(Q105="Escalate to call","ESCALATED TO CALL",IF(N105="Bad contact","BAD CONTACT",IF(N105="","NOT STARTED","IN PROGRESS"))))</f>
        <v/>
      </c>
      <c r="S105" s="15" t="n"/>
    </row>
    <row r="106">
      <c r="A106" s="15" t="inlineStr">
        <is>
          <t>REQ-0105</t>
        </is>
      </c>
      <c r="B106" s="16" t="n">
        <v>44867.82708333333</v>
      </c>
      <c r="C106" s="16">
        <f>B106+1</f>
        <v/>
      </c>
      <c r="D106" s="17">
        <f>(C106-NOW())*24</f>
        <v/>
      </c>
      <c r="E106" s="15">
        <f>IF(N106="","STEP 1: Send WhatsApp + Email blast now (Playbook M1)",IF(N106="Bad contact","STOP: report bad contact to lead (Playbook)",IF(O106="Scheduled","DONE: scheduled via Calendly",IF(O106="","STEP 2: Check Calendly now",IF(P106="","STEP 3: Send WhatsApp nudge (Playbook M2)",IF(Q106="Scheduled","DONE: scheduled via Calendly",IF(Q106="Escalate to call","HANDED to Shyam (call queue)","STEP 4: Final Calendly check")))))))</f>
        <v/>
      </c>
      <c r="F106" s="16">
        <f>IF(N106="",B106,IF(O106="",B106+2/24,IF(AND(O106="Not yet",P106=""),B106+2/24,IF(Q106="",B106+4/24,""))))</f>
        <v/>
      </c>
      <c r="G106" s="15" t="inlineStr">
        <is>
          <t>Chetan</t>
        </is>
      </c>
      <c r="H106" s="15" t="inlineStr">
        <is>
          <t>Google</t>
        </is>
      </c>
      <c r="I106" s="15" t="inlineStr">
        <is>
          <t>Round1</t>
        </is>
      </c>
      <c r="J106" s="18" t="inlineStr">
        <is>
          <t>+91 9920264452</t>
        </is>
      </c>
      <c r="K106" s="15" t="inlineStr">
        <is>
          <t>chetan@weekday.works</t>
        </is>
      </c>
      <c r="L106" s="15" t="inlineStr">
        <is>
          <t>&lt;calendly_link&gt;</t>
        </is>
      </c>
      <c r="M106" s="15" t="inlineStr">
        <is>
          <t>Yes</t>
        </is>
      </c>
      <c r="N106" s="15" t="n"/>
      <c r="O106" s="15" t="n"/>
      <c r="P106" s="15" t="n"/>
      <c r="Q106" s="15" t="n"/>
      <c r="R106" s="15">
        <f>IF(OR(O106="Scheduled",Q106="Scheduled"),"SCHEDULED",IF(Q106="Escalate to call","ESCALATED TO CALL",IF(N106="Bad contact","BAD CONTACT",IF(N106="","NOT STARTED","IN PROGRESS"))))</f>
        <v/>
      </c>
      <c r="S106" s="15" t="n"/>
    </row>
    <row r="107">
      <c r="A107" s="15" t="inlineStr">
        <is>
          <t>REQ-0106</t>
        </is>
      </c>
      <c r="B107" s="16" t="n">
        <v>44867.82708333333</v>
      </c>
      <c r="C107" s="16">
        <f>B107+1</f>
        <v/>
      </c>
      <c r="D107" s="17">
        <f>(C107-NOW())*24</f>
        <v/>
      </c>
      <c r="E107" s="15">
        <f>IF(N107="","STEP 1: Send WhatsApp + Email blast now (Playbook M1)",IF(N107="Bad contact","STOP: report bad contact to lead (Playbook)",IF(O107="Scheduled","DONE: scheduled via Calendly",IF(O107="","STEP 2: Check Calendly now",IF(P107="","STEP 3: Send WhatsApp nudge (Playbook M2)",IF(Q107="Scheduled","DONE: scheduled via Calendly",IF(Q107="Escalate to call","HANDED to Shyam (call queue)","STEP 4: Final Calendly check")))))))</f>
        <v/>
      </c>
      <c r="F107" s="16">
        <f>IF(N107="",B107,IF(O107="",B107+2/24,IF(AND(O107="Not yet",P107=""),B107+2/24,IF(Q107="",B107+4/24,""))))</f>
        <v/>
      </c>
      <c r="G107" s="15" t="inlineStr">
        <is>
          <t>Chetan</t>
        </is>
      </c>
      <c r="H107" s="15" t="inlineStr">
        <is>
          <t>Google</t>
        </is>
      </c>
      <c r="I107" s="15" t="inlineStr">
        <is>
          <t>Round1</t>
        </is>
      </c>
      <c r="J107" s="18" t="inlineStr">
        <is>
          <t>+91 9920264452</t>
        </is>
      </c>
      <c r="K107" s="15" t="inlineStr">
        <is>
          <t>chetan@weekday.works</t>
        </is>
      </c>
      <c r="L107" s="15" t="inlineStr">
        <is>
          <t>&lt;calendly_link&gt;</t>
        </is>
      </c>
      <c r="M107" s="15" t="inlineStr">
        <is>
          <t>Yes</t>
        </is>
      </c>
      <c r="N107" s="15" t="n"/>
      <c r="O107" s="15" t="n"/>
      <c r="P107" s="15" t="n"/>
      <c r="Q107" s="15" t="n"/>
      <c r="R107" s="15">
        <f>IF(OR(O107="Scheduled",Q107="Scheduled"),"SCHEDULED",IF(Q107="Escalate to call","ESCALATED TO CALL",IF(N107="Bad contact","BAD CONTACT",IF(N107="","NOT STARTED","IN PROGRESS"))))</f>
        <v/>
      </c>
      <c r="S107" s="15" t="n"/>
    </row>
    <row r="108">
      <c r="A108" s="15" t="inlineStr">
        <is>
          <t>REQ-0107</t>
        </is>
      </c>
      <c r="B108" s="16" t="n">
        <v>44867.82708333333</v>
      </c>
      <c r="C108" s="16">
        <f>B108+1</f>
        <v/>
      </c>
      <c r="D108" s="17">
        <f>(C108-NOW())*24</f>
        <v/>
      </c>
      <c r="E108" s="15">
        <f>IF(N108="","STEP 1: Send WhatsApp + Email blast now (Playbook M1)",IF(N108="Bad contact","STOP: report bad contact to lead (Playbook)",IF(O108="Scheduled","DONE: scheduled via Calendly",IF(O108="","STEP 2: Check Calendly now",IF(P108="","STEP 3: Send WhatsApp nudge (Playbook M2)",IF(Q108="Scheduled","DONE: scheduled via Calendly",IF(Q108="Escalate to call","HANDED to Shyam (call queue)","STEP 4: Final Calendly check")))))))</f>
        <v/>
      </c>
      <c r="F108" s="16">
        <f>IF(N108="",B108,IF(O108="",B108+2/24,IF(AND(O108="Not yet",P108=""),B108+2/24,IF(Q108="",B108+4/24,""))))</f>
        <v/>
      </c>
      <c r="G108" s="15" t="inlineStr">
        <is>
          <t>Chetan</t>
        </is>
      </c>
      <c r="H108" s="15" t="inlineStr">
        <is>
          <t>Google</t>
        </is>
      </c>
      <c r="I108" s="15" t="inlineStr">
        <is>
          <t>Round1</t>
        </is>
      </c>
      <c r="J108" s="18" t="inlineStr">
        <is>
          <t>+91 9920264452</t>
        </is>
      </c>
      <c r="K108" s="15" t="inlineStr">
        <is>
          <t>chetan@weekday.works</t>
        </is>
      </c>
      <c r="L108" s="15" t="inlineStr">
        <is>
          <t>&lt;calendly_link&gt;</t>
        </is>
      </c>
      <c r="M108" s="15" t="inlineStr">
        <is>
          <t>Yes</t>
        </is>
      </c>
      <c r="N108" s="15" t="n"/>
      <c r="O108" s="15" t="n"/>
      <c r="P108" s="15" t="n"/>
      <c r="Q108" s="15" t="n"/>
      <c r="R108" s="15">
        <f>IF(OR(O108="Scheduled",Q108="Scheduled"),"SCHEDULED",IF(Q108="Escalate to call","ESCALATED TO CALL",IF(N108="Bad contact","BAD CONTACT",IF(N108="","NOT STARTED","IN PROGRESS"))))</f>
        <v/>
      </c>
      <c r="S108" s="15" t="n"/>
    </row>
    <row r="109">
      <c r="A109" s="15" t="inlineStr">
        <is>
          <t>REQ-0108</t>
        </is>
      </c>
      <c r="B109" s="16" t="n">
        <v>44867.82708333333</v>
      </c>
      <c r="C109" s="16">
        <f>B109+1</f>
        <v/>
      </c>
      <c r="D109" s="17">
        <f>(C109-NOW())*24</f>
        <v/>
      </c>
      <c r="E109" s="15">
        <f>IF(N109="","STEP 1: Send WhatsApp + Email blast now (Playbook M1)",IF(N109="Bad contact","STOP: report bad contact to lead (Playbook)",IF(O109="Scheduled","DONE: scheduled via Calendly",IF(O109="","STEP 2: Check Calendly now",IF(P109="","STEP 3: Send WhatsApp nudge (Playbook M2)",IF(Q109="Scheduled","DONE: scheduled via Calendly",IF(Q109="Escalate to call","HANDED to Shyam (call queue)","STEP 4: Final Calendly check")))))))</f>
        <v/>
      </c>
      <c r="F109" s="16">
        <f>IF(N109="",B109,IF(O109="",B109+2/24,IF(AND(O109="Not yet",P109=""),B109+2/24,IF(Q109="",B109+4/24,""))))</f>
        <v/>
      </c>
      <c r="G109" s="15" t="inlineStr">
        <is>
          <t>Chetan</t>
        </is>
      </c>
      <c r="H109" s="15" t="inlineStr">
        <is>
          <t>Google</t>
        </is>
      </c>
      <c r="I109" s="15" t="inlineStr">
        <is>
          <t>Round1</t>
        </is>
      </c>
      <c r="J109" s="18" t="inlineStr">
        <is>
          <t>+91 9920264452</t>
        </is>
      </c>
      <c r="K109" s="15" t="inlineStr">
        <is>
          <t>chetan@weekday.works</t>
        </is>
      </c>
      <c r="L109" s="15" t="inlineStr">
        <is>
          <t>&lt;calendly_link&gt;</t>
        </is>
      </c>
      <c r="M109" s="15" t="inlineStr">
        <is>
          <t>Yes</t>
        </is>
      </c>
      <c r="N109" s="15" t="n"/>
      <c r="O109" s="15" t="n"/>
      <c r="P109" s="15" t="n"/>
      <c r="Q109" s="15" t="n"/>
      <c r="R109" s="15">
        <f>IF(OR(O109="Scheduled",Q109="Scheduled"),"SCHEDULED",IF(Q109="Escalate to call","ESCALATED TO CALL",IF(N109="Bad contact","BAD CONTACT",IF(N109="","NOT STARTED","IN PROGRESS"))))</f>
        <v/>
      </c>
      <c r="S109" s="15" t="n"/>
    </row>
    <row r="110">
      <c r="A110" s="15" t="inlineStr">
        <is>
          <t>REQ-0109</t>
        </is>
      </c>
      <c r="B110" s="16" t="n">
        <v>44867.82708333333</v>
      </c>
      <c r="C110" s="16">
        <f>B110+1</f>
        <v/>
      </c>
      <c r="D110" s="17">
        <f>(C110-NOW())*24</f>
        <v/>
      </c>
      <c r="E110" s="15">
        <f>IF(N110="","STEP 1: Send WhatsApp + Email blast now (Playbook M1)",IF(N110="Bad contact","STOP: report bad contact to lead (Playbook)",IF(O110="Scheduled","DONE: scheduled via Calendly",IF(O110="","STEP 2: Check Calendly now",IF(P110="","STEP 3: Send WhatsApp nudge (Playbook M2)",IF(Q110="Scheduled","DONE: scheduled via Calendly",IF(Q110="Escalate to call","HANDED to Shyam (call queue)","STEP 4: Final Calendly check")))))))</f>
        <v/>
      </c>
      <c r="F110" s="16">
        <f>IF(N110="",B110,IF(O110="",B110+2/24,IF(AND(O110="Not yet",P110=""),B110+2/24,IF(Q110="",B110+4/24,""))))</f>
        <v/>
      </c>
      <c r="G110" s="15" t="inlineStr">
        <is>
          <t>Chetan</t>
        </is>
      </c>
      <c r="H110" s="15" t="inlineStr">
        <is>
          <t>Google</t>
        </is>
      </c>
      <c r="I110" s="15" t="inlineStr">
        <is>
          <t>Round1</t>
        </is>
      </c>
      <c r="J110" s="18" t="inlineStr">
        <is>
          <t>+91 9920264452</t>
        </is>
      </c>
      <c r="K110" s="15" t="inlineStr">
        <is>
          <t>chetan@weekday.works</t>
        </is>
      </c>
      <c r="L110" s="15" t="inlineStr">
        <is>
          <t>&lt;calendly_link&gt;</t>
        </is>
      </c>
      <c r="M110" s="15" t="inlineStr">
        <is>
          <t>Yes</t>
        </is>
      </c>
      <c r="N110" s="15" t="n"/>
      <c r="O110" s="15" t="n"/>
      <c r="P110" s="15" t="n"/>
      <c r="Q110" s="15" t="n"/>
      <c r="R110" s="15">
        <f>IF(OR(O110="Scheduled",Q110="Scheduled"),"SCHEDULED",IF(Q110="Escalate to call","ESCALATED TO CALL",IF(N110="Bad contact","BAD CONTACT",IF(N110="","NOT STARTED","IN PROGRESS"))))</f>
        <v/>
      </c>
      <c r="S110" s="15" t="n"/>
    </row>
    <row r="111">
      <c r="A111" s="15" t="inlineStr">
        <is>
          <t>REQ-0110</t>
        </is>
      </c>
      <c r="B111" s="16" t="n">
        <v>44867.82708333333</v>
      </c>
      <c r="C111" s="16">
        <f>B111+1</f>
        <v/>
      </c>
      <c r="D111" s="17">
        <f>(C111-NOW())*24</f>
        <v/>
      </c>
      <c r="E111" s="15">
        <f>IF(N111="","STEP 1: Send WhatsApp + Email blast now (Playbook M1)",IF(N111="Bad contact","STOP: report bad contact to lead (Playbook)",IF(O111="Scheduled","DONE: scheduled via Calendly",IF(O111="","STEP 2: Check Calendly now",IF(P111="","STEP 3: Send WhatsApp nudge (Playbook M2)",IF(Q111="Scheduled","DONE: scheduled via Calendly",IF(Q111="Escalate to call","HANDED to Shyam (call queue)","STEP 4: Final Calendly check")))))))</f>
        <v/>
      </c>
      <c r="F111" s="16">
        <f>IF(N111="",B111,IF(O111="",B111+2/24,IF(AND(O111="Not yet",P111=""),B111+2/24,IF(Q111="",B111+4/24,""))))</f>
        <v/>
      </c>
      <c r="G111" s="15" t="inlineStr">
        <is>
          <t>Chetan</t>
        </is>
      </c>
      <c r="H111" s="15" t="inlineStr">
        <is>
          <t>Google</t>
        </is>
      </c>
      <c r="I111" s="15" t="inlineStr">
        <is>
          <t>Round1</t>
        </is>
      </c>
      <c r="J111" s="18" t="inlineStr">
        <is>
          <t>+91 9920264452</t>
        </is>
      </c>
      <c r="K111" s="15" t="inlineStr">
        <is>
          <t>chetan@weekday.works</t>
        </is>
      </c>
      <c r="L111" s="15" t="inlineStr">
        <is>
          <t>&lt;calendly_link&gt;</t>
        </is>
      </c>
      <c r="M111" s="15" t="inlineStr">
        <is>
          <t>Yes</t>
        </is>
      </c>
      <c r="N111" s="15" t="n"/>
      <c r="O111" s="15" t="n"/>
      <c r="P111" s="15" t="n"/>
      <c r="Q111" s="15" t="n"/>
      <c r="R111" s="15">
        <f>IF(OR(O111="Scheduled",Q111="Scheduled"),"SCHEDULED",IF(Q111="Escalate to call","ESCALATED TO CALL",IF(N111="Bad contact","BAD CONTACT",IF(N111="","NOT STARTED","IN PROGRESS"))))</f>
        <v/>
      </c>
      <c r="S111" s="15" t="n"/>
    </row>
    <row r="112">
      <c r="A112" s="15" t="inlineStr">
        <is>
          <t>REQ-0111</t>
        </is>
      </c>
      <c r="B112" s="16" t="n">
        <v>44867.82708333333</v>
      </c>
      <c r="C112" s="16">
        <f>B112+1</f>
        <v/>
      </c>
      <c r="D112" s="17">
        <f>(C112-NOW())*24</f>
        <v/>
      </c>
      <c r="E112" s="15">
        <f>IF(N112="","STEP 1: Send WhatsApp + Email blast now (Playbook M1)",IF(N112="Bad contact","STOP: report bad contact to lead (Playbook)",IF(O112="Scheduled","DONE: scheduled via Calendly",IF(O112="","STEP 2: Check Calendly now",IF(P112="","STEP 3: Send WhatsApp nudge (Playbook M2)",IF(Q112="Scheduled","DONE: scheduled via Calendly",IF(Q112="Escalate to call","HANDED to Shyam (call queue)","STEP 4: Final Calendly check")))))))</f>
        <v/>
      </c>
      <c r="F112" s="16">
        <f>IF(N112="",B112,IF(O112="",B112+2/24,IF(AND(O112="Not yet",P112=""),B112+2/24,IF(Q112="",B112+4/24,""))))</f>
        <v/>
      </c>
      <c r="G112" s="15" t="inlineStr">
        <is>
          <t>Chetan</t>
        </is>
      </c>
      <c r="H112" s="15" t="inlineStr">
        <is>
          <t>Google</t>
        </is>
      </c>
      <c r="I112" s="15" t="inlineStr">
        <is>
          <t>Round1</t>
        </is>
      </c>
      <c r="J112" s="18" t="inlineStr">
        <is>
          <t>+91 9920264452</t>
        </is>
      </c>
      <c r="K112" s="15" t="inlineStr">
        <is>
          <t>chetan@weekday.works</t>
        </is>
      </c>
      <c r="L112" s="15" t="inlineStr">
        <is>
          <t>&lt;calendly_link&gt;</t>
        </is>
      </c>
      <c r="M112" s="15" t="inlineStr">
        <is>
          <t>Yes</t>
        </is>
      </c>
      <c r="N112" s="15" t="n"/>
      <c r="O112" s="15" t="n"/>
      <c r="P112" s="15" t="n"/>
      <c r="Q112" s="15" t="n"/>
      <c r="R112" s="15">
        <f>IF(OR(O112="Scheduled",Q112="Scheduled"),"SCHEDULED",IF(Q112="Escalate to call","ESCALATED TO CALL",IF(N112="Bad contact","BAD CONTACT",IF(N112="","NOT STARTED","IN PROGRESS"))))</f>
        <v/>
      </c>
      <c r="S112" s="15" t="n"/>
    </row>
    <row r="113">
      <c r="A113" s="15" t="inlineStr">
        <is>
          <t>REQ-0112</t>
        </is>
      </c>
      <c r="B113" s="16" t="n">
        <v>44867.82708333333</v>
      </c>
      <c r="C113" s="16">
        <f>B113+1</f>
        <v/>
      </c>
      <c r="D113" s="17">
        <f>(C113-NOW())*24</f>
        <v/>
      </c>
      <c r="E113" s="15">
        <f>IF(N113="","STEP 1: Send WhatsApp + Email blast now (Playbook M1)",IF(N113="Bad contact","STOP: report bad contact to lead (Playbook)",IF(O113="Scheduled","DONE: scheduled via Calendly",IF(O113="","STEP 2: Check Calendly now",IF(P113="","STEP 3: Send WhatsApp nudge (Playbook M2)",IF(Q113="Scheduled","DONE: scheduled via Calendly",IF(Q113="Escalate to call","HANDED to Shyam (call queue)","STEP 4: Final Calendly check")))))))</f>
        <v/>
      </c>
      <c r="F113" s="16">
        <f>IF(N113="",B113,IF(O113="",B113+2/24,IF(AND(O113="Not yet",P113=""),B113+2/24,IF(Q113="",B113+4/24,""))))</f>
        <v/>
      </c>
      <c r="G113" s="15" t="inlineStr">
        <is>
          <t>Chetan</t>
        </is>
      </c>
      <c r="H113" s="15" t="inlineStr">
        <is>
          <t>Google</t>
        </is>
      </c>
      <c r="I113" s="15" t="inlineStr">
        <is>
          <t>Round1</t>
        </is>
      </c>
      <c r="J113" s="18" t="inlineStr">
        <is>
          <t>+91 9920264452</t>
        </is>
      </c>
      <c r="K113" s="15" t="inlineStr">
        <is>
          <t>chetan@weekday.works</t>
        </is>
      </c>
      <c r="L113" s="15" t="inlineStr">
        <is>
          <t>&lt;calendly_link&gt;</t>
        </is>
      </c>
      <c r="M113" s="15" t="inlineStr">
        <is>
          <t>Yes</t>
        </is>
      </c>
      <c r="N113" s="15" t="n"/>
      <c r="O113" s="15" t="n"/>
      <c r="P113" s="15" t="n"/>
      <c r="Q113" s="15" t="n"/>
      <c r="R113" s="15">
        <f>IF(OR(O113="Scheduled",Q113="Scheduled"),"SCHEDULED",IF(Q113="Escalate to call","ESCALATED TO CALL",IF(N113="Bad contact","BAD CONTACT",IF(N113="","NOT STARTED","IN PROGRESS"))))</f>
        <v/>
      </c>
      <c r="S113" s="15" t="n"/>
    </row>
    <row r="114">
      <c r="A114" s="15" t="inlineStr">
        <is>
          <t>REQ-0113</t>
        </is>
      </c>
      <c r="B114" s="16" t="n">
        <v>44867.82708333333</v>
      </c>
      <c r="C114" s="16">
        <f>B114+1</f>
        <v/>
      </c>
      <c r="D114" s="17">
        <f>(C114-NOW())*24</f>
        <v/>
      </c>
      <c r="E114" s="15">
        <f>IF(N114="","STEP 1: Send WhatsApp + Email blast now (Playbook M1)",IF(N114="Bad contact","STOP: report bad contact to lead (Playbook)",IF(O114="Scheduled","DONE: scheduled via Calendly",IF(O114="","STEP 2: Check Calendly now",IF(P114="","STEP 3: Send WhatsApp nudge (Playbook M2)",IF(Q114="Scheduled","DONE: scheduled via Calendly",IF(Q114="Escalate to call","HANDED to Shyam (call queue)","STEP 4: Final Calendly check")))))))</f>
        <v/>
      </c>
      <c r="F114" s="16">
        <f>IF(N114="",B114,IF(O114="",B114+2/24,IF(AND(O114="Not yet",P114=""),B114+2/24,IF(Q114="",B114+4/24,""))))</f>
        <v/>
      </c>
      <c r="G114" s="15" t="inlineStr">
        <is>
          <t>Chetan</t>
        </is>
      </c>
      <c r="H114" s="15" t="inlineStr">
        <is>
          <t>Google</t>
        </is>
      </c>
      <c r="I114" s="15" t="inlineStr">
        <is>
          <t>Round1</t>
        </is>
      </c>
      <c r="J114" s="18" t="inlineStr">
        <is>
          <t>+91 9920264452</t>
        </is>
      </c>
      <c r="K114" s="15" t="inlineStr">
        <is>
          <t>chetan@weekday.works</t>
        </is>
      </c>
      <c r="L114" s="15" t="inlineStr">
        <is>
          <t>&lt;calendly_link&gt;</t>
        </is>
      </c>
      <c r="M114" s="15" t="inlineStr">
        <is>
          <t>Yes</t>
        </is>
      </c>
      <c r="N114" s="15" t="n"/>
      <c r="O114" s="15" t="n"/>
      <c r="P114" s="15" t="n"/>
      <c r="Q114" s="15" t="n"/>
      <c r="R114" s="15">
        <f>IF(OR(O114="Scheduled",Q114="Scheduled"),"SCHEDULED",IF(Q114="Escalate to call","ESCALATED TO CALL",IF(N114="Bad contact","BAD CONTACT",IF(N114="","NOT STARTED","IN PROGRESS"))))</f>
        <v/>
      </c>
      <c r="S114" s="15" t="n"/>
    </row>
    <row r="115">
      <c r="A115" s="15" t="inlineStr">
        <is>
          <t>REQ-0114</t>
        </is>
      </c>
      <c r="B115" s="16" t="n">
        <v>44867.82708333333</v>
      </c>
      <c r="C115" s="16">
        <f>B115+1</f>
        <v/>
      </c>
      <c r="D115" s="17">
        <f>(C115-NOW())*24</f>
        <v/>
      </c>
      <c r="E115" s="15">
        <f>IF(N115="","STEP 1: Send WhatsApp + Email blast now (Playbook M1)",IF(N115="Bad contact","STOP: report bad contact to lead (Playbook)",IF(O115="Scheduled","DONE: scheduled via Calendly",IF(O115="","STEP 2: Check Calendly now",IF(P115="","STEP 3: Send WhatsApp nudge (Playbook M2)",IF(Q115="Scheduled","DONE: scheduled via Calendly",IF(Q115="Escalate to call","HANDED to Shyam (call queue)","STEP 4: Final Calendly check")))))))</f>
        <v/>
      </c>
      <c r="F115" s="16">
        <f>IF(N115="",B115,IF(O115="",B115+2/24,IF(AND(O115="Not yet",P115=""),B115+2/24,IF(Q115="",B115+4/24,""))))</f>
        <v/>
      </c>
      <c r="G115" s="15" t="inlineStr">
        <is>
          <t>Chetan</t>
        </is>
      </c>
      <c r="H115" s="15" t="inlineStr">
        <is>
          <t>Google</t>
        </is>
      </c>
      <c r="I115" s="15" t="inlineStr">
        <is>
          <t>Round1</t>
        </is>
      </c>
      <c r="J115" s="18" t="inlineStr">
        <is>
          <t>+91 9920264452</t>
        </is>
      </c>
      <c r="K115" s="15" t="inlineStr">
        <is>
          <t>chetan@weekday.works</t>
        </is>
      </c>
      <c r="L115" s="15" t="inlineStr">
        <is>
          <t>&lt;calendly_link&gt;</t>
        </is>
      </c>
      <c r="M115" s="15" t="inlineStr">
        <is>
          <t>Yes</t>
        </is>
      </c>
      <c r="N115" s="15" t="n"/>
      <c r="O115" s="15" t="n"/>
      <c r="P115" s="15" t="n"/>
      <c r="Q115" s="15" t="n"/>
      <c r="R115" s="15">
        <f>IF(OR(O115="Scheduled",Q115="Scheduled"),"SCHEDULED",IF(Q115="Escalate to call","ESCALATED TO CALL",IF(N115="Bad contact","BAD CONTACT",IF(N115="","NOT STARTED","IN PROGRESS"))))</f>
        <v/>
      </c>
      <c r="S115" s="15" t="n"/>
    </row>
    <row r="116">
      <c r="A116" s="15" t="inlineStr">
        <is>
          <t>REQ-0115</t>
        </is>
      </c>
      <c r="B116" s="16" t="n">
        <v>44867.82708333333</v>
      </c>
      <c r="C116" s="16">
        <f>B116+1</f>
        <v/>
      </c>
      <c r="D116" s="17">
        <f>(C116-NOW())*24</f>
        <v/>
      </c>
      <c r="E116" s="15">
        <f>IF(N116="","STEP 1: Send WhatsApp + Email blast now (Playbook M1)",IF(N116="Bad contact","STOP: report bad contact to lead (Playbook)",IF(O116="Scheduled","DONE: scheduled via Calendly",IF(O116="","STEP 2: Check Calendly now",IF(P116="","STEP 3: Send WhatsApp nudge (Playbook M2)",IF(Q116="Scheduled","DONE: scheduled via Calendly",IF(Q116="Escalate to call","HANDED to Shyam (call queue)","STEP 4: Final Calendly check")))))))</f>
        <v/>
      </c>
      <c r="F116" s="16">
        <f>IF(N116="",B116,IF(O116="",B116+2/24,IF(AND(O116="Not yet",P116=""),B116+2/24,IF(Q116="",B116+4/24,""))))</f>
        <v/>
      </c>
      <c r="G116" s="15" t="inlineStr">
        <is>
          <t>Chetan</t>
        </is>
      </c>
      <c r="H116" s="15" t="inlineStr">
        <is>
          <t>Google</t>
        </is>
      </c>
      <c r="I116" s="15" t="inlineStr">
        <is>
          <t>Round1</t>
        </is>
      </c>
      <c r="J116" s="18" t="inlineStr">
        <is>
          <t>+91 9920264452</t>
        </is>
      </c>
      <c r="K116" s="15" t="inlineStr">
        <is>
          <t>chetan@weekday.works</t>
        </is>
      </c>
      <c r="L116" s="15" t="inlineStr">
        <is>
          <t>&lt;calendly_link&gt;</t>
        </is>
      </c>
      <c r="M116" s="15" t="inlineStr">
        <is>
          <t>Yes</t>
        </is>
      </c>
      <c r="N116" s="15" t="n"/>
      <c r="O116" s="15" t="n"/>
      <c r="P116" s="15" t="n"/>
      <c r="Q116" s="15" t="n"/>
      <c r="R116" s="15">
        <f>IF(OR(O116="Scheduled",Q116="Scheduled"),"SCHEDULED",IF(Q116="Escalate to call","ESCALATED TO CALL",IF(N116="Bad contact","BAD CONTACT",IF(N116="","NOT STARTED","IN PROGRESS"))))</f>
        <v/>
      </c>
      <c r="S116" s="15" t="n"/>
    </row>
    <row r="117">
      <c r="A117" s="15" t="inlineStr">
        <is>
          <t>REQ-0116</t>
        </is>
      </c>
      <c r="B117" s="16" t="n">
        <v>44867.82708333333</v>
      </c>
      <c r="C117" s="16">
        <f>B117+1</f>
        <v/>
      </c>
      <c r="D117" s="17">
        <f>(C117-NOW())*24</f>
        <v/>
      </c>
      <c r="E117" s="15">
        <f>IF(N117="","STEP 1: Send WhatsApp + Email blast now (Playbook M1)",IF(N117="Bad contact","STOP: report bad contact to lead (Playbook)",IF(O117="Scheduled","DONE: scheduled via Calendly",IF(O117="","STEP 2: Check Calendly now",IF(P117="","STEP 3: Send WhatsApp nudge (Playbook M2)",IF(Q117="Scheduled","DONE: scheduled via Calendly",IF(Q117="Escalate to call","HANDED to Shyam (call queue)","STEP 4: Final Calendly check")))))))</f>
        <v/>
      </c>
      <c r="F117" s="16">
        <f>IF(N117="",B117,IF(O117="",B117+2/24,IF(AND(O117="Not yet",P117=""),B117+2/24,IF(Q117="",B117+4/24,""))))</f>
        <v/>
      </c>
      <c r="G117" s="15" t="inlineStr">
        <is>
          <t>Chetan</t>
        </is>
      </c>
      <c r="H117" s="15" t="inlineStr">
        <is>
          <t>Google</t>
        </is>
      </c>
      <c r="I117" s="15" t="inlineStr">
        <is>
          <t>Round1</t>
        </is>
      </c>
      <c r="J117" s="18" t="inlineStr">
        <is>
          <t>+91 9920264452</t>
        </is>
      </c>
      <c r="K117" s="15" t="inlineStr">
        <is>
          <t>chetan@weekday.works</t>
        </is>
      </c>
      <c r="L117" s="15" t="inlineStr">
        <is>
          <t>&lt;calendly_link&gt;</t>
        </is>
      </c>
      <c r="M117" s="15" t="inlineStr">
        <is>
          <t>Yes</t>
        </is>
      </c>
      <c r="N117" s="15" t="n"/>
      <c r="O117" s="15" t="n"/>
      <c r="P117" s="15" t="n"/>
      <c r="Q117" s="15" t="n"/>
      <c r="R117" s="15">
        <f>IF(OR(O117="Scheduled",Q117="Scheduled"),"SCHEDULED",IF(Q117="Escalate to call","ESCALATED TO CALL",IF(N117="Bad contact","BAD CONTACT",IF(N117="","NOT STARTED","IN PROGRESS"))))</f>
        <v/>
      </c>
      <c r="S117" s="15" t="n"/>
    </row>
    <row r="118">
      <c r="A118" s="15" t="inlineStr">
        <is>
          <t>REQ-0117</t>
        </is>
      </c>
      <c r="B118" s="16" t="n">
        <v>44867.82708333333</v>
      </c>
      <c r="C118" s="16">
        <f>B118+1</f>
        <v/>
      </c>
      <c r="D118" s="17">
        <f>(C118-NOW())*24</f>
        <v/>
      </c>
      <c r="E118" s="15">
        <f>IF(N118="","STEP 1: Send WhatsApp + Email blast now (Playbook M1)",IF(N118="Bad contact","STOP: report bad contact to lead (Playbook)",IF(O118="Scheduled","DONE: scheduled via Calendly",IF(O118="","STEP 2: Check Calendly now",IF(P118="","STEP 3: Send WhatsApp nudge (Playbook M2)",IF(Q118="Scheduled","DONE: scheduled via Calendly",IF(Q118="Escalate to call","HANDED to Shyam (call queue)","STEP 4: Final Calendly check")))))))</f>
        <v/>
      </c>
      <c r="F118" s="16">
        <f>IF(N118="",B118,IF(O118="",B118+2/24,IF(AND(O118="Not yet",P118=""),B118+2/24,IF(Q118="",B118+4/24,""))))</f>
        <v/>
      </c>
      <c r="G118" s="15" t="inlineStr">
        <is>
          <t>Chetan</t>
        </is>
      </c>
      <c r="H118" s="15" t="inlineStr">
        <is>
          <t>Google</t>
        </is>
      </c>
      <c r="I118" s="15" t="inlineStr">
        <is>
          <t>Round1</t>
        </is>
      </c>
      <c r="J118" s="18" t="inlineStr">
        <is>
          <t>+91 9920264452</t>
        </is>
      </c>
      <c r="K118" s="15" t="inlineStr">
        <is>
          <t>chetan@weekday.works</t>
        </is>
      </c>
      <c r="L118" s="15" t="inlineStr">
        <is>
          <t>&lt;calendly_link&gt;</t>
        </is>
      </c>
      <c r="M118" s="15" t="inlineStr">
        <is>
          <t>Yes</t>
        </is>
      </c>
      <c r="N118" s="15" t="n"/>
      <c r="O118" s="15" t="n"/>
      <c r="P118" s="15" t="n"/>
      <c r="Q118" s="15" t="n"/>
      <c r="R118" s="15">
        <f>IF(OR(O118="Scheduled",Q118="Scheduled"),"SCHEDULED",IF(Q118="Escalate to call","ESCALATED TO CALL",IF(N118="Bad contact","BAD CONTACT",IF(N118="","NOT STARTED","IN PROGRESS"))))</f>
        <v/>
      </c>
      <c r="S118" s="15" t="n"/>
    </row>
    <row r="119">
      <c r="A119" s="15" t="inlineStr">
        <is>
          <t>REQ-0118</t>
        </is>
      </c>
      <c r="B119" s="16" t="n">
        <v>44867.82708333333</v>
      </c>
      <c r="C119" s="16">
        <f>B119+1</f>
        <v/>
      </c>
      <c r="D119" s="17">
        <f>(C119-NOW())*24</f>
        <v/>
      </c>
      <c r="E119" s="15">
        <f>IF(N119="","STEP 1: Send WhatsApp + Email blast now (Playbook M1)",IF(N119="Bad contact","STOP: report bad contact to lead (Playbook)",IF(O119="Scheduled","DONE: scheduled via Calendly",IF(O119="","STEP 2: Check Calendly now",IF(P119="","STEP 3: Send WhatsApp nudge (Playbook M2)",IF(Q119="Scheduled","DONE: scheduled via Calendly",IF(Q119="Escalate to call","HANDED to Shyam (call queue)","STEP 4: Final Calendly check")))))))</f>
        <v/>
      </c>
      <c r="F119" s="16">
        <f>IF(N119="",B119,IF(O119="",B119+2/24,IF(AND(O119="Not yet",P119=""),B119+2/24,IF(Q119="",B119+4/24,""))))</f>
        <v/>
      </c>
      <c r="G119" s="15" t="inlineStr">
        <is>
          <t>Chetan</t>
        </is>
      </c>
      <c r="H119" s="15" t="inlineStr">
        <is>
          <t>Google</t>
        </is>
      </c>
      <c r="I119" s="15" t="inlineStr">
        <is>
          <t>Round1</t>
        </is>
      </c>
      <c r="J119" s="18" t="inlineStr">
        <is>
          <t>+91 9920264452</t>
        </is>
      </c>
      <c r="K119" s="15" t="inlineStr">
        <is>
          <t>chetan@weekday.works</t>
        </is>
      </c>
      <c r="L119" s="15" t="inlineStr">
        <is>
          <t>&lt;calendly_link&gt;</t>
        </is>
      </c>
      <c r="M119" s="15" t="inlineStr">
        <is>
          <t>Yes</t>
        </is>
      </c>
      <c r="N119" s="15" t="n"/>
      <c r="O119" s="15" t="n"/>
      <c r="P119" s="15" t="n"/>
      <c r="Q119" s="15" t="n"/>
      <c r="R119" s="15">
        <f>IF(OR(O119="Scheduled",Q119="Scheduled"),"SCHEDULED",IF(Q119="Escalate to call","ESCALATED TO CALL",IF(N119="Bad contact","BAD CONTACT",IF(N119="","NOT STARTED","IN PROGRESS"))))</f>
        <v/>
      </c>
      <c r="S119" s="15" t="n"/>
    </row>
    <row r="120">
      <c r="A120" s="15" t="inlineStr">
        <is>
          <t>REQ-0119</t>
        </is>
      </c>
      <c r="B120" s="16" t="n">
        <v>44867.82708333333</v>
      </c>
      <c r="C120" s="16">
        <f>B120+1</f>
        <v/>
      </c>
      <c r="D120" s="17">
        <f>(C120-NOW())*24</f>
        <v/>
      </c>
      <c r="E120" s="15">
        <f>IF(N120="","STEP 1: Send WhatsApp + Email blast now (Playbook M1)",IF(N120="Bad contact","STOP: report bad contact to lead (Playbook)",IF(O120="Scheduled","DONE: scheduled via Calendly",IF(O120="","STEP 2: Check Calendly now",IF(P120="","STEP 3: Send WhatsApp nudge (Playbook M2)",IF(Q120="Scheduled","DONE: scheduled via Calendly",IF(Q120="Escalate to call","HANDED to Shyam (call queue)","STEP 4: Final Calendly check")))))))</f>
        <v/>
      </c>
      <c r="F120" s="16">
        <f>IF(N120="",B120,IF(O120="",B120+2/24,IF(AND(O120="Not yet",P120=""),B120+2/24,IF(Q120="",B120+4/24,""))))</f>
        <v/>
      </c>
      <c r="G120" s="15" t="inlineStr">
        <is>
          <t>Chetan</t>
        </is>
      </c>
      <c r="H120" s="15" t="inlineStr">
        <is>
          <t>Google</t>
        </is>
      </c>
      <c r="I120" s="15" t="inlineStr">
        <is>
          <t>Round1</t>
        </is>
      </c>
      <c r="J120" s="18" t="inlineStr">
        <is>
          <t>+91 9920264452</t>
        </is>
      </c>
      <c r="K120" s="15" t="inlineStr">
        <is>
          <t>chetan@weekday.works</t>
        </is>
      </c>
      <c r="L120" s="15" t="inlineStr">
        <is>
          <t>&lt;calendly_link&gt;</t>
        </is>
      </c>
      <c r="M120" s="15" t="inlineStr">
        <is>
          <t>Yes</t>
        </is>
      </c>
      <c r="N120" s="15" t="n"/>
      <c r="O120" s="15" t="n"/>
      <c r="P120" s="15" t="n"/>
      <c r="Q120" s="15" t="n"/>
      <c r="R120" s="15">
        <f>IF(OR(O120="Scheduled",Q120="Scheduled"),"SCHEDULED",IF(Q120="Escalate to call","ESCALATED TO CALL",IF(N120="Bad contact","BAD CONTACT",IF(N120="","NOT STARTED","IN PROGRESS"))))</f>
        <v/>
      </c>
      <c r="S120" s="15" t="n"/>
    </row>
    <row r="121">
      <c r="A121" s="15" t="inlineStr">
        <is>
          <t>REQ-0120</t>
        </is>
      </c>
      <c r="B121" s="16" t="n">
        <v>44867.82708333333</v>
      </c>
      <c r="C121" s="16">
        <f>B121+1</f>
        <v/>
      </c>
      <c r="D121" s="17">
        <f>(C121-NOW())*24</f>
        <v/>
      </c>
      <c r="E121" s="15">
        <f>IF(N121="","STEP 1: Send WhatsApp + Email blast now (Playbook M1)",IF(N121="Bad contact","STOP: report bad contact to lead (Playbook)",IF(O121="Scheduled","DONE: scheduled via Calendly",IF(O121="","STEP 2: Check Calendly now",IF(P121="","STEP 3: Send WhatsApp nudge (Playbook M2)",IF(Q121="Scheduled","DONE: scheduled via Calendly",IF(Q121="Escalate to call","HANDED to Shyam (call queue)","STEP 4: Final Calendly check")))))))</f>
        <v/>
      </c>
      <c r="F121" s="16">
        <f>IF(N121="",B121,IF(O121="",B121+2/24,IF(AND(O121="Not yet",P121=""),B121+2/24,IF(Q121="",B121+4/24,""))))</f>
        <v/>
      </c>
      <c r="G121" s="15" t="inlineStr">
        <is>
          <t>Chetan</t>
        </is>
      </c>
      <c r="H121" s="15" t="inlineStr">
        <is>
          <t>Google</t>
        </is>
      </c>
      <c r="I121" s="15" t="inlineStr">
        <is>
          <t>Round1</t>
        </is>
      </c>
      <c r="J121" s="18" t="inlineStr">
        <is>
          <t>+91 9920264452</t>
        </is>
      </c>
      <c r="K121" s="15" t="inlineStr">
        <is>
          <t>chetan@weekday.works</t>
        </is>
      </c>
      <c r="L121" s="15" t="inlineStr">
        <is>
          <t>&lt;calendly_link&gt;</t>
        </is>
      </c>
      <c r="M121" s="15" t="inlineStr">
        <is>
          <t>Yes</t>
        </is>
      </c>
      <c r="N121" s="15" t="n"/>
      <c r="O121" s="15" t="n"/>
      <c r="P121" s="15" t="n"/>
      <c r="Q121" s="15" t="n"/>
      <c r="R121" s="15">
        <f>IF(OR(O121="Scheduled",Q121="Scheduled"),"SCHEDULED",IF(Q121="Escalate to call","ESCALATED TO CALL",IF(N121="Bad contact","BAD CONTACT",IF(N121="","NOT STARTED","IN PROGRESS"))))</f>
        <v/>
      </c>
      <c r="S121" s="15" t="n"/>
    </row>
    <row r="122">
      <c r="A122" s="15" t="inlineStr">
        <is>
          <t>REQ-0121</t>
        </is>
      </c>
      <c r="B122" s="16" t="n">
        <v>44867.82708333333</v>
      </c>
      <c r="C122" s="16">
        <f>B122+1</f>
        <v/>
      </c>
      <c r="D122" s="17">
        <f>(C122-NOW())*24</f>
        <v/>
      </c>
      <c r="E122" s="15">
        <f>IF(N122="","STEP 1: Send WhatsApp + Email blast now (Playbook M1)",IF(N122="Bad contact","STOP: report bad contact to lead (Playbook)",IF(O122="Scheduled","DONE: scheduled via Calendly",IF(O122="","STEP 2: Check Calendly now",IF(P122="","STEP 3: Send WhatsApp nudge (Playbook M2)",IF(Q122="Scheduled","DONE: scheduled via Calendly",IF(Q122="Escalate to call","HANDED to Shyam (call queue)","STEP 4: Final Calendly check")))))))</f>
        <v/>
      </c>
      <c r="F122" s="16">
        <f>IF(N122="",B122,IF(O122="",B122+2/24,IF(AND(O122="Not yet",P122=""),B122+2/24,IF(Q122="",B122+4/24,""))))</f>
        <v/>
      </c>
      <c r="G122" s="15" t="inlineStr">
        <is>
          <t>Chetan</t>
        </is>
      </c>
      <c r="H122" s="15" t="inlineStr">
        <is>
          <t>Google</t>
        </is>
      </c>
      <c r="I122" s="15" t="inlineStr">
        <is>
          <t>Round1</t>
        </is>
      </c>
      <c r="J122" s="18" t="inlineStr">
        <is>
          <t>+91 9920264452</t>
        </is>
      </c>
      <c r="K122" s="15" t="inlineStr">
        <is>
          <t>chetan@weekday.works</t>
        </is>
      </c>
      <c r="L122" s="15" t="inlineStr">
        <is>
          <t>&lt;calendly_link&gt;</t>
        </is>
      </c>
      <c r="M122" s="15" t="inlineStr">
        <is>
          <t>Yes</t>
        </is>
      </c>
      <c r="N122" s="15" t="n"/>
      <c r="O122" s="15" t="n"/>
      <c r="P122" s="15" t="n"/>
      <c r="Q122" s="15" t="n"/>
      <c r="R122" s="15">
        <f>IF(OR(O122="Scheduled",Q122="Scheduled"),"SCHEDULED",IF(Q122="Escalate to call","ESCALATED TO CALL",IF(N122="Bad contact","BAD CONTACT",IF(N122="","NOT STARTED","IN PROGRESS"))))</f>
        <v/>
      </c>
      <c r="S122" s="15" t="n"/>
    </row>
    <row r="123">
      <c r="A123" s="15" t="inlineStr">
        <is>
          <t>REQ-0122</t>
        </is>
      </c>
      <c r="B123" s="16" t="n">
        <v>44867.82708333333</v>
      </c>
      <c r="C123" s="16">
        <f>B123+1</f>
        <v/>
      </c>
      <c r="D123" s="17">
        <f>(C123-NOW())*24</f>
        <v/>
      </c>
      <c r="E123" s="15">
        <f>IF(N123="","STEP 1: Send WhatsApp + Email blast now (Playbook M1)",IF(N123="Bad contact","STOP: report bad contact to lead (Playbook)",IF(O123="Scheduled","DONE: scheduled via Calendly",IF(O123="","STEP 2: Check Calendly now",IF(P123="","STEP 3: Send WhatsApp nudge (Playbook M2)",IF(Q123="Scheduled","DONE: scheduled via Calendly",IF(Q123="Escalate to call","HANDED to Shyam (call queue)","STEP 4: Final Calendly check")))))))</f>
        <v/>
      </c>
      <c r="F123" s="16">
        <f>IF(N123="",B123,IF(O123="",B123+2/24,IF(AND(O123="Not yet",P123=""),B123+2/24,IF(Q123="",B123+4/24,""))))</f>
        <v/>
      </c>
      <c r="G123" s="15" t="inlineStr">
        <is>
          <t>Chetan</t>
        </is>
      </c>
      <c r="H123" s="15" t="inlineStr">
        <is>
          <t>Google</t>
        </is>
      </c>
      <c r="I123" s="15" t="inlineStr">
        <is>
          <t>Round1</t>
        </is>
      </c>
      <c r="J123" s="18" t="inlineStr">
        <is>
          <t>+91 9920264452</t>
        </is>
      </c>
      <c r="K123" s="15" t="inlineStr">
        <is>
          <t>chetan@weekday.works</t>
        </is>
      </c>
      <c r="L123" s="15" t="inlineStr">
        <is>
          <t>&lt;calendly_link&gt;</t>
        </is>
      </c>
      <c r="M123" s="15" t="inlineStr">
        <is>
          <t>Yes</t>
        </is>
      </c>
      <c r="N123" s="15" t="n"/>
      <c r="O123" s="15" t="n"/>
      <c r="P123" s="15" t="n"/>
      <c r="Q123" s="15" t="n"/>
      <c r="R123" s="15">
        <f>IF(OR(O123="Scheduled",Q123="Scheduled"),"SCHEDULED",IF(Q123="Escalate to call","ESCALATED TO CALL",IF(N123="Bad contact","BAD CONTACT",IF(N123="","NOT STARTED","IN PROGRESS"))))</f>
        <v/>
      </c>
      <c r="S123" s="15" t="n"/>
    </row>
    <row r="124">
      <c r="A124" s="15" t="inlineStr">
        <is>
          <t>REQ-0123</t>
        </is>
      </c>
      <c r="B124" s="16" t="n">
        <v>44867.82708333333</v>
      </c>
      <c r="C124" s="16">
        <f>B124+1</f>
        <v/>
      </c>
      <c r="D124" s="17">
        <f>(C124-NOW())*24</f>
        <v/>
      </c>
      <c r="E124" s="15">
        <f>IF(N124="","STEP 1: Send WhatsApp + Email blast now (Playbook M1)",IF(N124="Bad contact","STOP: report bad contact to lead (Playbook)",IF(O124="Scheduled","DONE: scheduled via Calendly",IF(O124="","STEP 2: Check Calendly now",IF(P124="","STEP 3: Send WhatsApp nudge (Playbook M2)",IF(Q124="Scheduled","DONE: scheduled via Calendly",IF(Q124="Escalate to call","HANDED to Shyam (call queue)","STEP 4: Final Calendly check")))))))</f>
        <v/>
      </c>
      <c r="F124" s="16">
        <f>IF(N124="",B124,IF(O124="",B124+2/24,IF(AND(O124="Not yet",P124=""),B124+2/24,IF(Q124="",B124+4/24,""))))</f>
        <v/>
      </c>
      <c r="G124" s="15" t="inlineStr">
        <is>
          <t>Chetan</t>
        </is>
      </c>
      <c r="H124" s="15" t="inlineStr">
        <is>
          <t>Google</t>
        </is>
      </c>
      <c r="I124" s="15" t="inlineStr">
        <is>
          <t>Round1</t>
        </is>
      </c>
      <c r="J124" s="18" t="inlineStr">
        <is>
          <t>+91 9920264452</t>
        </is>
      </c>
      <c r="K124" s="15" t="inlineStr">
        <is>
          <t>chetan@weekday.works</t>
        </is>
      </c>
      <c r="L124" s="15" t="inlineStr">
        <is>
          <t>&lt;calendly_link&gt;</t>
        </is>
      </c>
      <c r="M124" s="15" t="inlineStr">
        <is>
          <t>Yes</t>
        </is>
      </c>
      <c r="N124" s="15" t="n"/>
      <c r="O124" s="15" t="n"/>
      <c r="P124" s="15" t="n"/>
      <c r="Q124" s="15" t="n"/>
      <c r="R124" s="15">
        <f>IF(OR(O124="Scheduled",Q124="Scheduled"),"SCHEDULED",IF(Q124="Escalate to call","ESCALATED TO CALL",IF(N124="Bad contact","BAD CONTACT",IF(N124="","NOT STARTED","IN PROGRESS"))))</f>
        <v/>
      </c>
      <c r="S124" s="15" t="n"/>
    </row>
    <row r="125">
      <c r="A125" s="15" t="inlineStr">
        <is>
          <t>REQ-0124</t>
        </is>
      </c>
      <c r="B125" s="16" t="n">
        <v>44867.82708333333</v>
      </c>
      <c r="C125" s="16">
        <f>B125+1</f>
        <v/>
      </c>
      <c r="D125" s="17">
        <f>(C125-NOW())*24</f>
        <v/>
      </c>
      <c r="E125" s="15">
        <f>IF(N125="","STEP 1: Send WhatsApp + Email blast now (Playbook M1)",IF(N125="Bad contact","STOP: report bad contact to lead (Playbook)",IF(O125="Scheduled","DONE: scheduled via Calendly",IF(O125="","STEP 2: Check Calendly now",IF(P125="","STEP 3: Send WhatsApp nudge (Playbook M2)",IF(Q125="Scheduled","DONE: scheduled via Calendly",IF(Q125="Escalate to call","HANDED to Shyam (call queue)","STEP 4: Final Calendly check")))))))</f>
        <v/>
      </c>
      <c r="F125" s="16">
        <f>IF(N125="",B125,IF(O125="",B125+2/24,IF(AND(O125="Not yet",P125=""),B125+2/24,IF(Q125="",B125+4/24,""))))</f>
        <v/>
      </c>
      <c r="G125" s="15" t="inlineStr">
        <is>
          <t>Chetan</t>
        </is>
      </c>
      <c r="H125" s="15" t="inlineStr">
        <is>
          <t>Google</t>
        </is>
      </c>
      <c r="I125" s="15" t="inlineStr">
        <is>
          <t>Round1</t>
        </is>
      </c>
      <c r="J125" s="18" t="inlineStr">
        <is>
          <t>+91 9920264452</t>
        </is>
      </c>
      <c r="K125" s="15" t="inlineStr">
        <is>
          <t>chetan@weekday.works</t>
        </is>
      </c>
      <c r="L125" s="15" t="inlineStr">
        <is>
          <t>&lt;calendly_link&gt;</t>
        </is>
      </c>
      <c r="M125" s="15" t="inlineStr">
        <is>
          <t>Yes</t>
        </is>
      </c>
      <c r="N125" s="15" t="n"/>
      <c r="O125" s="15" t="n"/>
      <c r="P125" s="15" t="n"/>
      <c r="Q125" s="15" t="n"/>
      <c r="R125" s="15">
        <f>IF(OR(O125="Scheduled",Q125="Scheduled"),"SCHEDULED",IF(Q125="Escalate to call","ESCALATED TO CALL",IF(N125="Bad contact","BAD CONTACT",IF(N125="","NOT STARTED","IN PROGRESS"))))</f>
        <v/>
      </c>
      <c r="S125" s="15" t="n"/>
    </row>
    <row r="126">
      <c r="A126" s="15" t="inlineStr">
        <is>
          <t>REQ-0125</t>
        </is>
      </c>
      <c r="B126" s="16" t="n">
        <v>44867.82708333333</v>
      </c>
      <c r="C126" s="16">
        <f>B126+1</f>
        <v/>
      </c>
      <c r="D126" s="17">
        <f>(C126-NOW())*24</f>
        <v/>
      </c>
      <c r="E126" s="15">
        <f>IF(N126="","STEP 1: Send WhatsApp + Email blast now (Playbook M1)",IF(N126="Bad contact","STOP: report bad contact to lead (Playbook)",IF(O126="Scheduled","DONE: scheduled via Calendly",IF(O126="","STEP 2: Check Calendly now",IF(P126="","STEP 3: Send WhatsApp nudge (Playbook M2)",IF(Q126="Scheduled","DONE: scheduled via Calendly",IF(Q126="Escalate to call","HANDED to Shyam (call queue)","STEP 4: Final Calendly check")))))))</f>
        <v/>
      </c>
      <c r="F126" s="16">
        <f>IF(N126="",B126,IF(O126="",B126+2/24,IF(AND(O126="Not yet",P126=""),B126+2/24,IF(Q126="",B126+4/24,""))))</f>
        <v/>
      </c>
      <c r="G126" s="15" t="inlineStr">
        <is>
          <t>Chetan</t>
        </is>
      </c>
      <c r="H126" s="15" t="inlineStr">
        <is>
          <t>Google</t>
        </is>
      </c>
      <c r="I126" s="15" t="inlineStr">
        <is>
          <t>Round1</t>
        </is>
      </c>
      <c r="J126" s="18" t="inlineStr">
        <is>
          <t>+91 9920264452</t>
        </is>
      </c>
      <c r="K126" s="15" t="inlineStr">
        <is>
          <t>chetan@weekday.works</t>
        </is>
      </c>
      <c r="L126" s="15" t="inlineStr">
        <is>
          <t>&lt;calendly_link&gt;</t>
        </is>
      </c>
      <c r="M126" s="15" t="inlineStr">
        <is>
          <t>Yes</t>
        </is>
      </c>
      <c r="N126" s="15" t="n"/>
      <c r="O126" s="15" t="n"/>
      <c r="P126" s="15" t="n"/>
      <c r="Q126" s="15" t="n"/>
      <c r="R126" s="15">
        <f>IF(OR(O126="Scheduled",Q126="Scheduled"),"SCHEDULED",IF(Q126="Escalate to call","ESCALATED TO CALL",IF(N126="Bad contact","BAD CONTACT",IF(N126="","NOT STARTED","IN PROGRESS"))))</f>
        <v/>
      </c>
      <c r="S126" s="15" t="n"/>
    </row>
    <row r="127">
      <c r="A127" s="15" t="inlineStr">
        <is>
          <t>REQ-0126</t>
        </is>
      </c>
      <c r="B127" s="16" t="n">
        <v>44867.82708333333</v>
      </c>
      <c r="C127" s="16">
        <f>B127+1</f>
        <v/>
      </c>
      <c r="D127" s="17">
        <f>(C127-NOW())*24</f>
        <v/>
      </c>
      <c r="E127" s="15">
        <f>IF(N127="","STEP 1: Send WhatsApp + Email blast now (Playbook M1)",IF(N127="Bad contact","STOP: report bad contact to lead (Playbook)",IF(O127="Scheduled","DONE: scheduled via Calendly",IF(O127="","STEP 2: Check Calendly now",IF(P127="","STEP 3: Send WhatsApp nudge (Playbook M2)",IF(Q127="Scheduled","DONE: scheduled via Calendly",IF(Q127="Escalate to call","HANDED to Shyam (call queue)","STEP 4: Final Calendly check")))))))</f>
        <v/>
      </c>
      <c r="F127" s="16">
        <f>IF(N127="",B127,IF(O127="",B127+2/24,IF(AND(O127="Not yet",P127=""),B127+2/24,IF(Q127="",B127+4/24,""))))</f>
        <v/>
      </c>
      <c r="G127" s="15" t="inlineStr">
        <is>
          <t>Chetan</t>
        </is>
      </c>
      <c r="H127" s="15" t="inlineStr">
        <is>
          <t>Google</t>
        </is>
      </c>
      <c r="I127" s="15" t="inlineStr">
        <is>
          <t>Round1</t>
        </is>
      </c>
      <c r="J127" s="18" t="inlineStr">
        <is>
          <t>+91 9920264452</t>
        </is>
      </c>
      <c r="K127" s="15" t="inlineStr">
        <is>
          <t>chetan@weekday.works</t>
        </is>
      </c>
      <c r="L127" s="15" t="inlineStr">
        <is>
          <t>&lt;calendly_link&gt;</t>
        </is>
      </c>
      <c r="M127" s="15" t="inlineStr">
        <is>
          <t>Yes</t>
        </is>
      </c>
      <c r="N127" s="15" t="n"/>
      <c r="O127" s="15" t="n"/>
      <c r="P127" s="15" t="n"/>
      <c r="Q127" s="15" t="n"/>
      <c r="R127" s="15">
        <f>IF(OR(O127="Scheduled",Q127="Scheduled"),"SCHEDULED",IF(Q127="Escalate to call","ESCALATED TO CALL",IF(N127="Bad contact","BAD CONTACT",IF(N127="","NOT STARTED","IN PROGRESS"))))</f>
        <v/>
      </c>
      <c r="S127" s="15" t="n"/>
    </row>
    <row r="128">
      <c r="A128" s="15" t="inlineStr">
        <is>
          <t>REQ-0127</t>
        </is>
      </c>
      <c r="B128" s="16" t="n">
        <v>44867.82708333333</v>
      </c>
      <c r="C128" s="16">
        <f>B128+1</f>
        <v/>
      </c>
      <c r="D128" s="17">
        <f>(C128-NOW())*24</f>
        <v/>
      </c>
      <c r="E128" s="15">
        <f>IF(N128="","STEP 1: Send WhatsApp + Email blast now (Playbook M1)",IF(N128="Bad contact","STOP: report bad contact to lead (Playbook)",IF(O128="Scheduled","DONE: scheduled via Calendly",IF(O128="","STEP 2: Check Calendly now",IF(P128="","STEP 3: Send WhatsApp nudge (Playbook M2)",IF(Q128="Scheduled","DONE: scheduled via Calendly",IF(Q128="Escalate to call","HANDED to Shyam (call queue)","STEP 4: Final Calendly check")))))))</f>
        <v/>
      </c>
      <c r="F128" s="16">
        <f>IF(N128="",B128,IF(O128="",B128+2/24,IF(AND(O128="Not yet",P128=""),B128+2/24,IF(Q128="",B128+4/24,""))))</f>
        <v/>
      </c>
      <c r="G128" s="15" t="inlineStr">
        <is>
          <t>Chetan</t>
        </is>
      </c>
      <c r="H128" s="15" t="inlineStr">
        <is>
          <t>Google</t>
        </is>
      </c>
      <c r="I128" s="15" t="inlineStr">
        <is>
          <t>Round1</t>
        </is>
      </c>
      <c r="J128" s="18" t="inlineStr">
        <is>
          <t>+91 9920264452</t>
        </is>
      </c>
      <c r="K128" s="15" t="inlineStr">
        <is>
          <t>chetan@weekday.works</t>
        </is>
      </c>
      <c r="L128" s="15" t="inlineStr">
        <is>
          <t>&lt;calendly_link&gt;</t>
        </is>
      </c>
      <c r="M128" s="15" t="inlineStr">
        <is>
          <t>Yes</t>
        </is>
      </c>
      <c r="N128" s="15" t="n"/>
      <c r="O128" s="15" t="n"/>
      <c r="P128" s="15" t="n"/>
      <c r="Q128" s="15" t="n"/>
      <c r="R128" s="15">
        <f>IF(OR(O128="Scheduled",Q128="Scheduled"),"SCHEDULED",IF(Q128="Escalate to call","ESCALATED TO CALL",IF(N128="Bad contact","BAD CONTACT",IF(N128="","NOT STARTED","IN PROGRESS"))))</f>
        <v/>
      </c>
      <c r="S128" s="15" t="n"/>
    </row>
    <row r="129">
      <c r="A129" s="15" t="inlineStr">
        <is>
          <t>REQ-0128</t>
        </is>
      </c>
      <c r="B129" s="16" t="n">
        <v>44867.82708333333</v>
      </c>
      <c r="C129" s="16">
        <f>B129+1</f>
        <v/>
      </c>
      <c r="D129" s="17">
        <f>(C129-NOW())*24</f>
        <v/>
      </c>
      <c r="E129" s="15">
        <f>IF(N129="","STEP 1: Send WhatsApp + Email blast now (Playbook M1)",IF(N129="Bad contact","STOP: report bad contact to lead (Playbook)",IF(O129="Scheduled","DONE: scheduled via Calendly",IF(O129="","STEP 2: Check Calendly now",IF(P129="","STEP 3: Send WhatsApp nudge (Playbook M2)",IF(Q129="Scheduled","DONE: scheduled via Calendly",IF(Q129="Escalate to call","HANDED to Shyam (call queue)","STEP 4: Final Calendly check")))))))</f>
        <v/>
      </c>
      <c r="F129" s="16">
        <f>IF(N129="",B129,IF(O129="",B129+2/24,IF(AND(O129="Not yet",P129=""),B129+2/24,IF(Q129="",B129+4/24,""))))</f>
        <v/>
      </c>
      <c r="G129" s="15" t="inlineStr">
        <is>
          <t>Chetan</t>
        </is>
      </c>
      <c r="H129" s="15" t="inlineStr">
        <is>
          <t>Google</t>
        </is>
      </c>
      <c r="I129" s="15" t="inlineStr">
        <is>
          <t>Round1</t>
        </is>
      </c>
      <c r="J129" s="18" t="inlineStr">
        <is>
          <t>+91 9920264452</t>
        </is>
      </c>
      <c r="K129" s="15" t="inlineStr">
        <is>
          <t>chetan@weekday.works</t>
        </is>
      </c>
      <c r="L129" s="15" t="inlineStr">
        <is>
          <t>&lt;calendly_link&gt;</t>
        </is>
      </c>
      <c r="M129" s="15" t="inlineStr">
        <is>
          <t>Yes</t>
        </is>
      </c>
      <c r="N129" s="15" t="n"/>
      <c r="O129" s="15" t="n"/>
      <c r="P129" s="15" t="n"/>
      <c r="Q129" s="15" t="n"/>
      <c r="R129" s="15">
        <f>IF(OR(O129="Scheduled",Q129="Scheduled"),"SCHEDULED",IF(Q129="Escalate to call","ESCALATED TO CALL",IF(N129="Bad contact","BAD CONTACT",IF(N129="","NOT STARTED","IN PROGRESS"))))</f>
        <v/>
      </c>
      <c r="S129" s="15" t="n"/>
    </row>
    <row r="130">
      <c r="A130" s="15" t="inlineStr">
        <is>
          <t>REQ-0129</t>
        </is>
      </c>
      <c r="B130" s="16" t="n">
        <v>44867.82708333333</v>
      </c>
      <c r="C130" s="16">
        <f>B130+1</f>
        <v/>
      </c>
      <c r="D130" s="17">
        <f>(C130-NOW())*24</f>
        <v/>
      </c>
      <c r="E130" s="15">
        <f>IF(N130="","STEP 1: Send WhatsApp + Email blast now (Playbook M1)",IF(N130="Bad contact","STOP: report bad contact to lead (Playbook)",IF(O130="Scheduled","DONE: scheduled via Calendly",IF(O130="","STEP 2: Check Calendly now",IF(P130="","STEP 3: Send WhatsApp nudge (Playbook M2)",IF(Q130="Scheduled","DONE: scheduled via Calendly",IF(Q130="Escalate to call","HANDED to Shyam (call queue)","STEP 4: Final Calendly check")))))))</f>
        <v/>
      </c>
      <c r="F130" s="16">
        <f>IF(N130="",B130,IF(O130="",B130+2/24,IF(AND(O130="Not yet",P130=""),B130+2/24,IF(Q130="",B130+4/24,""))))</f>
        <v/>
      </c>
      <c r="G130" s="15" t="inlineStr">
        <is>
          <t>Chetan</t>
        </is>
      </c>
      <c r="H130" s="15" t="inlineStr">
        <is>
          <t>Google</t>
        </is>
      </c>
      <c r="I130" s="15" t="inlineStr">
        <is>
          <t>Round1</t>
        </is>
      </c>
      <c r="J130" s="18" t="inlineStr">
        <is>
          <t>+91 9920264452</t>
        </is>
      </c>
      <c r="K130" s="15" t="inlineStr">
        <is>
          <t>chetan@weekday.works</t>
        </is>
      </c>
      <c r="L130" s="15" t="inlineStr">
        <is>
          <t>&lt;calendly_link&gt;</t>
        </is>
      </c>
      <c r="M130" s="15" t="inlineStr">
        <is>
          <t>Yes</t>
        </is>
      </c>
      <c r="N130" s="15" t="n"/>
      <c r="O130" s="15" t="n"/>
      <c r="P130" s="15" t="n"/>
      <c r="Q130" s="15" t="n"/>
      <c r="R130" s="15">
        <f>IF(OR(O130="Scheduled",Q130="Scheduled"),"SCHEDULED",IF(Q130="Escalate to call","ESCALATED TO CALL",IF(N130="Bad contact","BAD CONTACT",IF(N130="","NOT STARTED","IN PROGRESS"))))</f>
        <v/>
      </c>
      <c r="S130" s="15" t="n"/>
    </row>
    <row r="131">
      <c r="A131" s="15" t="inlineStr">
        <is>
          <t>REQ-0130</t>
        </is>
      </c>
      <c r="B131" s="16" t="n">
        <v>44867.82708333333</v>
      </c>
      <c r="C131" s="16">
        <f>B131+1</f>
        <v/>
      </c>
      <c r="D131" s="17">
        <f>(C131-NOW())*24</f>
        <v/>
      </c>
      <c r="E131" s="15">
        <f>IF(N131="","STEP 1: Send WhatsApp + Email blast now (Playbook M1)",IF(N131="Bad contact","STOP: report bad contact to lead (Playbook)",IF(O131="Scheduled","DONE: scheduled via Calendly",IF(O131="","STEP 2: Check Calendly now",IF(P131="","STEP 3: Send WhatsApp nudge (Playbook M2)",IF(Q131="Scheduled","DONE: scheduled via Calendly",IF(Q131="Escalate to call","HANDED to Shyam (call queue)","STEP 4: Final Calendly check")))))))</f>
        <v/>
      </c>
      <c r="F131" s="16">
        <f>IF(N131="",B131,IF(O131="",B131+2/24,IF(AND(O131="Not yet",P131=""),B131+2/24,IF(Q131="",B131+4/24,""))))</f>
        <v/>
      </c>
      <c r="G131" s="15" t="inlineStr">
        <is>
          <t>Chetan</t>
        </is>
      </c>
      <c r="H131" s="15" t="inlineStr">
        <is>
          <t>Google</t>
        </is>
      </c>
      <c r="I131" s="15" t="inlineStr">
        <is>
          <t>Round1</t>
        </is>
      </c>
      <c r="J131" s="18" t="inlineStr">
        <is>
          <t>+91 9920264452</t>
        </is>
      </c>
      <c r="K131" s="15" t="inlineStr">
        <is>
          <t>chetan@weekday.works</t>
        </is>
      </c>
      <c r="L131" s="15" t="inlineStr">
        <is>
          <t>&lt;calendly_link&gt;</t>
        </is>
      </c>
      <c r="M131" s="15" t="inlineStr">
        <is>
          <t>Yes</t>
        </is>
      </c>
      <c r="N131" s="15" t="n"/>
      <c r="O131" s="15" t="n"/>
      <c r="P131" s="15" t="n"/>
      <c r="Q131" s="15" t="n"/>
      <c r="R131" s="15">
        <f>IF(OR(O131="Scheduled",Q131="Scheduled"),"SCHEDULED",IF(Q131="Escalate to call","ESCALATED TO CALL",IF(N131="Bad contact","BAD CONTACT",IF(N131="","NOT STARTED","IN PROGRESS"))))</f>
        <v/>
      </c>
      <c r="S131" s="15" t="n"/>
    </row>
    <row r="132">
      <c r="A132" s="15" t="inlineStr">
        <is>
          <t>REQ-0131</t>
        </is>
      </c>
      <c r="B132" s="16" t="n">
        <v>44867.82708333333</v>
      </c>
      <c r="C132" s="16">
        <f>B132+1</f>
        <v/>
      </c>
      <c r="D132" s="17">
        <f>(C132-NOW())*24</f>
        <v/>
      </c>
      <c r="E132" s="15">
        <f>IF(N132="","STEP 1: Send WhatsApp + Email blast now (Playbook M1)",IF(N132="Bad contact","STOP: report bad contact to lead (Playbook)",IF(O132="Scheduled","DONE: scheduled via Calendly",IF(O132="","STEP 2: Check Calendly now",IF(P132="","STEP 3: Send WhatsApp nudge (Playbook M2)",IF(Q132="Scheduled","DONE: scheduled via Calendly",IF(Q132="Escalate to call","HANDED to Shyam (call queue)","STEP 4: Final Calendly check")))))))</f>
        <v/>
      </c>
      <c r="F132" s="16">
        <f>IF(N132="",B132,IF(O132="",B132+2/24,IF(AND(O132="Not yet",P132=""),B132+2/24,IF(Q132="",B132+4/24,""))))</f>
        <v/>
      </c>
      <c r="G132" s="15" t="inlineStr">
        <is>
          <t>Chetan</t>
        </is>
      </c>
      <c r="H132" s="15" t="inlineStr">
        <is>
          <t>Google</t>
        </is>
      </c>
      <c r="I132" s="15" t="inlineStr">
        <is>
          <t>Round1</t>
        </is>
      </c>
      <c r="J132" s="18" t="inlineStr">
        <is>
          <t>+91 9920264452</t>
        </is>
      </c>
      <c r="K132" s="15" t="inlineStr">
        <is>
          <t>chetan@weekday.works</t>
        </is>
      </c>
      <c r="L132" s="15" t="inlineStr">
        <is>
          <t>&lt;calendly_link&gt;</t>
        </is>
      </c>
      <c r="M132" s="15" t="inlineStr">
        <is>
          <t>Yes</t>
        </is>
      </c>
      <c r="N132" s="15" t="n"/>
      <c r="O132" s="15" t="n"/>
      <c r="P132" s="15" t="n"/>
      <c r="Q132" s="15" t="n"/>
      <c r="R132" s="15">
        <f>IF(OR(O132="Scheduled",Q132="Scheduled"),"SCHEDULED",IF(Q132="Escalate to call","ESCALATED TO CALL",IF(N132="Bad contact","BAD CONTACT",IF(N132="","NOT STARTED","IN PROGRESS"))))</f>
        <v/>
      </c>
      <c r="S132" s="15" t="n"/>
    </row>
    <row r="133">
      <c r="A133" s="15" t="inlineStr">
        <is>
          <t>REQ-0132</t>
        </is>
      </c>
      <c r="B133" s="16" t="n">
        <v>44867.82708333333</v>
      </c>
      <c r="C133" s="16">
        <f>B133+1</f>
        <v/>
      </c>
      <c r="D133" s="17">
        <f>(C133-NOW())*24</f>
        <v/>
      </c>
      <c r="E133" s="15">
        <f>IF(N133="","STEP 1: Send WhatsApp + Email blast now (Playbook M1)",IF(N133="Bad contact","STOP: report bad contact to lead (Playbook)",IF(O133="Scheduled","DONE: scheduled via Calendly",IF(O133="","STEP 2: Check Calendly now",IF(P133="","STEP 3: Send WhatsApp nudge (Playbook M2)",IF(Q133="Scheduled","DONE: scheduled via Calendly",IF(Q133="Escalate to call","HANDED to Shyam (call queue)","STEP 4: Final Calendly check")))))))</f>
        <v/>
      </c>
      <c r="F133" s="16">
        <f>IF(N133="",B133,IF(O133="",B133+2/24,IF(AND(O133="Not yet",P133=""),B133+2/24,IF(Q133="",B133+4/24,""))))</f>
        <v/>
      </c>
      <c r="G133" s="15" t="inlineStr">
        <is>
          <t>Chetan</t>
        </is>
      </c>
      <c r="H133" s="15" t="inlineStr">
        <is>
          <t>Google</t>
        </is>
      </c>
      <c r="I133" s="15" t="inlineStr">
        <is>
          <t>Round1</t>
        </is>
      </c>
      <c r="J133" s="18" t="inlineStr">
        <is>
          <t>+91 9920264452</t>
        </is>
      </c>
      <c r="K133" s="15" t="inlineStr">
        <is>
          <t>chetan@weekday.works</t>
        </is>
      </c>
      <c r="L133" s="15" t="inlineStr">
        <is>
          <t>&lt;calendly_link&gt;</t>
        </is>
      </c>
      <c r="M133" s="15" t="inlineStr">
        <is>
          <t>Yes</t>
        </is>
      </c>
      <c r="N133" s="15" t="n"/>
      <c r="O133" s="15" t="n"/>
      <c r="P133" s="15" t="n"/>
      <c r="Q133" s="15" t="n"/>
      <c r="R133" s="15">
        <f>IF(OR(O133="Scheduled",Q133="Scheduled"),"SCHEDULED",IF(Q133="Escalate to call","ESCALATED TO CALL",IF(N133="Bad contact","BAD CONTACT",IF(N133="","NOT STARTED","IN PROGRESS"))))</f>
        <v/>
      </c>
      <c r="S133" s="15" t="n"/>
    </row>
    <row r="134">
      <c r="A134" s="15" t="inlineStr">
        <is>
          <t>REQ-0133</t>
        </is>
      </c>
      <c r="B134" s="16" t="n">
        <v>44867.82708333333</v>
      </c>
      <c r="C134" s="16">
        <f>B134+1</f>
        <v/>
      </c>
      <c r="D134" s="17">
        <f>(C134-NOW())*24</f>
        <v/>
      </c>
      <c r="E134" s="15">
        <f>IF(N134="","STEP 1: Send WhatsApp + Email blast now (Playbook M1)",IF(N134="Bad contact","STOP: report bad contact to lead (Playbook)",IF(O134="Scheduled","DONE: scheduled via Calendly",IF(O134="","STEP 2: Check Calendly now",IF(P134="","STEP 3: Send WhatsApp nudge (Playbook M2)",IF(Q134="Scheduled","DONE: scheduled via Calendly",IF(Q134="Escalate to call","HANDED to Shyam (call queue)","STEP 4: Final Calendly check")))))))</f>
        <v/>
      </c>
      <c r="F134" s="16">
        <f>IF(N134="",B134,IF(O134="",B134+2/24,IF(AND(O134="Not yet",P134=""),B134+2/24,IF(Q134="",B134+4/24,""))))</f>
        <v/>
      </c>
      <c r="G134" s="15" t="inlineStr">
        <is>
          <t>Chetan</t>
        </is>
      </c>
      <c r="H134" s="15" t="inlineStr">
        <is>
          <t>Google</t>
        </is>
      </c>
      <c r="I134" s="15" t="inlineStr">
        <is>
          <t>Round1</t>
        </is>
      </c>
      <c r="J134" s="18" t="inlineStr">
        <is>
          <t>+91 9920264452</t>
        </is>
      </c>
      <c r="K134" s="15" t="inlineStr">
        <is>
          <t>chetan@weekday.works</t>
        </is>
      </c>
      <c r="L134" s="15" t="inlineStr">
        <is>
          <t>&lt;calendly_link&gt;</t>
        </is>
      </c>
      <c r="M134" s="15" t="inlineStr">
        <is>
          <t>Yes</t>
        </is>
      </c>
      <c r="N134" s="15" t="n"/>
      <c r="O134" s="15" t="n"/>
      <c r="P134" s="15" t="n"/>
      <c r="Q134" s="15" t="n"/>
      <c r="R134" s="15">
        <f>IF(OR(O134="Scheduled",Q134="Scheduled"),"SCHEDULED",IF(Q134="Escalate to call","ESCALATED TO CALL",IF(N134="Bad contact","BAD CONTACT",IF(N134="","NOT STARTED","IN PROGRESS"))))</f>
        <v/>
      </c>
      <c r="S134" s="15" t="n"/>
    </row>
    <row r="135">
      <c r="A135" s="15" t="inlineStr">
        <is>
          <t>REQ-0134</t>
        </is>
      </c>
      <c r="B135" s="16" t="n">
        <v>44867.82708333333</v>
      </c>
      <c r="C135" s="16">
        <f>B135+1</f>
        <v/>
      </c>
      <c r="D135" s="17">
        <f>(C135-NOW())*24</f>
        <v/>
      </c>
      <c r="E135" s="15">
        <f>IF(N135="","STEP 1: Send WhatsApp + Email blast now (Playbook M1)",IF(N135="Bad contact","STOP: report bad contact to lead (Playbook)",IF(O135="Scheduled","DONE: scheduled via Calendly",IF(O135="","STEP 2: Check Calendly now",IF(P135="","STEP 3: Send WhatsApp nudge (Playbook M2)",IF(Q135="Scheduled","DONE: scheduled via Calendly",IF(Q135="Escalate to call","HANDED to Shyam (call queue)","STEP 4: Final Calendly check")))))))</f>
        <v/>
      </c>
      <c r="F135" s="16">
        <f>IF(N135="",B135,IF(O135="",B135+2/24,IF(AND(O135="Not yet",P135=""),B135+2/24,IF(Q135="",B135+4/24,""))))</f>
        <v/>
      </c>
      <c r="G135" s="15" t="inlineStr">
        <is>
          <t>Chetan</t>
        </is>
      </c>
      <c r="H135" s="15" t="inlineStr">
        <is>
          <t>Google</t>
        </is>
      </c>
      <c r="I135" s="15" t="inlineStr">
        <is>
          <t>Round1</t>
        </is>
      </c>
      <c r="J135" s="18" t="inlineStr">
        <is>
          <t>+91 9920264452</t>
        </is>
      </c>
      <c r="K135" s="15" t="inlineStr">
        <is>
          <t>chetan@weekday.works</t>
        </is>
      </c>
      <c r="L135" s="15" t="inlineStr">
        <is>
          <t>&lt;calendly_link&gt;</t>
        </is>
      </c>
      <c r="M135" s="15" t="inlineStr">
        <is>
          <t>Yes</t>
        </is>
      </c>
      <c r="N135" s="15" t="n"/>
      <c r="O135" s="15" t="n"/>
      <c r="P135" s="15" t="n"/>
      <c r="Q135" s="15" t="n"/>
      <c r="R135" s="15">
        <f>IF(OR(O135="Scheduled",Q135="Scheduled"),"SCHEDULED",IF(Q135="Escalate to call","ESCALATED TO CALL",IF(N135="Bad contact","BAD CONTACT",IF(N135="","NOT STARTED","IN PROGRESS"))))</f>
        <v/>
      </c>
      <c r="S135" s="15" t="n"/>
    </row>
    <row r="136">
      <c r="A136" s="15" t="inlineStr">
        <is>
          <t>REQ-0135</t>
        </is>
      </c>
      <c r="B136" s="16" t="n">
        <v>44867.82708333333</v>
      </c>
      <c r="C136" s="16">
        <f>B136+1</f>
        <v/>
      </c>
      <c r="D136" s="17">
        <f>(C136-NOW())*24</f>
        <v/>
      </c>
      <c r="E136" s="15">
        <f>IF(N136="","STEP 1: Send WhatsApp + Email blast now (Playbook M1)",IF(N136="Bad contact","STOP: report bad contact to lead (Playbook)",IF(O136="Scheduled","DONE: scheduled via Calendly",IF(O136="","STEP 2: Check Calendly now",IF(P136="","STEP 3: Send WhatsApp nudge (Playbook M2)",IF(Q136="Scheduled","DONE: scheduled via Calendly",IF(Q136="Escalate to call","HANDED to Shyam (call queue)","STEP 4: Final Calendly check")))))))</f>
        <v/>
      </c>
      <c r="F136" s="16">
        <f>IF(N136="",B136,IF(O136="",B136+2/24,IF(AND(O136="Not yet",P136=""),B136+2/24,IF(Q136="",B136+4/24,""))))</f>
        <v/>
      </c>
      <c r="G136" s="15" t="inlineStr">
        <is>
          <t>Chetan</t>
        </is>
      </c>
      <c r="H136" s="15" t="inlineStr">
        <is>
          <t>Google</t>
        </is>
      </c>
      <c r="I136" s="15" t="inlineStr">
        <is>
          <t>Round1</t>
        </is>
      </c>
      <c r="J136" s="18" t="inlineStr">
        <is>
          <t>+91 9920264452</t>
        </is>
      </c>
      <c r="K136" s="15" t="inlineStr">
        <is>
          <t>chetan@weekday.works</t>
        </is>
      </c>
      <c r="L136" s="15" t="inlineStr">
        <is>
          <t>&lt;calendly_link&gt;</t>
        </is>
      </c>
      <c r="M136" s="15" t="inlineStr">
        <is>
          <t>Yes</t>
        </is>
      </c>
      <c r="N136" s="15" t="n"/>
      <c r="O136" s="15" t="n"/>
      <c r="P136" s="15" t="n"/>
      <c r="Q136" s="15" t="n"/>
      <c r="R136" s="15">
        <f>IF(OR(O136="Scheduled",Q136="Scheduled"),"SCHEDULED",IF(Q136="Escalate to call","ESCALATED TO CALL",IF(N136="Bad contact","BAD CONTACT",IF(N136="","NOT STARTED","IN PROGRESS"))))</f>
        <v/>
      </c>
      <c r="S136" s="15" t="n"/>
    </row>
    <row r="137">
      <c r="A137" s="15" t="inlineStr">
        <is>
          <t>REQ-0136</t>
        </is>
      </c>
      <c r="B137" s="16" t="n">
        <v>44867.82708333333</v>
      </c>
      <c r="C137" s="16">
        <f>B137+1</f>
        <v/>
      </c>
      <c r="D137" s="17">
        <f>(C137-NOW())*24</f>
        <v/>
      </c>
      <c r="E137" s="15">
        <f>IF(N137="","STEP 1: Send WhatsApp + Email blast now (Playbook M1)",IF(N137="Bad contact","STOP: report bad contact to lead (Playbook)",IF(O137="Scheduled","DONE: scheduled via Calendly",IF(O137="","STEP 2: Check Calendly now",IF(P137="","STEP 3: Send WhatsApp nudge (Playbook M2)",IF(Q137="Scheduled","DONE: scheduled via Calendly",IF(Q137="Escalate to call","HANDED to Shyam (call queue)","STEP 4: Final Calendly check")))))))</f>
        <v/>
      </c>
      <c r="F137" s="16">
        <f>IF(N137="",B137,IF(O137="",B137+2/24,IF(AND(O137="Not yet",P137=""),B137+2/24,IF(Q137="",B137+4/24,""))))</f>
        <v/>
      </c>
      <c r="G137" s="15" t="inlineStr">
        <is>
          <t>Chetan</t>
        </is>
      </c>
      <c r="H137" s="15" t="inlineStr">
        <is>
          <t>Google</t>
        </is>
      </c>
      <c r="I137" s="15" t="inlineStr">
        <is>
          <t>Round1</t>
        </is>
      </c>
      <c r="J137" s="18" t="inlineStr">
        <is>
          <t>+91 9920264452</t>
        </is>
      </c>
      <c r="K137" s="15" t="inlineStr">
        <is>
          <t>chetan@weekday.works</t>
        </is>
      </c>
      <c r="L137" s="15" t="inlineStr">
        <is>
          <t>&lt;calendly_link&gt;</t>
        </is>
      </c>
      <c r="M137" s="15" t="inlineStr">
        <is>
          <t>Yes</t>
        </is>
      </c>
      <c r="N137" s="15" t="n"/>
      <c r="O137" s="15" t="n"/>
      <c r="P137" s="15" t="n"/>
      <c r="Q137" s="15" t="n"/>
      <c r="R137" s="15">
        <f>IF(OR(O137="Scheduled",Q137="Scheduled"),"SCHEDULED",IF(Q137="Escalate to call","ESCALATED TO CALL",IF(N137="Bad contact","BAD CONTACT",IF(N137="","NOT STARTED","IN PROGRESS"))))</f>
        <v/>
      </c>
      <c r="S137" s="15" t="n"/>
    </row>
    <row r="138">
      <c r="A138" s="15" t="inlineStr">
        <is>
          <t>REQ-0137</t>
        </is>
      </c>
      <c r="B138" s="16" t="n">
        <v>44867.82708333333</v>
      </c>
      <c r="C138" s="16">
        <f>B138+1</f>
        <v/>
      </c>
      <c r="D138" s="17">
        <f>(C138-NOW())*24</f>
        <v/>
      </c>
      <c r="E138" s="15">
        <f>IF(N138="","STEP 1: Send WhatsApp + Email blast now (Playbook M1)",IF(N138="Bad contact","STOP: report bad contact to lead (Playbook)",IF(O138="Scheduled","DONE: scheduled via Calendly",IF(O138="","STEP 2: Check Calendly now",IF(P138="","STEP 3: Send WhatsApp nudge (Playbook M2)",IF(Q138="Scheduled","DONE: scheduled via Calendly",IF(Q138="Escalate to call","HANDED to Shyam (call queue)","STEP 4: Final Calendly check")))))))</f>
        <v/>
      </c>
      <c r="F138" s="16">
        <f>IF(N138="",B138,IF(O138="",B138+2/24,IF(AND(O138="Not yet",P138=""),B138+2/24,IF(Q138="",B138+4/24,""))))</f>
        <v/>
      </c>
      <c r="G138" s="15" t="inlineStr">
        <is>
          <t>Chetan</t>
        </is>
      </c>
      <c r="H138" s="15" t="inlineStr">
        <is>
          <t>Google</t>
        </is>
      </c>
      <c r="I138" s="15" t="inlineStr">
        <is>
          <t>Round1</t>
        </is>
      </c>
      <c r="J138" s="18" t="inlineStr">
        <is>
          <t>+91 9920264452</t>
        </is>
      </c>
      <c r="K138" s="15" t="inlineStr">
        <is>
          <t>chetan@weekday.works</t>
        </is>
      </c>
      <c r="L138" s="15" t="inlineStr">
        <is>
          <t>&lt;calendly_link&gt;</t>
        </is>
      </c>
      <c r="M138" s="15" t="inlineStr">
        <is>
          <t>Yes</t>
        </is>
      </c>
      <c r="N138" s="15" t="n"/>
      <c r="O138" s="15" t="n"/>
      <c r="P138" s="15" t="n"/>
      <c r="Q138" s="15" t="n"/>
      <c r="R138" s="15">
        <f>IF(OR(O138="Scheduled",Q138="Scheduled"),"SCHEDULED",IF(Q138="Escalate to call","ESCALATED TO CALL",IF(N138="Bad contact","BAD CONTACT",IF(N138="","NOT STARTED","IN PROGRESS"))))</f>
        <v/>
      </c>
      <c r="S138" s="15" t="n"/>
    </row>
    <row r="139">
      <c r="A139" s="15" t="inlineStr">
        <is>
          <t>REQ-0138</t>
        </is>
      </c>
      <c r="B139" s="16" t="n">
        <v>44867.82708333333</v>
      </c>
      <c r="C139" s="16">
        <f>B139+1</f>
        <v/>
      </c>
      <c r="D139" s="17">
        <f>(C139-NOW())*24</f>
        <v/>
      </c>
      <c r="E139" s="15">
        <f>IF(N139="","STEP 1: Send WhatsApp + Email blast now (Playbook M1)",IF(N139="Bad contact","STOP: report bad contact to lead (Playbook)",IF(O139="Scheduled","DONE: scheduled via Calendly",IF(O139="","STEP 2: Check Calendly now",IF(P139="","STEP 3: Send WhatsApp nudge (Playbook M2)",IF(Q139="Scheduled","DONE: scheduled via Calendly",IF(Q139="Escalate to call","HANDED to Shyam (call queue)","STEP 4: Final Calendly check")))))))</f>
        <v/>
      </c>
      <c r="F139" s="16">
        <f>IF(N139="",B139,IF(O139="",B139+2/24,IF(AND(O139="Not yet",P139=""),B139+2/24,IF(Q139="",B139+4/24,""))))</f>
        <v/>
      </c>
      <c r="G139" s="15" t="inlineStr">
        <is>
          <t>Chetan</t>
        </is>
      </c>
      <c r="H139" s="15" t="inlineStr">
        <is>
          <t>Google</t>
        </is>
      </c>
      <c r="I139" s="15" t="inlineStr">
        <is>
          <t>Round1</t>
        </is>
      </c>
      <c r="J139" s="18" t="inlineStr">
        <is>
          <t>+91 9920264452</t>
        </is>
      </c>
      <c r="K139" s="15" t="inlineStr">
        <is>
          <t>chetan@weekday.works</t>
        </is>
      </c>
      <c r="L139" s="15" t="inlineStr">
        <is>
          <t>&lt;calendly_link&gt;</t>
        </is>
      </c>
      <c r="M139" s="15" t="inlineStr">
        <is>
          <t>Yes</t>
        </is>
      </c>
      <c r="N139" s="15" t="n"/>
      <c r="O139" s="15" t="n"/>
      <c r="P139" s="15" t="n"/>
      <c r="Q139" s="15" t="n"/>
      <c r="R139" s="15">
        <f>IF(OR(O139="Scheduled",Q139="Scheduled"),"SCHEDULED",IF(Q139="Escalate to call","ESCALATED TO CALL",IF(N139="Bad contact","BAD CONTACT",IF(N139="","NOT STARTED","IN PROGRESS"))))</f>
        <v/>
      </c>
      <c r="S139" s="15" t="n"/>
    </row>
    <row r="140">
      <c r="A140" s="15" t="inlineStr">
        <is>
          <t>REQ-0139</t>
        </is>
      </c>
      <c r="B140" s="16" t="n">
        <v>44867.82708333333</v>
      </c>
      <c r="C140" s="16">
        <f>B140+1</f>
        <v/>
      </c>
      <c r="D140" s="17">
        <f>(C140-NOW())*24</f>
        <v/>
      </c>
      <c r="E140" s="15">
        <f>IF(N140="","STEP 1: Send WhatsApp + Email blast now (Playbook M1)",IF(N140="Bad contact","STOP: report bad contact to lead (Playbook)",IF(O140="Scheduled","DONE: scheduled via Calendly",IF(O140="","STEP 2: Check Calendly now",IF(P140="","STEP 3: Send WhatsApp nudge (Playbook M2)",IF(Q140="Scheduled","DONE: scheduled via Calendly",IF(Q140="Escalate to call","HANDED to Shyam (call queue)","STEP 4: Final Calendly check")))))))</f>
        <v/>
      </c>
      <c r="F140" s="16">
        <f>IF(N140="",B140,IF(O140="",B140+2/24,IF(AND(O140="Not yet",P140=""),B140+2/24,IF(Q140="",B140+4/24,""))))</f>
        <v/>
      </c>
      <c r="G140" s="15" t="inlineStr">
        <is>
          <t>Chetan</t>
        </is>
      </c>
      <c r="H140" s="15" t="inlineStr">
        <is>
          <t>Google</t>
        </is>
      </c>
      <c r="I140" s="15" t="inlineStr">
        <is>
          <t>Round1</t>
        </is>
      </c>
      <c r="J140" s="18" t="inlineStr">
        <is>
          <t>+91 9920264452</t>
        </is>
      </c>
      <c r="K140" s="15" t="inlineStr">
        <is>
          <t>chetan@weekday.works</t>
        </is>
      </c>
      <c r="L140" s="15" t="inlineStr">
        <is>
          <t>&lt;calendly_link&gt;</t>
        </is>
      </c>
      <c r="M140" s="15" t="inlineStr">
        <is>
          <t>Yes</t>
        </is>
      </c>
      <c r="N140" s="15" t="n"/>
      <c r="O140" s="15" t="n"/>
      <c r="P140" s="15" t="n"/>
      <c r="Q140" s="15" t="n"/>
      <c r="R140" s="15">
        <f>IF(OR(O140="Scheduled",Q140="Scheduled"),"SCHEDULED",IF(Q140="Escalate to call","ESCALATED TO CALL",IF(N140="Bad contact","BAD CONTACT",IF(N140="","NOT STARTED","IN PROGRESS"))))</f>
        <v/>
      </c>
      <c r="S140" s="15" t="n"/>
    </row>
    <row r="141">
      <c r="A141" s="15" t="inlineStr">
        <is>
          <t>REQ-0140</t>
        </is>
      </c>
      <c r="B141" s="16" t="n">
        <v>44867.82708333333</v>
      </c>
      <c r="C141" s="16">
        <f>B141+1</f>
        <v/>
      </c>
      <c r="D141" s="17">
        <f>(C141-NOW())*24</f>
        <v/>
      </c>
      <c r="E141" s="15">
        <f>IF(N141="","STEP 1: Send WhatsApp + Email blast now (Playbook M1)",IF(N141="Bad contact","STOP: report bad contact to lead (Playbook)",IF(O141="Scheduled","DONE: scheduled via Calendly",IF(O141="","STEP 2: Check Calendly now",IF(P141="","STEP 3: Send WhatsApp nudge (Playbook M2)",IF(Q141="Scheduled","DONE: scheduled via Calendly",IF(Q141="Escalate to call","HANDED to Shyam (call queue)","STEP 4: Final Calendly check")))))))</f>
        <v/>
      </c>
      <c r="F141" s="16">
        <f>IF(N141="",B141,IF(O141="",B141+2/24,IF(AND(O141="Not yet",P141=""),B141+2/24,IF(Q141="",B141+4/24,""))))</f>
        <v/>
      </c>
      <c r="G141" s="15" t="inlineStr">
        <is>
          <t>Chetan</t>
        </is>
      </c>
      <c r="H141" s="15" t="inlineStr">
        <is>
          <t>Google</t>
        </is>
      </c>
      <c r="I141" s="15" t="inlineStr">
        <is>
          <t>Round1</t>
        </is>
      </c>
      <c r="J141" s="18" t="inlineStr">
        <is>
          <t>+91 9920264452</t>
        </is>
      </c>
      <c r="K141" s="15" t="inlineStr">
        <is>
          <t>chetan@weekday.works</t>
        </is>
      </c>
      <c r="L141" s="15" t="inlineStr">
        <is>
          <t>&lt;calendly_link&gt;</t>
        </is>
      </c>
      <c r="M141" s="15" t="inlineStr">
        <is>
          <t>Yes</t>
        </is>
      </c>
      <c r="N141" s="15" t="n"/>
      <c r="O141" s="15" t="n"/>
      <c r="P141" s="15" t="n"/>
      <c r="Q141" s="15" t="n"/>
      <c r="R141" s="15">
        <f>IF(OR(O141="Scheduled",Q141="Scheduled"),"SCHEDULED",IF(Q141="Escalate to call","ESCALATED TO CALL",IF(N141="Bad contact","BAD CONTACT",IF(N141="","NOT STARTED","IN PROGRESS"))))</f>
        <v/>
      </c>
      <c r="S141" s="15" t="n"/>
    </row>
    <row r="142">
      <c r="A142" s="15" t="inlineStr">
        <is>
          <t>REQ-0141</t>
        </is>
      </c>
      <c r="B142" s="16" t="n">
        <v>44867.82708333333</v>
      </c>
      <c r="C142" s="16">
        <f>B142+1</f>
        <v/>
      </c>
      <c r="D142" s="17">
        <f>(C142-NOW())*24</f>
        <v/>
      </c>
      <c r="E142" s="15">
        <f>IF(N142="","STEP 1: Send WhatsApp + Email blast now (Playbook M1)",IF(N142="Bad contact","STOP: report bad contact to lead (Playbook)",IF(O142="Scheduled","DONE: scheduled via Calendly",IF(O142="","STEP 2: Check Calendly now",IF(P142="","STEP 3: Send WhatsApp nudge (Playbook M2)",IF(Q142="Scheduled","DONE: scheduled via Calendly",IF(Q142="Escalate to call","HANDED to Shyam (call queue)","STEP 4: Final Calendly check")))))))</f>
        <v/>
      </c>
      <c r="F142" s="16">
        <f>IF(N142="",B142,IF(O142="",B142+2/24,IF(AND(O142="Not yet",P142=""),B142+2/24,IF(Q142="",B142+4/24,""))))</f>
        <v/>
      </c>
      <c r="G142" s="15" t="inlineStr">
        <is>
          <t>Chetan</t>
        </is>
      </c>
      <c r="H142" s="15" t="inlineStr">
        <is>
          <t>Google</t>
        </is>
      </c>
      <c r="I142" s="15" t="inlineStr">
        <is>
          <t>Round1</t>
        </is>
      </c>
      <c r="J142" s="18" t="inlineStr">
        <is>
          <t>+91 9920264452</t>
        </is>
      </c>
      <c r="K142" s="15" t="inlineStr">
        <is>
          <t>chetan@weekday.works</t>
        </is>
      </c>
      <c r="L142" s="15" t="inlineStr">
        <is>
          <t>&lt;calendly_link&gt;</t>
        </is>
      </c>
      <c r="M142" s="15" t="inlineStr">
        <is>
          <t>Yes</t>
        </is>
      </c>
      <c r="N142" s="15" t="n"/>
      <c r="O142" s="15" t="n"/>
      <c r="P142" s="15" t="n"/>
      <c r="Q142" s="15" t="n"/>
      <c r="R142" s="15">
        <f>IF(OR(O142="Scheduled",Q142="Scheduled"),"SCHEDULED",IF(Q142="Escalate to call","ESCALATED TO CALL",IF(N142="Bad contact","BAD CONTACT",IF(N142="","NOT STARTED","IN PROGRESS"))))</f>
        <v/>
      </c>
      <c r="S142" s="15" t="n"/>
    </row>
    <row r="143">
      <c r="A143" s="15" t="inlineStr">
        <is>
          <t>REQ-0142</t>
        </is>
      </c>
      <c r="B143" s="16" t="n">
        <v>44867.82708333333</v>
      </c>
      <c r="C143" s="16">
        <f>B143+1</f>
        <v/>
      </c>
      <c r="D143" s="17">
        <f>(C143-NOW())*24</f>
        <v/>
      </c>
      <c r="E143" s="15">
        <f>IF(N143="","STEP 1: Send WhatsApp + Email blast now (Playbook M1)",IF(N143="Bad contact","STOP: report bad contact to lead (Playbook)",IF(O143="Scheduled","DONE: scheduled via Calendly",IF(O143="","STEP 2: Check Calendly now",IF(P143="","STEP 3: Send WhatsApp nudge (Playbook M2)",IF(Q143="Scheduled","DONE: scheduled via Calendly",IF(Q143="Escalate to call","HANDED to Shyam (call queue)","STEP 4: Final Calendly check")))))))</f>
        <v/>
      </c>
      <c r="F143" s="16">
        <f>IF(N143="",B143,IF(O143="",B143+2/24,IF(AND(O143="Not yet",P143=""),B143+2/24,IF(Q143="",B143+4/24,""))))</f>
        <v/>
      </c>
      <c r="G143" s="15" t="inlineStr">
        <is>
          <t>Chetan</t>
        </is>
      </c>
      <c r="H143" s="15" t="inlineStr">
        <is>
          <t>Google</t>
        </is>
      </c>
      <c r="I143" s="15" t="inlineStr">
        <is>
          <t>Round1</t>
        </is>
      </c>
      <c r="J143" s="18" t="inlineStr">
        <is>
          <t>+91 9920264452</t>
        </is>
      </c>
      <c r="K143" s="15" t="inlineStr">
        <is>
          <t>chetan@weekday.works</t>
        </is>
      </c>
      <c r="L143" s="15" t="inlineStr">
        <is>
          <t>&lt;calendly_link&gt;</t>
        </is>
      </c>
      <c r="M143" s="15" t="inlineStr">
        <is>
          <t>Yes</t>
        </is>
      </c>
      <c r="N143" s="15" t="n"/>
      <c r="O143" s="15" t="n"/>
      <c r="P143" s="15" t="n"/>
      <c r="Q143" s="15" t="n"/>
      <c r="R143" s="15">
        <f>IF(OR(O143="Scheduled",Q143="Scheduled"),"SCHEDULED",IF(Q143="Escalate to call","ESCALATED TO CALL",IF(N143="Bad contact","BAD CONTACT",IF(N143="","NOT STARTED","IN PROGRESS"))))</f>
        <v/>
      </c>
      <c r="S143" s="15" t="n"/>
    </row>
    <row r="144">
      <c r="A144" s="15" t="inlineStr">
        <is>
          <t>REQ-0143</t>
        </is>
      </c>
      <c r="B144" s="16" t="n">
        <v>44867.82708333333</v>
      </c>
      <c r="C144" s="16">
        <f>B144+1</f>
        <v/>
      </c>
      <c r="D144" s="17">
        <f>(C144-NOW())*24</f>
        <v/>
      </c>
      <c r="E144" s="15">
        <f>IF(N144="","STEP 1: Send WhatsApp + Email blast now (Playbook M1)",IF(N144="Bad contact","STOP: report bad contact to lead (Playbook)",IF(O144="Scheduled","DONE: scheduled via Calendly",IF(O144="","STEP 2: Check Calendly now",IF(P144="","STEP 3: Send WhatsApp nudge (Playbook M2)",IF(Q144="Scheduled","DONE: scheduled via Calendly",IF(Q144="Escalate to call","HANDED to Shyam (call queue)","STEP 4: Final Calendly check")))))))</f>
        <v/>
      </c>
      <c r="F144" s="16">
        <f>IF(N144="",B144,IF(O144="",B144+2/24,IF(AND(O144="Not yet",P144=""),B144+2/24,IF(Q144="",B144+4/24,""))))</f>
        <v/>
      </c>
      <c r="G144" s="15" t="inlineStr">
        <is>
          <t>Chetan</t>
        </is>
      </c>
      <c r="H144" s="15" t="inlineStr">
        <is>
          <t>Google</t>
        </is>
      </c>
      <c r="I144" s="15" t="inlineStr">
        <is>
          <t>Round1</t>
        </is>
      </c>
      <c r="J144" s="18" t="inlineStr">
        <is>
          <t>+91 9920264452</t>
        </is>
      </c>
      <c r="K144" s="15" t="inlineStr">
        <is>
          <t>chetan@weekday.works</t>
        </is>
      </c>
      <c r="L144" s="15" t="inlineStr">
        <is>
          <t>&lt;calendly_link&gt;</t>
        </is>
      </c>
      <c r="M144" s="15" t="inlineStr">
        <is>
          <t>Yes</t>
        </is>
      </c>
      <c r="N144" s="15" t="n"/>
      <c r="O144" s="15" t="n"/>
      <c r="P144" s="15" t="n"/>
      <c r="Q144" s="15" t="n"/>
      <c r="R144" s="15">
        <f>IF(OR(O144="Scheduled",Q144="Scheduled"),"SCHEDULED",IF(Q144="Escalate to call","ESCALATED TO CALL",IF(N144="Bad contact","BAD CONTACT",IF(N144="","NOT STARTED","IN PROGRESS"))))</f>
        <v/>
      </c>
      <c r="S144" s="15" t="n"/>
    </row>
    <row r="145">
      <c r="A145" s="15" t="inlineStr">
        <is>
          <t>REQ-0144</t>
        </is>
      </c>
      <c r="B145" s="16" t="n">
        <v>44867.82708333333</v>
      </c>
      <c r="C145" s="16">
        <f>B145+1</f>
        <v/>
      </c>
      <c r="D145" s="17">
        <f>(C145-NOW())*24</f>
        <v/>
      </c>
      <c r="E145" s="15">
        <f>IF(N145="","STEP 1: Send WhatsApp + Email blast now (Playbook M1)",IF(N145="Bad contact","STOP: report bad contact to lead (Playbook)",IF(O145="Scheduled","DONE: scheduled via Calendly",IF(O145="","STEP 2: Check Calendly now",IF(P145="","STEP 3: Send WhatsApp nudge (Playbook M2)",IF(Q145="Scheduled","DONE: scheduled via Calendly",IF(Q145="Escalate to call","HANDED to Shyam (call queue)","STEP 4: Final Calendly check")))))))</f>
        <v/>
      </c>
      <c r="F145" s="16">
        <f>IF(N145="",B145,IF(O145="",B145+2/24,IF(AND(O145="Not yet",P145=""),B145+2/24,IF(Q145="",B145+4/24,""))))</f>
        <v/>
      </c>
      <c r="G145" s="15" t="inlineStr">
        <is>
          <t>Chetan</t>
        </is>
      </c>
      <c r="H145" s="15" t="inlineStr">
        <is>
          <t>Google</t>
        </is>
      </c>
      <c r="I145" s="15" t="inlineStr">
        <is>
          <t>Round1</t>
        </is>
      </c>
      <c r="J145" s="18" t="inlineStr">
        <is>
          <t>+91 9920264452</t>
        </is>
      </c>
      <c r="K145" s="15" t="inlineStr">
        <is>
          <t>chetan@weekday.works</t>
        </is>
      </c>
      <c r="L145" s="15" t="inlineStr">
        <is>
          <t>&lt;calendly_link&gt;</t>
        </is>
      </c>
      <c r="M145" s="15" t="inlineStr">
        <is>
          <t>Yes</t>
        </is>
      </c>
      <c r="N145" s="15" t="n"/>
      <c r="O145" s="15" t="n"/>
      <c r="P145" s="15" t="n"/>
      <c r="Q145" s="15" t="n"/>
      <c r="R145" s="15">
        <f>IF(OR(O145="Scheduled",Q145="Scheduled"),"SCHEDULED",IF(Q145="Escalate to call","ESCALATED TO CALL",IF(N145="Bad contact","BAD CONTACT",IF(N145="","NOT STARTED","IN PROGRESS"))))</f>
        <v/>
      </c>
      <c r="S145" s="15" t="n"/>
    </row>
    <row r="146">
      <c r="A146" s="15" t="inlineStr">
        <is>
          <t>REQ-0145</t>
        </is>
      </c>
      <c r="B146" s="16" t="n">
        <v>44867.82708333333</v>
      </c>
      <c r="C146" s="16">
        <f>B146+1</f>
        <v/>
      </c>
      <c r="D146" s="17">
        <f>(C146-NOW())*24</f>
        <v/>
      </c>
      <c r="E146" s="15">
        <f>IF(N146="","STEP 1: Send WhatsApp + Email blast now (Playbook M1)",IF(N146="Bad contact","STOP: report bad contact to lead (Playbook)",IF(O146="Scheduled","DONE: scheduled via Calendly",IF(O146="","STEP 2: Check Calendly now",IF(P146="","STEP 3: Send WhatsApp nudge (Playbook M2)",IF(Q146="Scheduled","DONE: scheduled via Calendly",IF(Q146="Escalate to call","HANDED to Shyam (call queue)","STEP 4: Final Calendly check")))))))</f>
        <v/>
      </c>
      <c r="F146" s="16">
        <f>IF(N146="",B146,IF(O146="",B146+2/24,IF(AND(O146="Not yet",P146=""),B146+2/24,IF(Q146="",B146+4/24,""))))</f>
        <v/>
      </c>
      <c r="G146" s="15" t="inlineStr">
        <is>
          <t>Chetan</t>
        </is>
      </c>
      <c r="H146" s="15" t="inlineStr">
        <is>
          <t>Google</t>
        </is>
      </c>
      <c r="I146" s="15" t="inlineStr">
        <is>
          <t>Round1</t>
        </is>
      </c>
      <c r="J146" s="18" t="inlineStr">
        <is>
          <t>+91 9920264452</t>
        </is>
      </c>
      <c r="K146" s="15" t="inlineStr">
        <is>
          <t>chetan@weekday.works</t>
        </is>
      </c>
      <c r="L146" s="15" t="inlineStr">
        <is>
          <t>&lt;calendly_link&gt;</t>
        </is>
      </c>
      <c r="M146" s="15" t="inlineStr">
        <is>
          <t>Yes</t>
        </is>
      </c>
      <c r="N146" s="15" t="n"/>
      <c r="O146" s="15" t="n"/>
      <c r="P146" s="15" t="n"/>
      <c r="Q146" s="15" t="n"/>
      <c r="R146" s="15">
        <f>IF(OR(O146="Scheduled",Q146="Scheduled"),"SCHEDULED",IF(Q146="Escalate to call","ESCALATED TO CALL",IF(N146="Bad contact","BAD CONTACT",IF(N146="","NOT STARTED","IN PROGRESS"))))</f>
        <v/>
      </c>
      <c r="S146" s="15" t="n"/>
    </row>
    <row r="147">
      <c r="A147" s="15" t="inlineStr">
        <is>
          <t>REQ-0146</t>
        </is>
      </c>
      <c r="B147" s="16" t="n">
        <v>44867.82708333333</v>
      </c>
      <c r="C147" s="16">
        <f>B147+1</f>
        <v/>
      </c>
      <c r="D147" s="17">
        <f>(C147-NOW())*24</f>
        <v/>
      </c>
      <c r="E147" s="15">
        <f>IF(N147="","STEP 1: Send WhatsApp + Email blast now (Playbook M1)",IF(N147="Bad contact","STOP: report bad contact to lead (Playbook)",IF(O147="Scheduled","DONE: scheduled via Calendly",IF(O147="","STEP 2: Check Calendly now",IF(P147="","STEP 3: Send WhatsApp nudge (Playbook M2)",IF(Q147="Scheduled","DONE: scheduled via Calendly",IF(Q147="Escalate to call","HANDED to Shyam (call queue)","STEP 4: Final Calendly check")))))))</f>
        <v/>
      </c>
      <c r="F147" s="16">
        <f>IF(N147="",B147,IF(O147="",B147+2/24,IF(AND(O147="Not yet",P147=""),B147+2/24,IF(Q147="",B147+4/24,""))))</f>
        <v/>
      </c>
      <c r="G147" s="15" t="inlineStr">
        <is>
          <t>Chetan</t>
        </is>
      </c>
      <c r="H147" s="15" t="inlineStr">
        <is>
          <t>Google</t>
        </is>
      </c>
      <c r="I147" s="15" t="inlineStr">
        <is>
          <t>Round1</t>
        </is>
      </c>
      <c r="J147" s="18" t="inlineStr">
        <is>
          <t>+91 9920264452</t>
        </is>
      </c>
      <c r="K147" s="15" t="inlineStr">
        <is>
          <t>chetan@weekday.works</t>
        </is>
      </c>
      <c r="L147" s="15" t="inlineStr">
        <is>
          <t>&lt;calendly_link&gt;</t>
        </is>
      </c>
      <c r="M147" s="15" t="inlineStr">
        <is>
          <t>Yes</t>
        </is>
      </c>
      <c r="N147" s="15" t="n"/>
      <c r="O147" s="15" t="n"/>
      <c r="P147" s="15" t="n"/>
      <c r="Q147" s="15" t="n"/>
      <c r="R147" s="15">
        <f>IF(OR(O147="Scheduled",Q147="Scheduled"),"SCHEDULED",IF(Q147="Escalate to call","ESCALATED TO CALL",IF(N147="Bad contact","BAD CONTACT",IF(N147="","NOT STARTED","IN PROGRESS"))))</f>
        <v/>
      </c>
      <c r="S147" s="15" t="n"/>
    </row>
    <row r="148">
      <c r="A148" s="15" t="inlineStr">
        <is>
          <t>REQ-0147</t>
        </is>
      </c>
      <c r="B148" s="16" t="n">
        <v>44867.82708333333</v>
      </c>
      <c r="C148" s="16">
        <f>B148+1</f>
        <v/>
      </c>
      <c r="D148" s="17">
        <f>(C148-NOW())*24</f>
        <v/>
      </c>
      <c r="E148" s="15">
        <f>IF(N148="","STEP 1: Send WhatsApp + Email blast now (Playbook M1)",IF(N148="Bad contact","STOP: report bad contact to lead (Playbook)",IF(O148="Scheduled","DONE: scheduled via Calendly",IF(O148="","STEP 2: Check Calendly now",IF(P148="","STEP 3: Send WhatsApp nudge (Playbook M2)",IF(Q148="Scheduled","DONE: scheduled via Calendly",IF(Q148="Escalate to call","HANDED to Shyam (call queue)","STEP 4: Final Calendly check")))))))</f>
        <v/>
      </c>
      <c r="F148" s="16">
        <f>IF(N148="",B148,IF(O148="",B148+2/24,IF(AND(O148="Not yet",P148=""),B148+2/24,IF(Q148="",B148+4/24,""))))</f>
        <v/>
      </c>
      <c r="G148" s="15" t="inlineStr">
        <is>
          <t>Chetan</t>
        </is>
      </c>
      <c r="H148" s="15" t="inlineStr">
        <is>
          <t>Google</t>
        </is>
      </c>
      <c r="I148" s="15" t="inlineStr">
        <is>
          <t>Round1</t>
        </is>
      </c>
      <c r="J148" s="18" t="inlineStr">
        <is>
          <t>+91 9920264452</t>
        </is>
      </c>
      <c r="K148" s="15" t="inlineStr">
        <is>
          <t>chetan@weekday.works</t>
        </is>
      </c>
      <c r="L148" s="15" t="inlineStr">
        <is>
          <t>&lt;calendly_link&gt;</t>
        </is>
      </c>
      <c r="M148" s="15" t="inlineStr">
        <is>
          <t>Yes</t>
        </is>
      </c>
      <c r="N148" s="15" t="n"/>
      <c r="O148" s="15" t="n"/>
      <c r="P148" s="15" t="n"/>
      <c r="Q148" s="15" t="n"/>
      <c r="R148" s="15">
        <f>IF(OR(O148="Scheduled",Q148="Scheduled"),"SCHEDULED",IF(Q148="Escalate to call","ESCALATED TO CALL",IF(N148="Bad contact","BAD CONTACT",IF(N148="","NOT STARTED","IN PROGRESS"))))</f>
        <v/>
      </c>
      <c r="S148" s="15" t="n"/>
    </row>
    <row r="149">
      <c r="A149" s="15" t="inlineStr">
        <is>
          <t>REQ-0148</t>
        </is>
      </c>
      <c r="B149" s="16" t="n">
        <v>44867.82708333333</v>
      </c>
      <c r="C149" s="16">
        <f>B149+1</f>
        <v/>
      </c>
      <c r="D149" s="17">
        <f>(C149-NOW())*24</f>
        <v/>
      </c>
      <c r="E149" s="15">
        <f>IF(N149="","STEP 1: Send WhatsApp + Email blast now (Playbook M1)",IF(N149="Bad contact","STOP: report bad contact to lead (Playbook)",IF(O149="Scheduled","DONE: scheduled via Calendly",IF(O149="","STEP 2: Check Calendly now",IF(P149="","STEP 3: Send WhatsApp nudge (Playbook M2)",IF(Q149="Scheduled","DONE: scheduled via Calendly",IF(Q149="Escalate to call","HANDED to Shyam (call queue)","STEP 4: Final Calendly check")))))))</f>
        <v/>
      </c>
      <c r="F149" s="16">
        <f>IF(N149="",B149,IF(O149="",B149+2/24,IF(AND(O149="Not yet",P149=""),B149+2/24,IF(Q149="",B149+4/24,""))))</f>
        <v/>
      </c>
      <c r="G149" s="15" t="inlineStr">
        <is>
          <t>Chetan</t>
        </is>
      </c>
      <c r="H149" s="15" t="inlineStr">
        <is>
          <t>Google</t>
        </is>
      </c>
      <c r="I149" s="15" t="inlineStr">
        <is>
          <t>Round1</t>
        </is>
      </c>
      <c r="J149" s="18" t="inlineStr">
        <is>
          <t>+91 9920264452</t>
        </is>
      </c>
      <c r="K149" s="15" t="inlineStr">
        <is>
          <t>chetan@weekday.works</t>
        </is>
      </c>
      <c r="L149" s="15" t="inlineStr">
        <is>
          <t>&lt;calendly_link&gt;</t>
        </is>
      </c>
      <c r="M149" s="15" t="inlineStr">
        <is>
          <t>Yes</t>
        </is>
      </c>
      <c r="N149" s="15" t="n"/>
      <c r="O149" s="15" t="n"/>
      <c r="P149" s="15" t="n"/>
      <c r="Q149" s="15" t="n"/>
      <c r="R149" s="15">
        <f>IF(OR(O149="Scheduled",Q149="Scheduled"),"SCHEDULED",IF(Q149="Escalate to call","ESCALATED TO CALL",IF(N149="Bad contact","BAD CONTACT",IF(N149="","NOT STARTED","IN PROGRESS"))))</f>
        <v/>
      </c>
      <c r="S149" s="15" t="n"/>
    </row>
    <row r="150">
      <c r="A150" s="15" t="inlineStr">
        <is>
          <t>REQ-0149</t>
        </is>
      </c>
      <c r="B150" s="16" t="n">
        <v>44867.82708333333</v>
      </c>
      <c r="C150" s="16">
        <f>B150+1</f>
        <v/>
      </c>
      <c r="D150" s="17">
        <f>(C150-NOW())*24</f>
        <v/>
      </c>
      <c r="E150" s="15">
        <f>IF(N150="","STEP 1: Send WhatsApp + Email blast now (Playbook M1)",IF(N150="Bad contact","STOP: report bad contact to lead (Playbook)",IF(O150="Scheduled","DONE: scheduled via Calendly",IF(O150="","STEP 2: Check Calendly now",IF(P150="","STEP 3: Send WhatsApp nudge (Playbook M2)",IF(Q150="Scheduled","DONE: scheduled via Calendly",IF(Q150="Escalate to call","HANDED to Shyam (call queue)","STEP 4: Final Calendly check")))))))</f>
        <v/>
      </c>
      <c r="F150" s="16">
        <f>IF(N150="",B150,IF(O150="",B150+2/24,IF(AND(O150="Not yet",P150=""),B150+2/24,IF(Q150="",B150+4/24,""))))</f>
        <v/>
      </c>
      <c r="G150" s="15" t="inlineStr">
        <is>
          <t>Chetan</t>
        </is>
      </c>
      <c r="H150" s="15" t="inlineStr">
        <is>
          <t>Google</t>
        </is>
      </c>
      <c r="I150" s="15" t="inlineStr">
        <is>
          <t>Round1</t>
        </is>
      </c>
      <c r="J150" s="18" t="inlineStr">
        <is>
          <t>+91 9920264452</t>
        </is>
      </c>
      <c r="K150" s="15" t="inlineStr">
        <is>
          <t>chetan@weekday.works</t>
        </is>
      </c>
      <c r="L150" s="15" t="inlineStr">
        <is>
          <t>&lt;calendly_link&gt;</t>
        </is>
      </c>
      <c r="M150" s="15" t="inlineStr">
        <is>
          <t>Yes</t>
        </is>
      </c>
      <c r="N150" s="15" t="n"/>
      <c r="O150" s="15" t="n"/>
      <c r="P150" s="15" t="n"/>
      <c r="Q150" s="15" t="n"/>
      <c r="R150" s="15">
        <f>IF(OR(O150="Scheduled",Q150="Scheduled"),"SCHEDULED",IF(Q150="Escalate to call","ESCALATED TO CALL",IF(N150="Bad contact","BAD CONTACT",IF(N150="","NOT STARTED","IN PROGRESS"))))</f>
        <v/>
      </c>
      <c r="S150" s="15" t="n"/>
    </row>
    <row r="151">
      <c r="A151" s="15" t="inlineStr">
        <is>
          <t>REQ-0150</t>
        </is>
      </c>
      <c r="B151" s="16" t="n">
        <v>44867.82708333333</v>
      </c>
      <c r="C151" s="16">
        <f>B151+1</f>
        <v/>
      </c>
      <c r="D151" s="17">
        <f>(C151-NOW())*24</f>
        <v/>
      </c>
      <c r="E151" s="15">
        <f>IF(N151="","STEP 1: Send WhatsApp + Email blast now (Playbook M1)",IF(N151="Bad contact","STOP: report bad contact to lead (Playbook)",IF(O151="Scheduled","DONE: scheduled via Calendly",IF(O151="","STEP 2: Check Calendly now",IF(P151="","STEP 3: Send WhatsApp nudge (Playbook M2)",IF(Q151="Scheduled","DONE: scheduled via Calendly",IF(Q151="Escalate to call","HANDED to Shyam (call queue)","STEP 4: Final Calendly check")))))))</f>
        <v/>
      </c>
      <c r="F151" s="16">
        <f>IF(N151="",B151,IF(O151="",B151+2/24,IF(AND(O151="Not yet",P151=""),B151+2/24,IF(Q151="",B151+4/24,""))))</f>
        <v/>
      </c>
      <c r="G151" s="15" t="inlineStr">
        <is>
          <t>Chetan</t>
        </is>
      </c>
      <c r="H151" s="15" t="inlineStr">
        <is>
          <t>Google</t>
        </is>
      </c>
      <c r="I151" s="15" t="inlineStr">
        <is>
          <t>Round1</t>
        </is>
      </c>
      <c r="J151" s="18" t="inlineStr">
        <is>
          <t>+91 9920264452</t>
        </is>
      </c>
      <c r="K151" s="15" t="inlineStr">
        <is>
          <t>chetan@weekday.works</t>
        </is>
      </c>
      <c r="L151" s="15" t="inlineStr">
        <is>
          <t>&lt;calendly_link&gt;</t>
        </is>
      </c>
      <c r="M151" s="15" t="inlineStr">
        <is>
          <t>Yes</t>
        </is>
      </c>
      <c r="N151" s="15" t="n"/>
      <c r="O151" s="15" t="n"/>
      <c r="P151" s="15" t="n"/>
      <c r="Q151" s="15" t="n"/>
      <c r="R151" s="15">
        <f>IF(OR(O151="Scheduled",Q151="Scheduled"),"SCHEDULED",IF(Q151="Escalate to call","ESCALATED TO CALL",IF(N151="Bad contact","BAD CONTACT",IF(N151="","NOT STARTED","IN PROGRESS"))))</f>
        <v/>
      </c>
      <c r="S151" s="15" t="n"/>
    </row>
    <row r="152">
      <c r="A152" s="15" t="inlineStr">
        <is>
          <t>REQ-0151</t>
        </is>
      </c>
      <c r="B152" s="16" t="n">
        <v>44867.82708333333</v>
      </c>
      <c r="C152" s="16">
        <f>B152+1</f>
        <v/>
      </c>
      <c r="D152" s="17">
        <f>(C152-NOW())*24</f>
        <v/>
      </c>
      <c r="E152" s="15">
        <f>IF(N152="","STEP 1: Send WhatsApp + Email blast now (Playbook M1)",IF(N152="Bad contact","STOP: report bad contact to lead (Playbook)",IF(O152="Scheduled","DONE: scheduled via Calendly",IF(O152="","STEP 2: Check Calendly now",IF(P152="","STEP 3: Send WhatsApp nudge (Playbook M2)",IF(Q152="Scheduled","DONE: scheduled via Calendly",IF(Q152="Escalate to call","HANDED to Shyam (call queue)","STEP 4: Final Calendly check")))))))</f>
        <v/>
      </c>
      <c r="F152" s="16">
        <f>IF(N152="",B152,IF(O152="",B152+2/24,IF(AND(O152="Not yet",P152=""),B152+2/24,IF(Q152="",B152+4/24,""))))</f>
        <v/>
      </c>
      <c r="G152" s="15" t="inlineStr">
        <is>
          <t>Chetan</t>
        </is>
      </c>
      <c r="H152" s="15" t="inlineStr">
        <is>
          <t>Google</t>
        </is>
      </c>
      <c r="I152" s="15" t="inlineStr">
        <is>
          <t>Round1</t>
        </is>
      </c>
      <c r="J152" s="18" t="inlineStr">
        <is>
          <t>+91 9920264452</t>
        </is>
      </c>
      <c r="K152" s="15" t="inlineStr">
        <is>
          <t>chetan@weekday.works</t>
        </is>
      </c>
      <c r="L152" s="15" t="inlineStr">
        <is>
          <t>&lt;calendly_link&gt;</t>
        </is>
      </c>
      <c r="M152" s="15" t="inlineStr">
        <is>
          <t>Yes</t>
        </is>
      </c>
      <c r="N152" s="15" t="n"/>
      <c r="O152" s="15" t="n"/>
      <c r="P152" s="15" t="n"/>
      <c r="Q152" s="15" t="n"/>
      <c r="R152" s="15">
        <f>IF(OR(O152="Scheduled",Q152="Scheduled"),"SCHEDULED",IF(Q152="Escalate to call","ESCALATED TO CALL",IF(N152="Bad contact","BAD CONTACT",IF(N152="","NOT STARTED","IN PROGRESS"))))</f>
        <v/>
      </c>
      <c r="S152" s="15" t="n"/>
    </row>
    <row r="153">
      <c r="A153" s="15" t="inlineStr">
        <is>
          <t>REQ-0152</t>
        </is>
      </c>
      <c r="B153" s="16" t="n">
        <v>44867.82708333333</v>
      </c>
      <c r="C153" s="16">
        <f>B153+1</f>
        <v/>
      </c>
      <c r="D153" s="17">
        <f>(C153-NOW())*24</f>
        <v/>
      </c>
      <c r="E153" s="15">
        <f>IF(N153="","STEP 1: Send WhatsApp + Email blast now (Playbook M1)",IF(N153="Bad contact","STOP: report bad contact to lead (Playbook)",IF(O153="Scheduled","DONE: scheduled via Calendly",IF(O153="","STEP 2: Check Calendly now",IF(P153="","STEP 3: Send WhatsApp nudge (Playbook M2)",IF(Q153="Scheduled","DONE: scheduled via Calendly",IF(Q153="Escalate to call","HANDED to Shyam (call queue)","STEP 4: Final Calendly check")))))))</f>
        <v/>
      </c>
      <c r="F153" s="16">
        <f>IF(N153="",B153,IF(O153="",B153+2/24,IF(AND(O153="Not yet",P153=""),B153+2/24,IF(Q153="",B153+4/24,""))))</f>
        <v/>
      </c>
      <c r="G153" s="15" t="inlineStr">
        <is>
          <t>Chetan</t>
        </is>
      </c>
      <c r="H153" s="15" t="inlineStr">
        <is>
          <t>Google</t>
        </is>
      </c>
      <c r="I153" s="15" t="inlineStr">
        <is>
          <t>Round1</t>
        </is>
      </c>
      <c r="J153" s="18" t="inlineStr">
        <is>
          <t>+91 9920264452</t>
        </is>
      </c>
      <c r="K153" s="15" t="inlineStr">
        <is>
          <t>chetan@weekday.works</t>
        </is>
      </c>
      <c r="L153" s="15" t="inlineStr">
        <is>
          <t>&lt;calendly_link&gt;</t>
        </is>
      </c>
      <c r="M153" s="15" t="inlineStr">
        <is>
          <t>Yes</t>
        </is>
      </c>
      <c r="N153" s="15" t="n"/>
      <c r="O153" s="15" t="n"/>
      <c r="P153" s="15" t="n"/>
      <c r="Q153" s="15" t="n"/>
      <c r="R153" s="15">
        <f>IF(OR(O153="Scheduled",Q153="Scheduled"),"SCHEDULED",IF(Q153="Escalate to call","ESCALATED TO CALL",IF(N153="Bad contact","BAD CONTACT",IF(N153="","NOT STARTED","IN PROGRESS"))))</f>
        <v/>
      </c>
      <c r="S153" s="15" t="n"/>
    </row>
    <row r="154">
      <c r="A154" s="15" t="inlineStr">
        <is>
          <t>REQ-0153</t>
        </is>
      </c>
      <c r="B154" s="16" t="n">
        <v>44867.82708333333</v>
      </c>
      <c r="C154" s="16">
        <f>B154+1</f>
        <v/>
      </c>
      <c r="D154" s="17">
        <f>(C154-NOW())*24</f>
        <v/>
      </c>
      <c r="E154" s="15">
        <f>IF(N154="","STEP 1: Send WhatsApp + Email blast now (Playbook M1)",IF(N154="Bad contact","STOP: report bad contact to lead (Playbook)",IF(O154="Scheduled","DONE: scheduled via Calendly",IF(O154="","STEP 2: Check Calendly now",IF(P154="","STEP 3: Send WhatsApp nudge (Playbook M2)",IF(Q154="Scheduled","DONE: scheduled via Calendly",IF(Q154="Escalate to call","HANDED to Shyam (call queue)","STEP 4: Final Calendly check")))))))</f>
        <v/>
      </c>
      <c r="F154" s="16">
        <f>IF(N154="",B154,IF(O154="",B154+2/24,IF(AND(O154="Not yet",P154=""),B154+2/24,IF(Q154="",B154+4/24,""))))</f>
        <v/>
      </c>
      <c r="G154" s="15" t="inlineStr">
        <is>
          <t>Chetan</t>
        </is>
      </c>
      <c r="H154" s="15" t="inlineStr">
        <is>
          <t>Google</t>
        </is>
      </c>
      <c r="I154" s="15" t="inlineStr">
        <is>
          <t>Round1</t>
        </is>
      </c>
      <c r="J154" s="18" t="inlineStr">
        <is>
          <t>+91 9920264452</t>
        </is>
      </c>
      <c r="K154" s="15" t="inlineStr">
        <is>
          <t>chetan@weekday.works</t>
        </is>
      </c>
      <c r="L154" s="15" t="inlineStr">
        <is>
          <t>&lt;calendly_link&gt;</t>
        </is>
      </c>
      <c r="M154" s="15" t="inlineStr">
        <is>
          <t>Yes</t>
        </is>
      </c>
      <c r="N154" s="15" t="n"/>
      <c r="O154" s="15" t="n"/>
      <c r="P154" s="15" t="n"/>
      <c r="Q154" s="15" t="n"/>
      <c r="R154" s="15">
        <f>IF(OR(O154="Scheduled",Q154="Scheduled"),"SCHEDULED",IF(Q154="Escalate to call","ESCALATED TO CALL",IF(N154="Bad contact","BAD CONTACT",IF(N154="","NOT STARTED","IN PROGRESS"))))</f>
        <v/>
      </c>
      <c r="S154" s="15" t="n"/>
    </row>
    <row r="155">
      <c r="A155" s="15" t="inlineStr">
        <is>
          <t>REQ-0154</t>
        </is>
      </c>
      <c r="B155" s="16" t="n">
        <v>44867.82708333333</v>
      </c>
      <c r="C155" s="16">
        <f>B155+1</f>
        <v/>
      </c>
      <c r="D155" s="17">
        <f>(C155-NOW())*24</f>
        <v/>
      </c>
      <c r="E155" s="15">
        <f>IF(N155="","STEP 1: Send WhatsApp + Email blast now (Playbook M1)",IF(N155="Bad contact","STOP: report bad contact to lead (Playbook)",IF(O155="Scheduled","DONE: scheduled via Calendly",IF(O155="","STEP 2: Check Calendly now",IF(P155="","STEP 3: Send WhatsApp nudge (Playbook M2)",IF(Q155="Scheduled","DONE: scheduled via Calendly",IF(Q155="Escalate to call","HANDED to Shyam (call queue)","STEP 4: Final Calendly check")))))))</f>
        <v/>
      </c>
      <c r="F155" s="16">
        <f>IF(N155="",B155,IF(O155="",B155+2/24,IF(AND(O155="Not yet",P155=""),B155+2/24,IF(Q155="",B155+4/24,""))))</f>
        <v/>
      </c>
      <c r="G155" s="15" t="inlineStr">
        <is>
          <t>Chetan</t>
        </is>
      </c>
      <c r="H155" s="15" t="inlineStr">
        <is>
          <t>Google</t>
        </is>
      </c>
      <c r="I155" s="15" t="inlineStr">
        <is>
          <t>Round1</t>
        </is>
      </c>
      <c r="J155" s="18" t="inlineStr">
        <is>
          <t>+91 9920264452</t>
        </is>
      </c>
      <c r="K155" s="15" t="inlineStr">
        <is>
          <t>chetan@weekday.works</t>
        </is>
      </c>
      <c r="L155" s="15" t="inlineStr">
        <is>
          <t>&lt;calendly_link&gt;</t>
        </is>
      </c>
      <c r="M155" s="15" t="inlineStr">
        <is>
          <t>Yes</t>
        </is>
      </c>
      <c r="N155" s="15" t="n"/>
      <c r="O155" s="15" t="n"/>
      <c r="P155" s="15" t="n"/>
      <c r="Q155" s="15" t="n"/>
      <c r="R155" s="15">
        <f>IF(OR(O155="Scheduled",Q155="Scheduled"),"SCHEDULED",IF(Q155="Escalate to call","ESCALATED TO CALL",IF(N155="Bad contact","BAD CONTACT",IF(N155="","NOT STARTED","IN PROGRESS"))))</f>
        <v/>
      </c>
      <c r="S155" s="15" t="n"/>
    </row>
    <row r="156">
      <c r="A156" s="15" t="inlineStr">
        <is>
          <t>REQ-0155</t>
        </is>
      </c>
      <c r="B156" s="16" t="n">
        <v>44867.82708333333</v>
      </c>
      <c r="C156" s="16">
        <f>B156+1</f>
        <v/>
      </c>
      <c r="D156" s="17">
        <f>(C156-NOW())*24</f>
        <v/>
      </c>
      <c r="E156" s="15">
        <f>IF(N156="","STEP 1: Send WhatsApp + Email blast now (Playbook M1)",IF(N156="Bad contact","STOP: report bad contact to lead (Playbook)",IF(O156="Scheduled","DONE: scheduled via Calendly",IF(O156="","STEP 2: Check Calendly now",IF(P156="","STEP 3: Send WhatsApp nudge (Playbook M2)",IF(Q156="Scheduled","DONE: scheduled via Calendly",IF(Q156="Escalate to call","HANDED to Shyam (call queue)","STEP 4: Final Calendly check")))))))</f>
        <v/>
      </c>
      <c r="F156" s="16">
        <f>IF(N156="",B156,IF(O156="",B156+2/24,IF(AND(O156="Not yet",P156=""),B156+2/24,IF(Q156="",B156+4/24,""))))</f>
        <v/>
      </c>
      <c r="G156" s="15" t="inlineStr">
        <is>
          <t>Chetan</t>
        </is>
      </c>
      <c r="H156" s="15" t="inlineStr">
        <is>
          <t>Google</t>
        </is>
      </c>
      <c r="I156" s="15" t="inlineStr">
        <is>
          <t>Round1</t>
        </is>
      </c>
      <c r="J156" s="18" t="inlineStr">
        <is>
          <t>+91 9920264452</t>
        </is>
      </c>
      <c r="K156" s="15" t="inlineStr">
        <is>
          <t>chetan@weekday.works</t>
        </is>
      </c>
      <c r="L156" s="15" t="inlineStr">
        <is>
          <t>&lt;calendly_link&gt;</t>
        </is>
      </c>
      <c r="M156" s="15" t="inlineStr">
        <is>
          <t>Yes</t>
        </is>
      </c>
      <c r="N156" s="15" t="n"/>
      <c r="O156" s="15" t="n"/>
      <c r="P156" s="15" t="n"/>
      <c r="Q156" s="15" t="n"/>
      <c r="R156" s="15">
        <f>IF(OR(O156="Scheduled",Q156="Scheduled"),"SCHEDULED",IF(Q156="Escalate to call","ESCALATED TO CALL",IF(N156="Bad contact","BAD CONTACT",IF(N156="","NOT STARTED","IN PROGRESS"))))</f>
        <v/>
      </c>
      <c r="S156" s="15" t="n"/>
    </row>
    <row r="157">
      <c r="A157" s="15" t="inlineStr">
        <is>
          <t>REQ-0156</t>
        </is>
      </c>
      <c r="B157" s="16" t="n">
        <v>44867.82708333333</v>
      </c>
      <c r="C157" s="16">
        <f>B157+1</f>
        <v/>
      </c>
      <c r="D157" s="17">
        <f>(C157-NOW())*24</f>
        <v/>
      </c>
      <c r="E157" s="15">
        <f>IF(N157="","STEP 1: Send WhatsApp + Email blast now (Playbook M1)",IF(N157="Bad contact","STOP: report bad contact to lead (Playbook)",IF(O157="Scheduled","DONE: scheduled via Calendly",IF(O157="","STEP 2: Check Calendly now",IF(P157="","STEP 3: Send WhatsApp nudge (Playbook M2)",IF(Q157="Scheduled","DONE: scheduled via Calendly",IF(Q157="Escalate to call","HANDED to Shyam (call queue)","STEP 4: Final Calendly check")))))))</f>
        <v/>
      </c>
      <c r="F157" s="16">
        <f>IF(N157="",B157,IF(O157="",B157+2/24,IF(AND(O157="Not yet",P157=""),B157+2/24,IF(Q157="",B157+4/24,""))))</f>
        <v/>
      </c>
      <c r="G157" s="15" t="inlineStr">
        <is>
          <t>Chetan</t>
        </is>
      </c>
      <c r="H157" s="15" t="inlineStr">
        <is>
          <t>Google</t>
        </is>
      </c>
      <c r="I157" s="15" t="inlineStr">
        <is>
          <t>Round1</t>
        </is>
      </c>
      <c r="J157" s="18" t="inlineStr">
        <is>
          <t>+91 9920264452</t>
        </is>
      </c>
      <c r="K157" s="15" t="inlineStr">
        <is>
          <t>chetan@weekday.works</t>
        </is>
      </c>
      <c r="L157" s="15" t="inlineStr">
        <is>
          <t>&lt;calendly_link&gt;</t>
        </is>
      </c>
      <c r="M157" s="15" t="inlineStr">
        <is>
          <t>Yes</t>
        </is>
      </c>
      <c r="N157" s="15" t="n"/>
      <c r="O157" s="15" t="n"/>
      <c r="P157" s="15" t="n"/>
      <c r="Q157" s="15" t="n"/>
      <c r="R157" s="15">
        <f>IF(OR(O157="Scheduled",Q157="Scheduled"),"SCHEDULED",IF(Q157="Escalate to call","ESCALATED TO CALL",IF(N157="Bad contact","BAD CONTACT",IF(N157="","NOT STARTED","IN PROGRESS"))))</f>
        <v/>
      </c>
      <c r="S157" s="15" t="n"/>
    </row>
    <row r="158">
      <c r="A158" s="15" t="inlineStr">
        <is>
          <t>REQ-0157</t>
        </is>
      </c>
      <c r="B158" s="16" t="n">
        <v>44867.82708333333</v>
      </c>
      <c r="C158" s="16">
        <f>B158+1</f>
        <v/>
      </c>
      <c r="D158" s="17">
        <f>(C158-NOW())*24</f>
        <v/>
      </c>
      <c r="E158" s="15">
        <f>IF(N158="","STEP 1: Send WhatsApp + Email blast now (Playbook M1)",IF(N158="Bad contact","STOP: report bad contact to lead (Playbook)",IF(O158="Scheduled","DONE: scheduled via Calendly",IF(O158="","STEP 2: Check Calendly now",IF(P158="","STEP 3: Send WhatsApp nudge (Playbook M2)",IF(Q158="Scheduled","DONE: scheduled via Calendly",IF(Q158="Escalate to call","HANDED to Shyam (call queue)","STEP 4: Final Calendly check")))))))</f>
        <v/>
      </c>
      <c r="F158" s="16">
        <f>IF(N158="",B158,IF(O158="",B158+2/24,IF(AND(O158="Not yet",P158=""),B158+2/24,IF(Q158="",B158+4/24,""))))</f>
        <v/>
      </c>
      <c r="G158" s="15" t="inlineStr">
        <is>
          <t>Chetan</t>
        </is>
      </c>
      <c r="H158" s="15" t="inlineStr">
        <is>
          <t>Google</t>
        </is>
      </c>
      <c r="I158" s="15" t="inlineStr">
        <is>
          <t>Round1</t>
        </is>
      </c>
      <c r="J158" s="18" t="inlineStr">
        <is>
          <t>+91 9920264452</t>
        </is>
      </c>
      <c r="K158" s="15" t="inlineStr">
        <is>
          <t>chetan@weekday.works</t>
        </is>
      </c>
      <c r="L158" s="15" t="inlineStr">
        <is>
          <t>&lt;calendly_link&gt;</t>
        </is>
      </c>
      <c r="M158" s="15" t="inlineStr">
        <is>
          <t>Yes</t>
        </is>
      </c>
      <c r="N158" s="15" t="n"/>
      <c r="O158" s="15" t="n"/>
      <c r="P158" s="15" t="n"/>
      <c r="Q158" s="15" t="n"/>
      <c r="R158" s="15">
        <f>IF(OR(O158="Scheduled",Q158="Scheduled"),"SCHEDULED",IF(Q158="Escalate to call","ESCALATED TO CALL",IF(N158="Bad contact","BAD CONTACT",IF(N158="","NOT STARTED","IN PROGRESS"))))</f>
        <v/>
      </c>
      <c r="S158" s="15" t="n"/>
    </row>
    <row r="159">
      <c r="A159" s="15" t="inlineStr">
        <is>
          <t>REQ-0158</t>
        </is>
      </c>
      <c r="B159" s="16" t="n">
        <v>44867.82708333333</v>
      </c>
      <c r="C159" s="16">
        <f>B159+1</f>
        <v/>
      </c>
      <c r="D159" s="17">
        <f>(C159-NOW())*24</f>
        <v/>
      </c>
      <c r="E159" s="15">
        <f>IF(N159="","STEP 1: Send WhatsApp + Email blast now (Playbook M1)",IF(N159="Bad contact","STOP: report bad contact to lead (Playbook)",IF(O159="Scheduled","DONE: scheduled via Calendly",IF(O159="","STEP 2: Check Calendly now",IF(P159="","STEP 3: Send WhatsApp nudge (Playbook M2)",IF(Q159="Scheduled","DONE: scheduled via Calendly",IF(Q159="Escalate to call","HANDED to Shyam (call queue)","STEP 4: Final Calendly check")))))))</f>
        <v/>
      </c>
      <c r="F159" s="16">
        <f>IF(N159="",B159,IF(O159="",B159+2/24,IF(AND(O159="Not yet",P159=""),B159+2/24,IF(Q159="",B159+4/24,""))))</f>
        <v/>
      </c>
      <c r="G159" s="15" t="inlineStr">
        <is>
          <t>Chetan</t>
        </is>
      </c>
      <c r="H159" s="15" t="inlineStr">
        <is>
          <t>Google</t>
        </is>
      </c>
      <c r="I159" s="15" t="inlineStr">
        <is>
          <t>Round1</t>
        </is>
      </c>
      <c r="J159" s="18" t="inlineStr">
        <is>
          <t>+91 9920264452</t>
        </is>
      </c>
      <c r="K159" s="15" t="inlineStr">
        <is>
          <t>chetan@weekday.works</t>
        </is>
      </c>
      <c r="L159" s="15" t="inlineStr">
        <is>
          <t>&lt;calendly_link&gt;</t>
        </is>
      </c>
      <c r="M159" s="15" t="inlineStr">
        <is>
          <t>Yes</t>
        </is>
      </c>
      <c r="N159" s="15" t="n"/>
      <c r="O159" s="15" t="n"/>
      <c r="P159" s="15" t="n"/>
      <c r="Q159" s="15" t="n"/>
      <c r="R159" s="15">
        <f>IF(OR(O159="Scheduled",Q159="Scheduled"),"SCHEDULED",IF(Q159="Escalate to call","ESCALATED TO CALL",IF(N159="Bad contact","BAD CONTACT",IF(N159="","NOT STARTED","IN PROGRESS"))))</f>
        <v/>
      </c>
      <c r="S159" s="15" t="n"/>
    </row>
    <row r="160">
      <c r="A160" s="15" t="inlineStr">
        <is>
          <t>REQ-0159</t>
        </is>
      </c>
      <c r="B160" s="16" t="n">
        <v>44867.82708333333</v>
      </c>
      <c r="C160" s="16">
        <f>B160+1</f>
        <v/>
      </c>
      <c r="D160" s="17">
        <f>(C160-NOW())*24</f>
        <v/>
      </c>
      <c r="E160" s="15">
        <f>IF(N160="","STEP 1: Send WhatsApp + Email blast now (Playbook M1)",IF(N160="Bad contact","STOP: report bad contact to lead (Playbook)",IF(O160="Scheduled","DONE: scheduled via Calendly",IF(O160="","STEP 2: Check Calendly now",IF(P160="","STEP 3: Send WhatsApp nudge (Playbook M2)",IF(Q160="Scheduled","DONE: scheduled via Calendly",IF(Q160="Escalate to call","HANDED to Shyam (call queue)","STEP 4: Final Calendly check")))))))</f>
        <v/>
      </c>
      <c r="F160" s="16">
        <f>IF(N160="",B160,IF(O160="",B160+2/24,IF(AND(O160="Not yet",P160=""),B160+2/24,IF(Q160="",B160+4/24,""))))</f>
        <v/>
      </c>
      <c r="G160" s="15" t="inlineStr">
        <is>
          <t>Chetan</t>
        </is>
      </c>
      <c r="H160" s="15" t="inlineStr">
        <is>
          <t>Google</t>
        </is>
      </c>
      <c r="I160" s="15" t="inlineStr">
        <is>
          <t>Round1</t>
        </is>
      </c>
      <c r="J160" s="18" t="inlineStr">
        <is>
          <t>+91 9920264452</t>
        </is>
      </c>
      <c r="K160" s="15" t="inlineStr">
        <is>
          <t>chetan@weekday.works</t>
        </is>
      </c>
      <c r="L160" s="15" t="inlineStr">
        <is>
          <t>&lt;calendly_link&gt;</t>
        </is>
      </c>
      <c r="M160" s="15" t="inlineStr">
        <is>
          <t>Yes</t>
        </is>
      </c>
      <c r="N160" s="15" t="n"/>
      <c r="O160" s="15" t="n"/>
      <c r="P160" s="15" t="n"/>
      <c r="Q160" s="15" t="n"/>
      <c r="R160" s="15">
        <f>IF(OR(O160="Scheduled",Q160="Scheduled"),"SCHEDULED",IF(Q160="Escalate to call","ESCALATED TO CALL",IF(N160="Bad contact","BAD CONTACT",IF(N160="","NOT STARTED","IN PROGRESS"))))</f>
        <v/>
      </c>
      <c r="S160" s="15" t="n"/>
    </row>
    <row r="161">
      <c r="A161" s="15" t="inlineStr">
        <is>
          <t>REQ-0160</t>
        </is>
      </c>
      <c r="B161" s="16" t="n">
        <v>44867.82708333333</v>
      </c>
      <c r="C161" s="16">
        <f>B161+1</f>
        <v/>
      </c>
      <c r="D161" s="17">
        <f>(C161-NOW())*24</f>
        <v/>
      </c>
      <c r="E161" s="15">
        <f>IF(N161="","STEP 1: Send WhatsApp + Email blast now (Playbook M1)",IF(N161="Bad contact","STOP: report bad contact to lead (Playbook)",IF(O161="Scheduled","DONE: scheduled via Calendly",IF(O161="","STEP 2: Check Calendly now",IF(P161="","STEP 3: Send WhatsApp nudge (Playbook M2)",IF(Q161="Scheduled","DONE: scheduled via Calendly",IF(Q161="Escalate to call","HANDED to Shyam (call queue)","STEP 4: Final Calendly check")))))))</f>
        <v/>
      </c>
      <c r="F161" s="16">
        <f>IF(N161="",B161,IF(O161="",B161+2/24,IF(AND(O161="Not yet",P161=""),B161+2/24,IF(Q161="",B161+4/24,""))))</f>
        <v/>
      </c>
      <c r="G161" s="15" t="inlineStr">
        <is>
          <t>Chetan</t>
        </is>
      </c>
      <c r="H161" s="15" t="inlineStr">
        <is>
          <t>Google</t>
        </is>
      </c>
      <c r="I161" s="15" t="inlineStr">
        <is>
          <t>Round1</t>
        </is>
      </c>
      <c r="J161" s="18" t="inlineStr">
        <is>
          <t>+91 9920264452</t>
        </is>
      </c>
      <c r="K161" s="15" t="inlineStr">
        <is>
          <t>chetan@weekday.works</t>
        </is>
      </c>
      <c r="L161" s="15" t="inlineStr">
        <is>
          <t>&lt;calendly_link&gt;</t>
        </is>
      </c>
      <c r="M161" s="15" t="inlineStr">
        <is>
          <t>Yes</t>
        </is>
      </c>
      <c r="N161" s="15" t="n"/>
      <c r="O161" s="15" t="n"/>
      <c r="P161" s="15" t="n"/>
      <c r="Q161" s="15" t="n"/>
      <c r="R161" s="15">
        <f>IF(OR(O161="Scheduled",Q161="Scheduled"),"SCHEDULED",IF(Q161="Escalate to call","ESCALATED TO CALL",IF(N161="Bad contact","BAD CONTACT",IF(N161="","NOT STARTED","IN PROGRESS"))))</f>
        <v/>
      </c>
      <c r="S161" s="15" t="n"/>
    </row>
    <row r="162">
      <c r="A162" s="15" t="inlineStr">
        <is>
          <t>REQ-0161</t>
        </is>
      </c>
      <c r="B162" s="16" t="n">
        <v>44867.82708333333</v>
      </c>
      <c r="C162" s="16">
        <f>B162+1</f>
        <v/>
      </c>
      <c r="D162" s="17">
        <f>(C162-NOW())*24</f>
        <v/>
      </c>
      <c r="E162" s="15">
        <f>IF(N162="","STEP 1: Send WhatsApp + Email blast now (Playbook M1)",IF(N162="Bad contact","STOP: report bad contact to lead (Playbook)",IF(O162="Scheduled","DONE: scheduled via Calendly",IF(O162="","STEP 2: Check Calendly now",IF(P162="","STEP 3: Send WhatsApp nudge (Playbook M2)",IF(Q162="Scheduled","DONE: scheduled via Calendly",IF(Q162="Escalate to call","HANDED to Shyam (call queue)","STEP 4: Final Calendly check")))))))</f>
        <v/>
      </c>
      <c r="F162" s="16">
        <f>IF(N162="",B162,IF(O162="",B162+2/24,IF(AND(O162="Not yet",P162=""),B162+2/24,IF(Q162="",B162+4/24,""))))</f>
        <v/>
      </c>
      <c r="G162" s="15" t="inlineStr">
        <is>
          <t>Chetan</t>
        </is>
      </c>
      <c r="H162" s="15" t="inlineStr">
        <is>
          <t>Google</t>
        </is>
      </c>
      <c r="I162" s="15" t="inlineStr">
        <is>
          <t>Round1</t>
        </is>
      </c>
      <c r="J162" s="18" t="inlineStr">
        <is>
          <t>+91 9920264452</t>
        </is>
      </c>
      <c r="K162" s="15" t="inlineStr">
        <is>
          <t>chetan@weekday.works</t>
        </is>
      </c>
      <c r="L162" s="15" t="inlineStr">
        <is>
          <t>&lt;calendly_link&gt;</t>
        </is>
      </c>
      <c r="M162" s="15" t="inlineStr">
        <is>
          <t>Yes</t>
        </is>
      </c>
      <c r="N162" s="15" t="n"/>
      <c r="O162" s="15" t="n"/>
      <c r="P162" s="15" t="n"/>
      <c r="Q162" s="15" t="n"/>
      <c r="R162" s="15">
        <f>IF(OR(O162="Scheduled",Q162="Scheduled"),"SCHEDULED",IF(Q162="Escalate to call","ESCALATED TO CALL",IF(N162="Bad contact","BAD CONTACT",IF(N162="","NOT STARTED","IN PROGRESS"))))</f>
        <v/>
      </c>
      <c r="S162" s="15" t="n"/>
    </row>
    <row r="163">
      <c r="A163" s="15" t="inlineStr">
        <is>
          <t>REQ-0162</t>
        </is>
      </c>
      <c r="B163" s="16" t="n">
        <v>44867.82708333333</v>
      </c>
      <c r="C163" s="16">
        <f>B163+1</f>
        <v/>
      </c>
      <c r="D163" s="17">
        <f>(C163-NOW())*24</f>
        <v/>
      </c>
      <c r="E163" s="15">
        <f>IF(N163="","STEP 1: Send WhatsApp + Email blast now (Playbook M1)",IF(N163="Bad contact","STOP: report bad contact to lead (Playbook)",IF(O163="Scheduled","DONE: scheduled via Calendly",IF(O163="","STEP 2: Check Calendly now",IF(P163="","STEP 3: Send WhatsApp nudge (Playbook M2)",IF(Q163="Scheduled","DONE: scheduled via Calendly",IF(Q163="Escalate to call","HANDED to Shyam (call queue)","STEP 4: Final Calendly check")))))))</f>
        <v/>
      </c>
      <c r="F163" s="16">
        <f>IF(N163="",B163,IF(O163="",B163+2/24,IF(AND(O163="Not yet",P163=""),B163+2/24,IF(Q163="",B163+4/24,""))))</f>
        <v/>
      </c>
      <c r="G163" s="15" t="inlineStr">
        <is>
          <t>Chetan</t>
        </is>
      </c>
      <c r="H163" s="15" t="inlineStr">
        <is>
          <t>Google</t>
        </is>
      </c>
      <c r="I163" s="15" t="inlineStr">
        <is>
          <t>Round1</t>
        </is>
      </c>
      <c r="J163" s="18" t="inlineStr">
        <is>
          <t>+91 9920264452</t>
        </is>
      </c>
      <c r="K163" s="15" t="inlineStr">
        <is>
          <t>chetan@weekday.works</t>
        </is>
      </c>
      <c r="L163" s="15" t="inlineStr">
        <is>
          <t>&lt;calendly_link&gt;</t>
        </is>
      </c>
      <c r="M163" s="15" t="inlineStr">
        <is>
          <t>Yes</t>
        </is>
      </c>
      <c r="N163" s="15" t="n"/>
      <c r="O163" s="15" t="n"/>
      <c r="P163" s="15" t="n"/>
      <c r="Q163" s="15" t="n"/>
      <c r="R163" s="15">
        <f>IF(OR(O163="Scheduled",Q163="Scheduled"),"SCHEDULED",IF(Q163="Escalate to call","ESCALATED TO CALL",IF(N163="Bad contact","BAD CONTACT",IF(N163="","NOT STARTED","IN PROGRESS"))))</f>
        <v/>
      </c>
      <c r="S163" s="15" t="n"/>
    </row>
    <row r="164">
      <c r="A164" s="15" t="inlineStr">
        <is>
          <t>REQ-0163</t>
        </is>
      </c>
      <c r="B164" s="16" t="n">
        <v>44867.82708333333</v>
      </c>
      <c r="C164" s="16">
        <f>B164+1</f>
        <v/>
      </c>
      <c r="D164" s="17">
        <f>(C164-NOW())*24</f>
        <v/>
      </c>
      <c r="E164" s="15">
        <f>IF(N164="","STEP 1: Send WhatsApp + Email blast now (Playbook M1)",IF(N164="Bad contact","STOP: report bad contact to lead (Playbook)",IF(O164="Scheduled","DONE: scheduled via Calendly",IF(O164="","STEP 2: Check Calendly now",IF(P164="","STEP 3: Send WhatsApp nudge (Playbook M2)",IF(Q164="Scheduled","DONE: scheduled via Calendly",IF(Q164="Escalate to call","HANDED to Shyam (call queue)","STEP 4: Final Calendly check")))))))</f>
        <v/>
      </c>
      <c r="F164" s="16">
        <f>IF(N164="",B164,IF(O164="",B164+2/24,IF(AND(O164="Not yet",P164=""),B164+2/24,IF(Q164="",B164+4/24,""))))</f>
        <v/>
      </c>
      <c r="G164" s="15" t="inlineStr">
        <is>
          <t>Chetan</t>
        </is>
      </c>
      <c r="H164" s="15" t="inlineStr">
        <is>
          <t>Google</t>
        </is>
      </c>
      <c r="I164" s="15" t="inlineStr">
        <is>
          <t>Round1</t>
        </is>
      </c>
      <c r="J164" s="18" t="inlineStr">
        <is>
          <t>+91 9920264452</t>
        </is>
      </c>
      <c r="K164" s="15" t="inlineStr">
        <is>
          <t>chetan@weekday.works</t>
        </is>
      </c>
      <c r="L164" s="15" t="inlineStr">
        <is>
          <t>&lt;calendly_link&gt;</t>
        </is>
      </c>
      <c r="M164" s="15" t="inlineStr">
        <is>
          <t>Yes</t>
        </is>
      </c>
      <c r="N164" s="15" t="n"/>
      <c r="O164" s="15" t="n"/>
      <c r="P164" s="15" t="n"/>
      <c r="Q164" s="15" t="n"/>
      <c r="R164" s="15">
        <f>IF(OR(O164="Scheduled",Q164="Scheduled"),"SCHEDULED",IF(Q164="Escalate to call","ESCALATED TO CALL",IF(N164="Bad contact","BAD CONTACT",IF(N164="","NOT STARTED","IN PROGRESS"))))</f>
        <v/>
      </c>
      <c r="S164" s="15" t="n"/>
    </row>
    <row r="165">
      <c r="A165" s="15" t="inlineStr">
        <is>
          <t>REQ-0164</t>
        </is>
      </c>
      <c r="B165" s="16" t="n">
        <v>44867.82708333333</v>
      </c>
      <c r="C165" s="16">
        <f>B165+1</f>
        <v/>
      </c>
      <c r="D165" s="17">
        <f>(C165-NOW())*24</f>
        <v/>
      </c>
      <c r="E165" s="15">
        <f>IF(N165="","STEP 1: Send WhatsApp + Email blast now (Playbook M1)",IF(N165="Bad contact","STOP: report bad contact to lead (Playbook)",IF(O165="Scheduled","DONE: scheduled via Calendly",IF(O165="","STEP 2: Check Calendly now",IF(P165="","STEP 3: Send WhatsApp nudge (Playbook M2)",IF(Q165="Scheduled","DONE: scheduled via Calendly",IF(Q165="Escalate to call","HANDED to Shyam (call queue)","STEP 4: Final Calendly check")))))))</f>
        <v/>
      </c>
      <c r="F165" s="16">
        <f>IF(N165="",B165,IF(O165="",B165+2/24,IF(AND(O165="Not yet",P165=""),B165+2/24,IF(Q165="",B165+4/24,""))))</f>
        <v/>
      </c>
      <c r="G165" s="15" t="inlineStr">
        <is>
          <t>Chetan</t>
        </is>
      </c>
      <c r="H165" s="15" t="inlineStr">
        <is>
          <t>Google</t>
        </is>
      </c>
      <c r="I165" s="15" t="inlineStr">
        <is>
          <t>Round1</t>
        </is>
      </c>
      <c r="J165" s="18" t="inlineStr">
        <is>
          <t>+91 9920264452</t>
        </is>
      </c>
      <c r="K165" s="15" t="inlineStr">
        <is>
          <t>chetan@weekday.works</t>
        </is>
      </c>
      <c r="L165" s="15" t="inlineStr">
        <is>
          <t>&lt;calendly_link&gt;</t>
        </is>
      </c>
      <c r="M165" s="15" t="inlineStr">
        <is>
          <t>Yes</t>
        </is>
      </c>
      <c r="N165" s="15" t="n"/>
      <c r="O165" s="15" t="n"/>
      <c r="P165" s="15" t="n"/>
      <c r="Q165" s="15" t="n"/>
      <c r="R165" s="15">
        <f>IF(OR(O165="Scheduled",Q165="Scheduled"),"SCHEDULED",IF(Q165="Escalate to call","ESCALATED TO CALL",IF(N165="Bad contact","BAD CONTACT",IF(N165="","NOT STARTED","IN PROGRESS"))))</f>
        <v/>
      </c>
      <c r="S165" s="15" t="n"/>
    </row>
    <row r="166">
      <c r="A166" s="15" t="inlineStr">
        <is>
          <t>REQ-0165</t>
        </is>
      </c>
      <c r="B166" s="16" t="n">
        <v>44867.82708333333</v>
      </c>
      <c r="C166" s="16">
        <f>B166+1</f>
        <v/>
      </c>
      <c r="D166" s="17">
        <f>(C166-NOW())*24</f>
        <v/>
      </c>
      <c r="E166" s="15">
        <f>IF(N166="","STEP 1: Send WhatsApp + Email blast now (Playbook M1)",IF(N166="Bad contact","STOP: report bad contact to lead (Playbook)",IF(O166="Scheduled","DONE: scheduled via Calendly",IF(O166="","STEP 2: Check Calendly now",IF(P166="","STEP 3: Send WhatsApp nudge (Playbook M2)",IF(Q166="Scheduled","DONE: scheduled via Calendly",IF(Q166="Escalate to call","HANDED to Shyam (call queue)","STEP 4: Final Calendly check")))))))</f>
        <v/>
      </c>
      <c r="F166" s="16">
        <f>IF(N166="",B166,IF(O166="",B166+2/24,IF(AND(O166="Not yet",P166=""),B166+2/24,IF(Q166="",B166+4/24,""))))</f>
        <v/>
      </c>
      <c r="G166" s="15" t="inlineStr">
        <is>
          <t>Chetan</t>
        </is>
      </c>
      <c r="H166" s="15" t="inlineStr">
        <is>
          <t>Google</t>
        </is>
      </c>
      <c r="I166" s="15" t="inlineStr">
        <is>
          <t>Round1</t>
        </is>
      </c>
      <c r="J166" s="18" t="inlineStr">
        <is>
          <t>+91 9920264452</t>
        </is>
      </c>
      <c r="K166" s="15" t="inlineStr">
        <is>
          <t>chetan@weekday.works</t>
        </is>
      </c>
      <c r="L166" s="15" t="inlineStr">
        <is>
          <t>&lt;calendly_link&gt;</t>
        </is>
      </c>
      <c r="M166" s="15" t="inlineStr">
        <is>
          <t>Yes</t>
        </is>
      </c>
      <c r="N166" s="15" t="n"/>
      <c r="O166" s="15" t="n"/>
      <c r="P166" s="15" t="n"/>
      <c r="Q166" s="15" t="n"/>
      <c r="R166" s="15">
        <f>IF(OR(O166="Scheduled",Q166="Scheduled"),"SCHEDULED",IF(Q166="Escalate to call","ESCALATED TO CALL",IF(N166="Bad contact","BAD CONTACT",IF(N166="","NOT STARTED","IN PROGRESS"))))</f>
        <v/>
      </c>
      <c r="S166" s="15" t="n"/>
    </row>
    <row r="167">
      <c r="A167" s="15" t="inlineStr">
        <is>
          <t>REQ-0166</t>
        </is>
      </c>
      <c r="B167" s="16" t="n">
        <v>44867.82708333333</v>
      </c>
      <c r="C167" s="16">
        <f>B167+1</f>
        <v/>
      </c>
      <c r="D167" s="17">
        <f>(C167-NOW())*24</f>
        <v/>
      </c>
      <c r="E167" s="15">
        <f>IF(N167="","STEP 1: Send WhatsApp + Email blast now (Playbook M1)",IF(N167="Bad contact","STOP: report bad contact to lead (Playbook)",IF(O167="Scheduled","DONE: scheduled via Calendly",IF(O167="","STEP 2: Check Calendly now",IF(P167="","STEP 3: Send WhatsApp nudge (Playbook M2)",IF(Q167="Scheduled","DONE: scheduled via Calendly",IF(Q167="Escalate to call","HANDED to Shyam (call queue)","STEP 4: Final Calendly check")))))))</f>
        <v/>
      </c>
      <c r="F167" s="16">
        <f>IF(N167="",B167,IF(O167="",B167+2/24,IF(AND(O167="Not yet",P167=""),B167+2/24,IF(Q167="",B167+4/24,""))))</f>
        <v/>
      </c>
      <c r="G167" s="15" t="inlineStr">
        <is>
          <t>Chetan</t>
        </is>
      </c>
      <c r="H167" s="15" t="inlineStr">
        <is>
          <t>Google</t>
        </is>
      </c>
      <c r="I167" s="15" t="inlineStr">
        <is>
          <t>Round1</t>
        </is>
      </c>
      <c r="J167" s="18" t="inlineStr">
        <is>
          <t>+91 9920264452</t>
        </is>
      </c>
      <c r="K167" s="15" t="inlineStr">
        <is>
          <t>chetan@weekday.works</t>
        </is>
      </c>
      <c r="L167" s="15" t="inlineStr">
        <is>
          <t>&lt;calendly_link&gt;</t>
        </is>
      </c>
      <c r="M167" s="15" t="inlineStr">
        <is>
          <t>Yes</t>
        </is>
      </c>
      <c r="N167" s="15" t="n"/>
      <c r="O167" s="15" t="n"/>
      <c r="P167" s="15" t="n"/>
      <c r="Q167" s="15" t="n"/>
      <c r="R167" s="15">
        <f>IF(OR(O167="Scheduled",Q167="Scheduled"),"SCHEDULED",IF(Q167="Escalate to call","ESCALATED TO CALL",IF(N167="Bad contact","BAD CONTACT",IF(N167="","NOT STARTED","IN PROGRESS"))))</f>
        <v/>
      </c>
      <c r="S167" s="15" t="n"/>
    </row>
    <row r="168">
      <c r="A168" s="15" t="inlineStr">
        <is>
          <t>REQ-0167</t>
        </is>
      </c>
      <c r="B168" s="16" t="n">
        <v>44867.82708333333</v>
      </c>
      <c r="C168" s="16">
        <f>B168+1</f>
        <v/>
      </c>
      <c r="D168" s="17">
        <f>(C168-NOW())*24</f>
        <v/>
      </c>
      <c r="E168" s="15">
        <f>IF(N168="","STEP 1: Send WhatsApp + Email blast now (Playbook M1)",IF(N168="Bad contact","STOP: report bad contact to lead (Playbook)",IF(O168="Scheduled","DONE: scheduled via Calendly",IF(O168="","STEP 2: Check Calendly now",IF(P168="","STEP 3: Send WhatsApp nudge (Playbook M2)",IF(Q168="Scheduled","DONE: scheduled via Calendly",IF(Q168="Escalate to call","HANDED to Shyam (call queue)","STEP 4: Final Calendly check")))))))</f>
        <v/>
      </c>
      <c r="F168" s="16">
        <f>IF(N168="",B168,IF(O168="",B168+2/24,IF(AND(O168="Not yet",P168=""),B168+2/24,IF(Q168="",B168+4/24,""))))</f>
        <v/>
      </c>
      <c r="G168" s="15" t="inlineStr">
        <is>
          <t>Chetan</t>
        </is>
      </c>
      <c r="H168" s="15" t="inlineStr">
        <is>
          <t>Google</t>
        </is>
      </c>
      <c r="I168" s="15" t="inlineStr">
        <is>
          <t>Round1</t>
        </is>
      </c>
      <c r="J168" s="18" t="inlineStr">
        <is>
          <t>+91 9920264452</t>
        </is>
      </c>
      <c r="K168" s="15" t="inlineStr">
        <is>
          <t>chetan@weekday.works</t>
        </is>
      </c>
      <c r="L168" s="15" t="inlineStr">
        <is>
          <t>&lt;calendly_link&gt;</t>
        </is>
      </c>
      <c r="M168" s="15" t="inlineStr">
        <is>
          <t>Yes</t>
        </is>
      </c>
      <c r="N168" s="15" t="n"/>
      <c r="O168" s="15" t="n"/>
      <c r="P168" s="15" t="n"/>
      <c r="Q168" s="15" t="n"/>
      <c r="R168" s="15">
        <f>IF(OR(O168="Scheduled",Q168="Scheduled"),"SCHEDULED",IF(Q168="Escalate to call","ESCALATED TO CALL",IF(N168="Bad contact","BAD CONTACT",IF(N168="","NOT STARTED","IN PROGRESS"))))</f>
        <v/>
      </c>
      <c r="S168" s="15" t="n"/>
    </row>
    <row r="169">
      <c r="A169" s="15" t="inlineStr">
        <is>
          <t>REQ-0168</t>
        </is>
      </c>
      <c r="B169" s="16" t="n">
        <v>44867.82708333333</v>
      </c>
      <c r="C169" s="16">
        <f>B169+1</f>
        <v/>
      </c>
      <c r="D169" s="17">
        <f>(C169-NOW())*24</f>
        <v/>
      </c>
      <c r="E169" s="15">
        <f>IF(N169="","STEP 1: Send WhatsApp + Email blast now (Playbook M1)",IF(N169="Bad contact","STOP: report bad contact to lead (Playbook)",IF(O169="Scheduled","DONE: scheduled via Calendly",IF(O169="","STEP 2: Check Calendly now",IF(P169="","STEP 3: Send WhatsApp nudge (Playbook M2)",IF(Q169="Scheduled","DONE: scheduled via Calendly",IF(Q169="Escalate to call","HANDED to Shyam (call queue)","STEP 4: Final Calendly check")))))))</f>
        <v/>
      </c>
      <c r="F169" s="16">
        <f>IF(N169="",B169,IF(O169="",B169+2/24,IF(AND(O169="Not yet",P169=""),B169+2/24,IF(Q169="",B169+4/24,""))))</f>
        <v/>
      </c>
      <c r="G169" s="15" t="inlineStr">
        <is>
          <t>Chetan</t>
        </is>
      </c>
      <c r="H169" s="15" t="inlineStr">
        <is>
          <t>Google</t>
        </is>
      </c>
      <c r="I169" s="15" t="inlineStr">
        <is>
          <t>Round1</t>
        </is>
      </c>
      <c r="J169" s="18" t="inlineStr">
        <is>
          <t>+91 9920264452</t>
        </is>
      </c>
      <c r="K169" s="15" t="inlineStr">
        <is>
          <t>chetan@weekday.works</t>
        </is>
      </c>
      <c r="L169" s="15" t="inlineStr">
        <is>
          <t>&lt;calendly_link&gt;</t>
        </is>
      </c>
      <c r="M169" s="15" t="inlineStr">
        <is>
          <t>Yes</t>
        </is>
      </c>
      <c r="N169" s="15" t="n"/>
      <c r="O169" s="15" t="n"/>
      <c r="P169" s="15" t="n"/>
      <c r="Q169" s="15" t="n"/>
      <c r="R169" s="15">
        <f>IF(OR(O169="Scheduled",Q169="Scheduled"),"SCHEDULED",IF(Q169="Escalate to call","ESCALATED TO CALL",IF(N169="Bad contact","BAD CONTACT",IF(N169="","NOT STARTED","IN PROGRESS"))))</f>
        <v/>
      </c>
      <c r="S169" s="15" t="n"/>
    </row>
    <row r="170">
      <c r="A170" s="15" t="inlineStr">
        <is>
          <t>REQ-0169</t>
        </is>
      </c>
      <c r="B170" s="16" t="n">
        <v>44867.82708333333</v>
      </c>
      <c r="C170" s="16">
        <f>B170+1</f>
        <v/>
      </c>
      <c r="D170" s="17">
        <f>(C170-NOW())*24</f>
        <v/>
      </c>
      <c r="E170" s="15">
        <f>IF(N170="","STEP 1: Send WhatsApp + Email blast now (Playbook M1)",IF(N170="Bad contact","STOP: report bad contact to lead (Playbook)",IF(O170="Scheduled","DONE: scheduled via Calendly",IF(O170="","STEP 2: Check Calendly now",IF(P170="","STEP 3: Send WhatsApp nudge (Playbook M2)",IF(Q170="Scheduled","DONE: scheduled via Calendly",IF(Q170="Escalate to call","HANDED to Shyam (call queue)","STEP 4: Final Calendly check")))))))</f>
        <v/>
      </c>
      <c r="F170" s="16">
        <f>IF(N170="",B170,IF(O170="",B170+2/24,IF(AND(O170="Not yet",P170=""),B170+2/24,IF(Q170="",B170+4/24,""))))</f>
        <v/>
      </c>
      <c r="G170" s="15" t="inlineStr">
        <is>
          <t>Chetan</t>
        </is>
      </c>
      <c r="H170" s="15" t="inlineStr">
        <is>
          <t>Google</t>
        </is>
      </c>
      <c r="I170" s="15" t="inlineStr">
        <is>
          <t>Round1</t>
        </is>
      </c>
      <c r="J170" s="18" t="inlineStr">
        <is>
          <t>+91 9920264452</t>
        </is>
      </c>
      <c r="K170" s="15" t="inlineStr">
        <is>
          <t>chetan@weekday.works</t>
        </is>
      </c>
      <c r="L170" s="15" t="inlineStr">
        <is>
          <t>&lt;calendly_link&gt;</t>
        </is>
      </c>
      <c r="M170" s="15" t="inlineStr">
        <is>
          <t>Yes</t>
        </is>
      </c>
      <c r="N170" s="15" t="n"/>
      <c r="O170" s="15" t="n"/>
      <c r="P170" s="15" t="n"/>
      <c r="Q170" s="15" t="n"/>
      <c r="R170" s="15">
        <f>IF(OR(O170="Scheduled",Q170="Scheduled"),"SCHEDULED",IF(Q170="Escalate to call","ESCALATED TO CALL",IF(N170="Bad contact","BAD CONTACT",IF(N170="","NOT STARTED","IN PROGRESS"))))</f>
        <v/>
      </c>
      <c r="S170" s="15" t="n"/>
    </row>
    <row r="171">
      <c r="A171" s="15" t="inlineStr">
        <is>
          <t>REQ-0170</t>
        </is>
      </c>
      <c r="B171" s="16" t="n">
        <v>44867.82708333333</v>
      </c>
      <c r="C171" s="16">
        <f>B171+1</f>
        <v/>
      </c>
      <c r="D171" s="17">
        <f>(C171-NOW())*24</f>
        <v/>
      </c>
      <c r="E171" s="15">
        <f>IF(N171="","STEP 1: Send WhatsApp + Email blast now (Playbook M1)",IF(N171="Bad contact","STOP: report bad contact to lead (Playbook)",IF(O171="Scheduled","DONE: scheduled via Calendly",IF(O171="","STEP 2: Check Calendly now",IF(P171="","STEP 3: Send WhatsApp nudge (Playbook M2)",IF(Q171="Scheduled","DONE: scheduled via Calendly",IF(Q171="Escalate to call","HANDED to Shyam (call queue)","STEP 4: Final Calendly check")))))))</f>
        <v/>
      </c>
      <c r="F171" s="16">
        <f>IF(N171="",B171,IF(O171="",B171+2/24,IF(AND(O171="Not yet",P171=""),B171+2/24,IF(Q171="",B171+4/24,""))))</f>
        <v/>
      </c>
      <c r="G171" s="15" t="inlineStr">
        <is>
          <t>Chetan</t>
        </is>
      </c>
      <c r="H171" s="15" t="inlineStr">
        <is>
          <t>Google</t>
        </is>
      </c>
      <c r="I171" s="15" t="inlineStr">
        <is>
          <t>Round1</t>
        </is>
      </c>
      <c r="J171" s="18" t="inlineStr">
        <is>
          <t>+91 9920264452</t>
        </is>
      </c>
      <c r="K171" s="15" t="inlineStr">
        <is>
          <t>chetan@weekday.works</t>
        </is>
      </c>
      <c r="L171" s="15" t="inlineStr">
        <is>
          <t>&lt;calendly_link&gt;</t>
        </is>
      </c>
      <c r="M171" s="15" t="inlineStr">
        <is>
          <t>Yes</t>
        </is>
      </c>
      <c r="N171" s="15" t="n"/>
      <c r="O171" s="15" t="n"/>
      <c r="P171" s="15" t="n"/>
      <c r="Q171" s="15" t="n"/>
      <c r="R171" s="15">
        <f>IF(OR(O171="Scheduled",Q171="Scheduled"),"SCHEDULED",IF(Q171="Escalate to call","ESCALATED TO CALL",IF(N171="Bad contact","BAD CONTACT",IF(N171="","NOT STARTED","IN PROGRESS"))))</f>
        <v/>
      </c>
      <c r="S171" s="15" t="n"/>
    </row>
    <row r="172">
      <c r="A172" s="15" t="inlineStr">
        <is>
          <t>REQ-0171</t>
        </is>
      </c>
      <c r="B172" s="16" t="n">
        <v>44867.82708333333</v>
      </c>
      <c r="C172" s="16">
        <f>B172+1</f>
        <v/>
      </c>
      <c r="D172" s="17">
        <f>(C172-NOW())*24</f>
        <v/>
      </c>
      <c r="E172" s="15">
        <f>IF(N172="","STEP 1: Send WhatsApp + Email blast now (Playbook M1)",IF(N172="Bad contact","STOP: report bad contact to lead (Playbook)",IF(O172="Scheduled","DONE: scheduled via Calendly",IF(O172="","STEP 2: Check Calendly now",IF(P172="","STEP 3: Send WhatsApp nudge (Playbook M2)",IF(Q172="Scheduled","DONE: scheduled via Calendly",IF(Q172="Escalate to call","HANDED to Shyam (call queue)","STEP 4: Final Calendly check")))))))</f>
        <v/>
      </c>
      <c r="F172" s="16">
        <f>IF(N172="",B172,IF(O172="",B172+2/24,IF(AND(O172="Not yet",P172=""),B172+2/24,IF(Q172="",B172+4/24,""))))</f>
        <v/>
      </c>
      <c r="G172" s="15" t="inlineStr">
        <is>
          <t>Chetan</t>
        </is>
      </c>
      <c r="H172" s="15" t="inlineStr">
        <is>
          <t>Google</t>
        </is>
      </c>
      <c r="I172" s="15" t="inlineStr">
        <is>
          <t>Round1</t>
        </is>
      </c>
      <c r="J172" s="18" t="inlineStr">
        <is>
          <t>+91 9920264452</t>
        </is>
      </c>
      <c r="K172" s="15" t="inlineStr">
        <is>
          <t>chetan@weekday.works</t>
        </is>
      </c>
      <c r="L172" s="15" t="inlineStr">
        <is>
          <t>&lt;calendly_link&gt;</t>
        </is>
      </c>
      <c r="M172" s="15" t="inlineStr">
        <is>
          <t>Yes</t>
        </is>
      </c>
      <c r="N172" s="15" t="n"/>
      <c r="O172" s="15" t="n"/>
      <c r="P172" s="15" t="n"/>
      <c r="Q172" s="15" t="n"/>
      <c r="R172" s="15">
        <f>IF(OR(O172="Scheduled",Q172="Scheduled"),"SCHEDULED",IF(Q172="Escalate to call","ESCALATED TO CALL",IF(N172="Bad contact","BAD CONTACT",IF(N172="","NOT STARTED","IN PROGRESS"))))</f>
        <v/>
      </c>
      <c r="S172" s="15" t="n"/>
    </row>
    <row r="173">
      <c r="A173" s="15" t="inlineStr">
        <is>
          <t>REQ-0172</t>
        </is>
      </c>
      <c r="B173" s="16" t="n">
        <v>44867.82708333333</v>
      </c>
      <c r="C173" s="16">
        <f>B173+1</f>
        <v/>
      </c>
      <c r="D173" s="17">
        <f>(C173-NOW())*24</f>
        <v/>
      </c>
      <c r="E173" s="15">
        <f>IF(N173="","STEP 1: Send WhatsApp + Email blast now (Playbook M1)",IF(N173="Bad contact","STOP: report bad contact to lead (Playbook)",IF(O173="Scheduled","DONE: scheduled via Calendly",IF(O173="","STEP 2: Check Calendly now",IF(P173="","STEP 3: Send WhatsApp nudge (Playbook M2)",IF(Q173="Scheduled","DONE: scheduled via Calendly",IF(Q173="Escalate to call","HANDED to Shyam (call queue)","STEP 4: Final Calendly check")))))))</f>
        <v/>
      </c>
      <c r="F173" s="16">
        <f>IF(N173="",B173,IF(O173="",B173+2/24,IF(AND(O173="Not yet",P173=""),B173+2/24,IF(Q173="",B173+4/24,""))))</f>
        <v/>
      </c>
      <c r="G173" s="15" t="inlineStr">
        <is>
          <t>Chetan</t>
        </is>
      </c>
      <c r="H173" s="15" t="inlineStr">
        <is>
          <t>Google</t>
        </is>
      </c>
      <c r="I173" s="15" t="inlineStr">
        <is>
          <t>Round1</t>
        </is>
      </c>
      <c r="J173" s="18" t="inlineStr">
        <is>
          <t>+91 9920264452</t>
        </is>
      </c>
      <c r="K173" s="15" t="inlineStr">
        <is>
          <t>chetan@weekday.works</t>
        </is>
      </c>
      <c r="L173" s="15" t="inlineStr">
        <is>
          <t>&lt;calendly_link&gt;</t>
        </is>
      </c>
      <c r="M173" s="15" t="inlineStr">
        <is>
          <t>Yes</t>
        </is>
      </c>
      <c r="N173" s="15" t="n"/>
      <c r="O173" s="15" t="n"/>
      <c r="P173" s="15" t="n"/>
      <c r="Q173" s="15" t="n"/>
      <c r="R173" s="15">
        <f>IF(OR(O173="Scheduled",Q173="Scheduled"),"SCHEDULED",IF(Q173="Escalate to call","ESCALATED TO CALL",IF(N173="Bad contact","BAD CONTACT",IF(N173="","NOT STARTED","IN PROGRESS"))))</f>
        <v/>
      </c>
      <c r="S173" s="15" t="n"/>
    </row>
    <row r="174">
      <c r="A174" s="15" t="inlineStr">
        <is>
          <t>REQ-0173</t>
        </is>
      </c>
      <c r="B174" s="16" t="n">
        <v>44867.82708333333</v>
      </c>
      <c r="C174" s="16">
        <f>B174+1</f>
        <v/>
      </c>
      <c r="D174" s="17">
        <f>(C174-NOW())*24</f>
        <v/>
      </c>
      <c r="E174" s="15">
        <f>IF(N174="","STEP 1: Send WhatsApp + Email blast now (Playbook M1)",IF(N174="Bad contact","STOP: report bad contact to lead (Playbook)",IF(O174="Scheduled","DONE: scheduled via Calendly",IF(O174="","STEP 2: Check Calendly now",IF(P174="","STEP 3: Send WhatsApp nudge (Playbook M2)",IF(Q174="Scheduled","DONE: scheduled via Calendly",IF(Q174="Escalate to call","HANDED to Shyam (call queue)","STEP 4: Final Calendly check")))))))</f>
        <v/>
      </c>
      <c r="F174" s="16">
        <f>IF(N174="",B174,IF(O174="",B174+2/24,IF(AND(O174="Not yet",P174=""),B174+2/24,IF(Q174="",B174+4/24,""))))</f>
        <v/>
      </c>
      <c r="G174" s="15" t="inlineStr">
        <is>
          <t>Chetan</t>
        </is>
      </c>
      <c r="H174" s="15" t="inlineStr">
        <is>
          <t>Google</t>
        </is>
      </c>
      <c r="I174" s="15" t="inlineStr">
        <is>
          <t>Round1</t>
        </is>
      </c>
      <c r="J174" s="18" t="inlineStr">
        <is>
          <t>+91 9920264452</t>
        </is>
      </c>
      <c r="K174" s="15" t="inlineStr">
        <is>
          <t>chetan@weekday.works</t>
        </is>
      </c>
      <c r="L174" s="15" t="inlineStr">
        <is>
          <t>&lt;calendly_link&gt;</t>
        </is>
      </c>
      <c r="M174" s="15" t="inlineStr">
        <is>
          <t>Yes</t>
        </is>
      </c>
      <c r="N174" s="15" t="n"/>
      <c r="O174" s="15" t="n"/>
      <c r="P174" s="15" t="n"/>
      <c r="Q174" s="15" t="n"/>
      <c r="R174" s="15">
        <f>IF(OR(O174="Scheduled",Q174="Scheduled"),"SCHEDULED",IF(Q174="Escalate to call","ESCALATED TO CALL",IF(N174="Bad contact","BAD CONTACT",IF(N174="","NOT STARTED","IN PROGRESS"))))</f>
        <v/>
      </c>
      <c r="S174" s="15" t="n"/>
    </row>
    <row r="175">
      <c r="A175" s="15" t="inlineStr">
        <is>
          <t>REQ-0174</t>
        </is>
      </c>
      <c r="B175" s="16" t="n">
        <v>44867.82708333333</v>
      </c>
      <c r="C175" s="16">
        <f>B175+1</f>
        <v/>
      </c>
      <c r="D175" s="17">
        <f>(C175-NOW())*24</f>
        <v/>
      </c>
      <c r="E175" s="15">
        <f>IF(N175="","STEP 1: Send WhatsApp + Email blast now (Playbook M1)",IF(N175="Bad contact","STOP: report bad contact to lead (Playbook)",IF(O175="Scheduled","DONE: scheduled via Calendly",IF(O175="","STEP 2: Check Calendly now",IF(P175="","STEP 3: Send WhatsApp nudge (Playbook M2)",IF(Q175="Scheduled","DONE: scheduled via Calendly",IF(Q175="Escalate to call","HANDED to Shyam (call queue)","STEP 4: Final Calendly check")))))))</f>
        <v/>
      </c>
      <c r="F175" s="16">
        <f>IF(N175="",B175,IF(O175="",B175+2/24,IF(AND(O175="Not yet",P175=""),B175+2/24,IF(Q175="",B175+4/24,""))))</f>
        <v/>
      </c>
      <c r="G175" s="15" t="inlineStr">
        <is>
          <t>Chetan</t>
        </is>
      </c>
      <c r="H175" s="15" t="inlineStr">
        <is>
          <t>Google</t>
        </is>
      </c>
      <c r="I175" s="15" t="inlineStr">
        <is>
          <t>Round1</t>
        </is>
      </c>
      <c r="J175" s="18" t="inlineStr">
        <is>
          <t>+91 9920264452</t>
        </is>
      </c>
      <c r="K175" s="15" t="inlineStr">
        <is>
          <t>chetan@weekday.works</t>
        </is>
      </c>
      <c r="L175" s="15" t="inlineStr">
        <is>
          <t>&lt;calendly_link&gt;</t>
        </is>
      </c>
      <c r="M175" s="15" t="inlineStr">
        <is>
          <t>Yes</t>
        </is>
      </c>
      <c r="N175" s="15" t="n"/>
      <c r="O175" s="15" t="n"/>
      <c r="P175" s="15" t="n"/>
      <c r="Q175" s="15" t="n"/>
      <c r="R175" s="15">
        <f>IF(OR(O175="Scheduled",Q175="Scheduled"),"SCHEDULED",IF(Q175="Escalate to call","ESCALATED TO CALL",IF(N175="Bad contact","BAD CONTACT",IF(N175="","NOT STARTED","IN PROGRESS"))))</f>
        <v/>
      </c>
      <c r="S175" s="15" t="n"/>
    </row>
    <row r="176">
      <c r="A176" s="15" t="inlineStr">
        <is>
          <t>REQ-0175</t>
        </is>
      </c>
      <c r="B176" s="16" t="n">
        <v>44867.82708333333</v>
      </c>
      <c r="C176" s="16">
        <f>B176+1</f>
        <v/>
      </c>
      <c r="D176" s="17">
        <f>(C176-NOW())*24</f>
        <v/>
      </c>
      <c r="E176" s="15">
        <f>IF(N176="","STEP 1: Send WhatsApp + Email blast now (Playbook M1)",IF(N176="Bad contact","STOP: report bad contact to lead (Playbook)",IF(O176="Scheduled","DONE: scheduled via Calendly",IF(O176="","STEP 2: Check Calendly now",IF(P176="","STEP 3: Send WhatsApp nudge (Playbook M2)",IF(Q176="Scheduled","DONE: scheduled via Calendly",IF(Q176="Escalate to call","HANDED to Shyam (call queue)","STEP 4: Final Calendly check")))))))</f>
        <v/>
      </c>
      <c r="F176" s="16">
        <f>IF(N176="",B176,IF(O176="",B176+2/24,IF(AND(O176="Not yet",P176=""),B176+2/24,IF(Q176="",B176+4/24,""))))</f>
        <v/>
      </c>
      <c r="G176" s="15" t="inlineStr">
        <is>
          <t>Chetan</t>
        </is>
      </c>
      <c r="H176" s="15" t="inlineStr">
        <is>
          <t>Google</t>
        </is>
      </c>
      <c r="I176" s="15" t="inlineStr">
        <is>
          <t>Round1</t>
        </is>
      </c>
      <c r="J176" s="18" t="inlineStr">
        <is>
          <t>+91 9920264452</t>
        </is>
      </c>
      <c r="K176" s="15" t="inlineStr">
        <is>
          <t>chetan@weekday.works</t>
        </is>
      </c>
      <c r="L176" s="15" t="inlineStr">
        <is>
          <t>&lt;calendly_link&gt;</t>
        </is>
      </c>
      <c r="M176" s="15" t="inlineStr">
        <is>
          <t>Yes</t>
        </is>
      </c>
      <c r="N176" s="15" t="n"/>
      <c r="O176" s="15" t="n"/>
      <c r="P176" s="15" t="n"/>
      <c r="Q176" s="15" t="n"/>
      <c r="R176" s="15">
        <f>IF(OR(O176="Scheduled",Q176="Scheduled"),"SCHEDULED",IF(Q176="Escalate to call","ESCALATED TO CALL",IF(N176="Bad contact","BAD CONTACT",IF(N176="","NOT STARTED","IN PROGRESS"))))</f>
        <v/>
      </c>
      <c r="S176" s="15" t="n"/>
    </row>
    <row r="177">
      <c r="A177" s="15" t="inlineStr">
        <is>
          <t>REQ-0176</t>
        </is>
      </c>
      <c r="B177" s="16" t="n">
        <v>44867.82708333333</v>
      </c>
      <c r="C177" s="16">
        <f>B177+1</f>
        <v/>
      </c>
      <c r="D177" s="17">
        <f>(C177-NOW())*24</f>
        <v/>
      </c>
      <c r="E177" s="15">
        <f>IF(N177="","STEP 1: Send WhatsApp + Email blast now (Playbook M1)",IF(N177="Bad contact","STOP: report bad contact to lead (Playbook)",IF(O177="Scheduled","DONE: scheduled via Calendly",IF(O177="","STEP 2: Check Calendly now",IF(P177="","STEP 3: Send WhatsApp nudge (Playbook M2)",IF(Q177="Scheduled","DONE: scheduled via Calendly",IF(Q177="Escalate to call","HANDED to Shyam (call queue)","STEP 4: Final Calendly check")))))))</f>
        <v/>
      </c>
      <c r="F177" s="16">
        <f>IF(N177="",B177,IF(O177="",B177+2/24,IF(AND(O177="Not yet",P177=""),B177+2/24,IF(Q177="",B177+4/24,""))))</f>
        <v/>
      </c>
      <c r="G177" s="15" t="inlineStr">
        <is>
          <t>Chetan</t>
        </is>
      </c>
      <c r="H177" s="15" t="inlineStr">
        <is>
          <t>Google</t>
        </is>
      </c>
      <c r="I177" s="15" t="inlineStr">
        <is>
          <t>Round1</t>
        </is>
      </c>
      <c r="J177" s="18" t="inlineStr">
        <is>
          <t>+91 9920264452</t>
        </is>
      </c>
      <c r="K177" s="15" t="inlineStr">
        <is>
          <t>chetan@weekday.works</t>
        </is>
      </c>
      <c r="L177" s="15" t="inlineStr">
        <is>
          <t>&lt;calendly_link&gt;</t>
        </is>
      </c>
      <c r="M177" s="15" t="inlineStr">
        <is>
          <t>Yes</t>
        </is>
      </c>
      <c r="N177" s="15" t="n"/>
      <c r="O177" s="15" t="n"/>
      <c r="P177" s="15" t="n"/>
      <c r="Q177" s="15" t="n"/>
      <c r="R177" s="15">
        <f>IF(OR(O177="Scheduled",Q177="Scheduled"),"SCHEDULED",IF(Q177="Escalate to call","ESCALATED TO CALL",IF(N177="Bad contact","BAD CONTACT",IF(N177="","NOT STARTED","IN PROGRESS"))))</f>
        <v/>
      </c>
      <c r="S177" s="15" t="n"/>
    </row>
    <row r="178">
      <c r="A178" s="15" t="inlineStr">
        <is>
          <t>REQ-0177</t>
        </is>
      </c>
      <c r="B178" s="16" t="n">
        <v>44867.82708333333</v>
      </c>
      <c r="C178" s="16">
        <f>B178+1</f>
        <v/>
      </c>
      <c r="D178" s="17">
        <f>(C178-NOW())*24</f>
        <v/>
      </c>
      <c r="E178" s="15">
        <f>IF(N178="","STEP 1: Send WhatsApp + Email blast now (Playbook M1)",IF(N178="Bad contact","STOP: report bad contact to lead (Playbook)",IF(O178="Scheduled","DONE: scheduled via Calendly",IF(O178="","STEP 2: Check Calendly now",IF(P178="","STEP 3: Send WhatsApp nudge (Playbook M2)",IF(Q178="Scheduled","DONE: scheduled via Calendly",IF(Q178="Escalate to call","HANDED to Shyam (call queue)","STEP 4: Final Calendly check")))))))</f>
        <v/>
      </c>
      <c r="F178" s="16">
        <f>IF(N178="",B178,IF(O178="",B178+2/24,IF(AND(O178="Not yet",P178=""),B178+2/24,IF(Q178="",B178+4/24,""))))</f>
        <v/>
      </c>
      <c r="G178" s="15" t="inlineStr">
        <is>
          <t>Chetan</t>
        </is>
      </c>
      <c r="H178" s="15" t="inlineStr">
        <is>
          <t>Google</t>
        </is>
      </c>
      <c r="I178" s="15" t="inlineStr">
        <is>
          <t>Round1</t>
        </is>
      </c>
      <c r="J178" s="18" t="inlineStr">
        <is>
          <t>+91 9920264452</t>
        </is>
      </c>
      <c r="K178" s="15" t="inlineStr">
        <is>
          <t>chetan@weekday.works</t>
        </is>
      </c>
      <c r="L178" s="15" t="inlineStr">
        <is>
          <t>&lt;calendly_link&gt;</t>
        </is>
      </c>
      <c r="M178" s="15" t="inlineStr">
        <is>
          <t>Yes</t>
        </is>
      </c>
      <c r="N178" s="15" t="n"/>
      <c r="O178" s="15" t="n"/>
      <c r="P178" s="15" t="n"/>
      <c r="Q178" s="15" t="n"/>
      <c r="R178" s="15">
        <f>IF(OR(O178="Scheduled",Q178="Scheduled"),"SCHEDULED",IF(Q178="Escalate to call","ESCALATED TO CALL",IF(N178="Bad contact","BAD CONTACT",IF(N178="","NOT STARTED","IN PROGRESS"))))</f>
        <v/>
      </c>
      <c r="S178" s="15" t="n"/>
    </row>
    <row r="179">
      <c r="A179" s="15" t="inlineStr">
        <is>
          <t>REQ-0178</t>
        </is>
      </c>
      <c r="B179" s="16" t="n">
        <v>44867.82708333333</v>
      </c>
      <c r="C179" s="16">
        <f>B179+1</f>
        <v/>
      </c>
      <c r="D179" s="17">
        <f>(C179-NOW())*24</f>
        <v/>
      </c>
      <c r="E179" s="15">
        <f>IF(N179="","STEP 1: Send WhatsApp + Email blast now (Playbook M1)",IF(N179="Bad contact","STOP: report bad contact to lead (Playbook)",IF(O179="Scheduled","DONE: scheduled via Calendly",IF(O179="","STEP 2: Check Calendly now",IF(P179="","STEP 3: Send WhatsApp nudge (Playbook M2)",IF(Q179="Scheduled","DONE: scheduled via Calendly",IF(Q179="Escalate to call","HANDED to Shyam (call queue)","STEP 4: Final Calendly check")))))))</f>
        <v/>
      </c>
      <c r="F179" s="16">
        <f>IF(N179="",B179,IF(O179="",B179+2/24,IF(AND(O179="Not yet",P179=""),B179+2/24,IF(Q179="",B179+4/24,""))))</f>
        <v/>
      </c>
      <c r="G179" s="15" t="inlineStr">
        <is>
          <t>Chetan</t>
        </is>
      </c>
      <c r="H179" s="15" t="inlineStr">
        <is>
          <t>Google</t>
        </is>
      </c>
      <c r="I179" s="15" t="inlineStr">
        <is>
          <t>Round1</t>
        </is>
      </c>
      <c r="J179" s="18" t="inlineStr">
        <is>
          <t>+91 9920264452</t>
        </is>
      </c>
      <c r="K179" s="15" t="inlineStr">
        <is>
          <t>chetan@weekday.works</t>
        </is>
      </c>
      <c r="L179" s="15" t="inlineStr">
        <is>
          <t>&lt;calendly_link&gt;</t>
        </is>
      </c>
      <c r="M179" s="15" t="inlineStr">
        <is>
          <t>Yes</t>
        </is>
      </c>
      <c r="N179" s="15" t="n"/>
      <c r="O179" s="15" t="n"/>
      <c r="P179" s="15" t="n"/>
      <c r="Q179" s="15" t="n"/>
      <c r="R179" s="15">
        <f>IF(OR(O179="Scheduled",Q179="Scheduled"),"SCHEDULED",IF(Q179="Escalate to call","ESCALATED TO CALL",IF(N179="Bad contact","BAD CONTACT",IF(N179="","NOT STARTED","IN PROGRESS"))))</f>
        <v/>
      </c>
      <c r="S179" s="15" t="n"/>
    </row>
    <row r="180">
      <c r="A180" s="15" t="inlineStr">
        <is>
          <t>REQ-0179</t>
        </is>
      </c>
      <c r="B180" s="16" t="n">
        <v>44867.82708333333</v>
      </c>
      <c r="C180" s="16">
        <f>B180+1</f>
        <v/>
      </c>
      <c r="D180" s="17">
        <f>(C180-NOW())*24</f>
        <v/>
      </c>
      <c r="E180" s="15">
        <f>IF(N180="","STEP 1: Send WhatsApp + Email blast now (Playbook M1)",IF(N180="Bad contact","STOP: report bad contact to lead (Playbook)",IF(O180="Scheduled","DONE: scheduled via Calendly",IF(O180="","STEP 2: Check Calendly now",IF(P180="","STEP 3: Send WhatsApp nudge (Playbook M2)",IF(Q180="Scheduled","DONE: scheduled via Calendly",IF(Q180="Escalate to call","HANDED to Shyam (call queue)","STEP 4: Final Calendly check")))))))</f>
        <v/>
      </c>
      <c r="F180" s="16">
        <f>IF(N180="",B180,IF(O180="",B180+2/24,IF(AND(O180="Not yet",P180=""),B180+2/24,IF(Q180="",B180+4/24,""))))</f>
        <v/>
      </c>
      <c r="G180" s="15" t="inlineStr">
        <is>
          <t>Chetan</t>
        </is>
      </c>
      <c r="H180" s="15" t="inlineStr">
        <is>
          <t>Google</t>
        </is>
      </c>
      <c r="I180" s="15" t="inlineStr">
        <is>
          <t>Round1</t>
        </is>
      </c>
      <c r="J180" s="18" t="inlineStr">
        <is>
          <t>+91 9920264452</t>
        </is>
      </c>
      <c r="K180" s="15" t="inlineStr">
        <is>
          <t>chetan@weekday.works</t>
        </is>
      </c>
      <c r="L180" s="15" t="inlineStr">
        <is>
          <t>&lt;calendly_link&gt;</t>
        </is>
      </c>
      <c r="M180" s="15" t="inlineStr">
        <is>
          <t>Yes</t>
        </is>
      </c>
      <c r="N180" s="15" t="n"/>
      <c r="O180" s="15" t="n"/>
      <c r="P180" s="15" t="n"/>
      <c r="Q180" s="15" t="n"/>
      <c r="R180" s="15">
        <f>IF(OR(O180="Scheduled",Q180="Scheduled"),"SCHEDULED",IF(Q180="Escalate to call","ESCALATED TO CALL",IF(N180="Bad contact","BAD CONTACT",IF(N180="","NOT STARTED","IN PROGRESS"))))</f>
        <v/>
      </c>
      <c r="S180" s="15" t="n"/>
    </row>
    <row r="181">
      <c r="A181" s="15" t="inlineStr">
        <is>
          <t>REQ-0180</t>
        </is>
      </c>
      <c r="B181" s="16" t="n">
        <v>44867.82708333333</v>
      </c>
      <c r="C181" s="16">
        <f>B181+1</f>
        <v/>
      </c>
      <c r="D181" s="17">
        <f>(C181-NOW())*24</f>
        <v/>
      </c>
      <c r="E181" s="15">
        <f>IF(N181="","STEP 1: Send WhatsApp + Email blast now (Playbook M1)",IF(N181="Bad contact","STOP: report bad contact to lead (Playbook)",IF(O181="Scheduled","DONE: scheduled via Calendly",IF(O181="","STEP 2: Check Calendly now",IF(P181="","STEP 3: Send WhatsApp nudge (Playbook M2)",IF(Q181="Scheduled","DONE: scheduled via Calendly",IF(Q181="Escalate to call","HANDED to Shyam (call queue)","STEP 4: Final Calendly check")))))))</f>
        <v/>
      </c>
      <c r="F181" s="16">
        <f>IF(N181="",B181,IF(O181="",B181+2/24,IF(AND(O181="Not yet",P181=""),B181+2/24,IF(Q181="",B181+4/24,""))))</f>
        <v/>
      </c>
      <c r="G181" s="15" t="inlineStr">
        <is>
          <t>Chetan</t>
        </is>
      </c>
      <c r="H181" s="15" t="inlineStr">
        <is>
          <t>Google</t>
        </is>
      </c>
      <c r="I181" s="15" t="inlineStr">
        <is>
          <t>Round1</t>
        </is>
      </c>
      <c r="J181" s="18" t="inlineStr">
        <is>
          <t>+91 9920264452</t>
        </is>
      </c>
      <c r="K181" s="15" t="inlineStr">
        <is>
          <t>chetan@weekday.works</t>
        </is>
      </c>
      <c r="L181" s="15" t="inlineStr">
        <is>
          <t>&lt;calendly_link&gt;</t>
        </is>
      </c>
      <c r="M181" s="15" t="inlineStr">
        <is>
          <t>Yes</t>
        </is>
      </c>
      <c r="N181" s="15" t="n"/>
      <c r="O181" s="15" t="n"/>
      <c r="P181" s="15" t="n"/>
      <c r="Q181" s="15" t="n"/>
      <c r="R181" s="15">
        <f>IF(OR(O181="Scheduled",Q181="Scheduled"),"SCHEDULED",IF(Q181="Escalate to call","ESCALATED TO CALL",IF(N181="Bad contact","BAD CONTACT",IF(N181="","NOT STARTED","IN PROGRESS"))))</f>
        <v/>
      </c>
      <c r="S181" s="15" t="n"/>
    </row>
    <row r="182">
      <c r="A182" s="15" t="inlineStr">
        <is>
          <t>REQ-0181</t>
        </is>
      </c>
      <c r="B182" s="16" t="n">
        <v>44867.82708333333</v>
      </c>
      <c r="C182" s="16">
        <f>B182+1</f>
        <v/>
      </c>
      <c r="D182" s="17">
        <f>(C182-NOW())*24</f>
        <v/>
      </c>
      <c r="E182" s="15">
        <f>IF(N182="","STEP 1: Send WhatsApp + Email blast now (Playbook M1)",IF(N182="Bad contact","STOP: report bad contact to lead (Playbook)",IF(O182="Scheduled","DONE: scheduled via Calendly",IF(O182="","STEP 2: Check Calendly now",IF(P182="","STEP 3: Send WhatsApp nudge (Playbook M2)",IF(Q182="Scheduled","DONE: scheduled via Calendly",IF(Q182="Escalate to call","HANDED to Shyam (call queue)","STEP 4: Final Calendly check")))))))</f>
        <v/>
      </c>
      <c r="F182" s="16">
        <f>IF(N182="",B182,IF(O182="",B182+2/24,IF(AND(O182="Not yet",P182=""),B182+2/24,IF(Q182="",B182+4/24,""))))</f>
        <v/>
      </c>
      <c r="G182" s="15" t="inlineStr">
        <is>
          <t>Chetan</t>
        </is>
      </c>
      <c r="H182" s="15" t="inlineStr">
        <is>
          <t>Google</t>
        </is>
      </c>
      <c r="I182" s="15" t="inlineStr">
        <is>
          <t>Round1</t>
        </is>
      </c>
      <c r="J182" s="18" t="inlineStr">
        <is>
          <t>+91 9920264452</t>
        </is>
      </c>
      <c r="K182" s="15" t="inlineStr">
        <is>
          <t>chetan@weekday.works</t>
        </is>
      </c>
      <c r="L182" s="15" t="inlineStr">
        <is>
          <t>&lt;calendly_link&gt;</t>
        </is>
      </c>
      <c r="M182" s="15" t="inlineStr">
        <is>
          <t>Yes</t>
        </is>
      </c>
      <c r="N182" s="15" t="n"/>
      <c r="O182" s="15" t="n"/>
      <c r="P182" s="15" t="n"/>
      <c r="Q182" s="15" t="n"/>
      <c r="R182" s="15">
        <f>IF(OR(O182="Scheduled",Q182="Scheduled"),"SCHEDULED",IF(Q182="Escalate to call","ESCALATED TO CALL",IF(N182="Bad contact","BAD CONTACT",IF(N182="","NOT STARTED","IN PROGRESS"))))</f>
        <v/>
      </c>
      <c r="S182" s="15" t="n"/>
    </row>
    <row r="183">
      <c r="A183" s="15" t="inlineStr">
        <is>
          <t>REQ-0182</t>
        </is>
      </c>
      <c r="B183" s="16" t="n">
        <v>44867.82708333333</v>
      </c>
      <c r="C183" s="16">
        <f>B183+1</f>
        <v/>
      </c>
      <c r="D183" s="17">
        <f>(C183-NOW())*24</f>
        <v/>
      </c>
      <c r="E183" s="15">
        <f>IF(N183="","STEP 1: Send WhatsApp + Email blast now (Playbook M1)",IF(N183="Bad contact","STOP: report bad contact to lead (Playbook)",IF(O183="Scheduled","DONE: scheduled via Calendly",IF(O183="","STEP 2: Check Calendly now",IF(P183="","STEP 3: Send WhatsApp nudge (Playbook M2)",IF(Q183="Scheduled","DONE: scheduled via Calendly",IF(Q183="Escalate to call","HANDED to Shyam (call queue)","STEP 4: Final Calendly check")))))))</f>
        <v/>
      </c>
      <c r="F183" s="16">
        <f>IF(N183="",B183,IF(O183="",B183+2/24,IF(AND(O183="Not yet",P183=""),B183+2/24,IF(Q183="",B183+4/24,""))))</f>
        <v/>
      </c>
      <c r="G183" s="15" t="inlineStr">
        <is>
          <t>Chetan</t>
        </is>
      </c>
      <c r="H183" s="15" t="inlineStr">
        <is>
          <t>Google</t>
        </is>
      </c>
      <c r="I183" s="15" t="inlineStr">
        <is>
          <t>Round1</t>
        </is>
      </c>
      <c r="J183" s="18" t="inlineStr">
        <is>
          <t>+91 9920264452</t>
        </is>
      </c>
      <c r="K183" s="15" t="inlineStr">
        <is>
          <t>chetan@weekday.works</t>
        </is>
      </c>
      <c r="L183" s="15" t="inlineStr">
        <is>
          <t>&lt;calendly_link&gt;</t>
        </is>
      </c>
      <c r="M183" s="15" t="inlineStr">
        <is>
          <t>Yes</t>
        </is>
      </c>
      <c r="N183" s="15" t="n"/>
      <c r="O183" s="15" t="n"/>
      <c r="P183" s="15" t="n"/>
      <c r="Q183" s="15" t="n"/>
      <c r="R183" s="15">
        <f>IF(OR(O183="Scheduled",Q183="Scheduled"),"SCHEDULED",IF(Q183="Escalate to call","ESCALATED TO CALL",IF(N183="Bad contact","BAD CONTACT",IF(N183="","NOT STARTED","IN PROGRESS"))))</f>
        <v/>
      </c>
      <c r="S183" s="15" t="n"/>
    </row>
    <row r="184">
      <c r="A184" s="15" t="inlineStr">
        <is>
          <t>REQ-0183</t>
        </is>
      </c>
      <c r="B184" s="16" t="n">
        <v>44867.82708333333</v>
      </c>
      <c r="C184" s="16">
        <f>B184+1</f>
        <v/>
      </c>
      <c r="D184" s="17">
        <f>(C184-NOW())*24</f>
        <v/>
      </c>
      <c r="E184" s="15">
        <f>IF(N184="","STEP 1: Send WhatsApp + Email blast now (Playbook M1)",IF(N184="Bad contact","STOP: report bad contact to lead (Playbook)",IF(O184="Scheduled","DONE: scheduled via Calendly",IF(O184="","STEP 2: Check Calendly now",IF(P184="","STEP 3: Send WhatsApp nudge (Playbook M2)",IF(Q184="Scheduled","DONE: scheduled via Calendly",IF(Q184="Escalate to call","HANDED to Shyam (call queue)","STEP 4: Final Calendly check")))))))</f>
        <v/>
      </c>
      <c r="F184" s="16">
        <f>IF(N184="",B184,IF(O184="",B184+2/24,IF(AND(O184="Not yet",P184=""),B184+2/24,IF(Q184="",B184+4/24,""))))</f>
        <v/>
      </c>
      <c r="G184" s="15" t="inlineStr">
        <is>
          <t>Chetan</t>
        </is>
      </c>
      <c r="H184" s="15" t="inlineStr">
        <is>
          <t>Google</t>
        </is>
      </c>
      <c r="I184" s="15" t="inlineStr">
        <is>
          <t>Round1</t>
        </is>
      </c>
      <c r="J184" s="18" t="inlineStr">
        <is>
          <t>+91 9920264452</t>
        </is>
      </c>
      <c r="K184" s="15" t="inlineStr">
        <is>
          <t>chetan@weekday.works</t>
        </is>
      </c>
      <c r="L184" s="15" t="inlineStr">
        <is>
          <t>&lt;calendly_link&gt;</t>
        </is>
      </c>
      <c r="M184" s="15" t="inlineStr">
        <is>
          <t>Yes</t>
        </is>
      </c>
      <c r="N184" s="15" t="n"/>
      <c r="O184" s="15" t="n"/>
      <c r="P184" s="15" t="n"/>
      <c r="Q184" s="15" t="n"/>
      <c r="R184" s="15">
        <f>IF(OR(O184="Scheduled",Q184="Scheduled"),"SCHEDULED",IF(Q184="Escalate to call","ESCALATED TO CALL",IF(N184="Bad contact","BAD CONTACT",IF(N184="","NOT STARTED","IN PROGRESS"))))</f>
        <v/>
      </c>
      <c r="S184" s="15" t="n"/>
    </row>
    <row r="185">
      <c r="A185" s="15" t="inlineStr">
        <is>
          <t>REQ-0184</t>
        </is>
      </c>
      <c r="B185" s="16" t="n">
        <v>44867.82708333333</v>
      </c>
      <c r="C185" s="16">
        <f>B185+1</f>
        <v/>
      </c>
      <c r="D185" s="17">
        <f>(C185-NOW())*24</f>
        <v/>
      </c>
      <c r="E185" s="15">
        <f>IF(N185="","STEP 1: Send WhatsApp + Email blast now (Playbook M1)",IF(N185="Bad contact","STOP: report bad contact to lead (Playbook)",IF(O185="Scheduled","DONE: scheduled via Calendly",IF(O185="","STEP 2: Check Calendly now",IF(P185="","STEP 3: Send WhatsApp nudge (Playbook M2)",IF(Q185="Scheduled","DONE: scheduled via Calendly",IF(Q185="Escalate to call","HANDED to Shyam (call queue)","STEP 4: Final Calendly check")))))))</f>
        <v/>
      </c>
      <c r="F185" s="16">
        <f>IF(N185="",B185,IF(O185="",B185+2/24,IF(AND(O185="Not yet",P185=""),B185+2/24,IF(Q185="",B185+4/24,""))))</f>
        <v/>
      </c>
      <c r="G185" s="15" t="inlineStr">
        <is>
          <t>Chetan</t>
        </is>
      </c>
      <c r="H185" s="15" t="inlineStr">
        <is>
          <t>Google</t>
        </is>
      </c>
      <c r="I185" s="15" t="inlineStr">
        <is>
          <t>Round1</t>
        </is>
      </c>
      <c r="J185" s="18" t="inlineStr">
        <is>
          <t>+91 9920264452</t>
        </is>
      </c>
      <c r="K185" s="15" t="inlineStr">
        <is>
          <t>chetan@weekday.works</t>
        </is>
      </c>
      <c r="L185" s="15" t="inlineStr">
        <is>
          <t>&lt;calendly_link&gt;</t>
        </is>
      </c>
      <c r="M185" s="15" t="inlineStr">
        <is>
          <t>Yes</t>
        </is>
      </c>
      <c r="N185" s="15" t="n"/>
      <c r="O185" s="15" t="n"/>
      <c r="P185" s="15" t="n"/>
      <c r="Q185" s="15" t="n"/>
      <c r="R185" s="15">
        <f>IF(OR(O185="Scheduled",Q185="Scheduled"),"SCHEDULED",IF(Q185="Escalate to call","ESCALATED TO CALL",IF(N185="Bad contact","BAD CONTACT",IF(N185="","NOT STARTED","IN PROGRESS"))))</f>
        <v/>
      </c>
      <c r="S185" s="15" t="n"/>
    </row>
    <row r="186">
      <c r="A186" s="15" t="inlineStr">
        <is>
          <t>REQ-0185</t>
        </is>
      </c>
      <c r="B186" s="16" t="n">
        <v>44867.82708333333</v>
      </c>
      <c r="C186" s="16">
        <f>B186+1</f>
        <v/>
      </c>
      <c r="D186" s="17">
        <f>(C186-NOW())*24</f>
        <v/>
      </c>
      <c r="E186" s="15">
        <f>IF(N186="","STEP 1: Send WhatsApp + Email blast now (Playbook M1)",IF(N186="Bad contact","STOP: report bad contact to lead (Playbook)",IF(O186="Scheduled","DONE: scheduled via Calendly",IF(O186="","STEP 2: Check Calendly now",IF(P186="","STEP 3: Send WhatsApp nudge (Playbook M2)",IF(Q186="Scheduled","DONE: scheduled via Calendly",IF(Q186="Escalate to call","HANDED to Shyam (call queue)","STEP 4: Final Calendly check")))))))</f>
        <v/>
      </c>
      <c r="F186" s="16">
        <f>IF(N186="",B186,IF(O186="",B186+2/24,IF(AND(O186="Not yet",P186=""),B186+2/24,IF(Q186="",B186+4/24,""))))</f>
        <v/>
      </c>
      <c r="G186" s="15" t="inlineStr">
        <is>
          <t>Chetan</t>
        </is>
      </c>
      <c r="H186" s="15" t="inlineStr">
        <is>
          <t>Google</t>
        </is>
      </c>
      <c r="I186" s="15" t="inlineStr">
        <is>
          <t>Round1</t>
        </is>
      </c>
      <c r="J186" s="18" t="inlineStr">
        <is>
          <t>+91 9920264452</t>
        </is>
      </c>
      <c r="K186" s="15" t="inlineStr">
        <is>
          <t>chetan@weekday.works</t>
        </is>
      </c>
      <c r="L186" s="15" t="inlineStr">
        <is>
          <t>&lt;calendly_link&gt;</t>
        </is>
      </c>
      <c r="M186" s="15" t="inlineStr">
        <is>
          <t>Yes</t>
        </is>
      </c>
      <c r="N186" s="15" t="n"/>
      <c r="O186" s="15" t="n"/>
      <c r="P186" s="15" t="n"/>
      <c r="Q186" s="15" t="n"/>
      <c r="R186" s="15">
        <f>IF(OR(O186="Scheduled",Q186="Scheduled"),"SCHEDULED",IF(Q186="Escalate to call","ESCALATED TO CALL",IF(N186="Bad contact","BAD CONTACT",IF(N186="","NOT STARTED","IN PROGRESS"))))</f>
        <v/>
      </c>
      <c r="S186" s="15" t="n"/>
    </row>
    <row r="187">
      <c r="A187" s="15" t="inlineStr">
        <is>
          <t>REQ-0186</t>
        </is>
      </c>
      <c r="B187" s="16" t="n">
        <v>44867.82708333333</v>
      </c>
      <c r="C187" s="16">
        <f>B187+1</f>
        <v/>
      </c>
      <c r="D187" s="17">
        <f>(C187-NOW())*24</f>
        <v/>
      </c>
      <c r="E187" s="15">
        <f>IF(N187="","STEP 1: Send WhatsApp + Email blast now (Playbook M1)",IF(N187="Bad contact","STOP: report bad contact to lead (Playbook)",IF(O187="Scheduled","DONE: scheduled via Calendly",IF(O187="","STEP 2: Check Calendly now",IF(P187="","STEP 3: Send WhatsApp nudge (Playbook M2)",IF(Q187="Scheduled","DONE: scheduled via Calendly",IF(Q187="Escalate to call","HANDED to Shyam (call queue)","STEP 4: Final Calendly check")))))))</f>
        <v/>
      </c>
      <c r="F187" s="16">
        <f>IF(N187="",B187,IF(O187="",B187+2/24,IF(AND(O187="Not yet",P187=""),B187+2/24,IF(Q187="",B187+4/24,""))))</f>
        <v/>
      </c>
      <c r="G187" s="15" t="inlineStr">
        <is>
          <t>Chetan</t>
        </is>
      </c>
      <c r="H187" s="15" t="inlineStr">
        <is>
          <t>Google</t>
        </is>
      </c>
      <c r="I187" s="15" t="inlineStr">
        <is>
          <t>Round1</t>
        </is>
      </c>
      <c r="J187" s="18" t="inlineStr">
        <is>
          <t>+91 9920264452</t>
        </is>
      </c>
      <c r="K187" s="15" t="inlineStr">
        <is>
          <t>chetan@weekday.works</t>
        </is>
      </c>
      <c r="L187" s="15" t="inlineStr">
        <is>
          <t>&lt;calendly_link&gt;</t>
        </is>
      </c>
      <c r="M187" s="15" t="inlineStr">
        <is>
          <t>Yes</t>
        </is>
      </c>
      <c r="N187" s="15" t="n"/>
      <c r="O187" s="15" t="n"/>
      <c r="P187" s="15" t="n"/>
      <c r="Q187" s="15" t="n"/>
      <c r="R187" s="15">
        <f>IF(OR(O187="Scheduled",Q187="Scheduled"),"SCHEDULED",IF(Q187="Escalate to call","ESCALATED TO CALL",IF(N187="Bad contact","BAD CONTACT",IF(N187="","NOT STARTED","IN PROGRESS"))))</f>
        <v/>
      </c>
      <c r="S187" s="15" t="n"/>
    </row>
    <row r="188">
      <c r="A188" s="15" t="inlineStr">
        <is>
          <t>REQ-0187</t>
        </is>
      </c>
      <c r="B188" s="16" t="n">
        <v>44867.82708333333</v>
      </c>
      <c r="C188" s="16">
        <f>B188+1</f>
        <v/>
      </c>
      <c r="D188" s="17">
        <f>(C188-NOW())*24</f>
        <v/>
      </c>
      <c r="E188" s="15">
        <f>IF(N188="","STEP 1: Send WhatsApp + Email blast now (Playbook M1)",IF(N188="Bad contact","STOP: report bad contact to lead (Playbook)",IF(O188="Scheduled","DONE: scheduled via Calendly",IF(O188="","STEP 2: Check Calendly now",IF(P188="","STEP 3: Send WhatsApp nudge (Playbook M2)",IF(Q188="Scheduled","DONE: scheduled via Calendly",IF(Q188="Escalate to call","HANDED to Shyam (call queue)","STEP 4: Final Calendly check")))))))</f>
        <v/>
      </c>
      <c r="F188" s="16">
        <f>IF(N188="",B188,IF(O188="",B188+2/24,IF(AND(O188="Not yet",P188=""),B188+2/24,IF(Q188="",B188+4/24,""))))</f>
        <v/>
      </c>
      <c r="G188" s="15" t="inlineStr">
        <is>
          <t>Chetan</t>
        </is>
      </c>
      <c r="H188" s="15" t="inlineStr">
        <is>
          <t>Google</t>
        </is>
      </c>
      <c r="I188" s="15" t="inlineStr">
        <is>
          <t>Round1</t>
        </is>
      </c>
      <c r="J188" s="18" t="inlineStr">
        <is>
          <t>+91 9920264452</t>
        </is>
      </c>
      <c r="K188" s="15" t="inlineStr">
        <is>
          <t>chetan@weekday.works</t>
        </is>
      </c>
      <c r="L188" s="15" t="inlineStr">
        <is>
          <t>&lt;calendly_link&gt;</t>
        </is>
      </c>
      <c r="M188" s="15" t="inlineStr">
        <is>
          <t>Yes</t>
        </is>
      </c>
      <c r="N188" s="15" t="n"/>
      <c r="O188" s="15" t="n"/>
      <c r="P188" s="15" t="n"/>
      <c r="Q188" s="15" t="n"/>
      <c r="R188" s="15">
        <f>IF(OR(O188="Scheduled",Q188="Scheduled"),"SCHEDULED",IF(Q188="Escalate to call","ESCALATED TO CALL",IF(N188="Bad contact","BAD CONTACT",IF(N188="","NOT STARTED","IN PROGRESS"))))</f>
        <v/>
      </c>
      <c r="S188" s="15" t="n"/>
    </row>
    <row r="189">
      <c r="A189" s="15" t="inlineStr">
        <is>
          <t>REQ-0188</t>
        </is>
      </c>
      <c r="B189" s="16" t="n">
        <v>44867.82708333333</v>
      </c>
      <c r="C189" s="16">
        <f>B189+1</f>
        <v/>
      </c>
      <c r="D189" s="17">
        <f>(C189-NOW())*24</f>
        <v/>
      </c>
      <c r="E189" s="15">
        <f>IF(N189="","STEP 1: Send WhatsApp + Email blast now (Playbook M1)",IF(N189="Bad contact","STOP: report bad contact to lead (Playbook)",IF(O189="Scheduled","DONE: scheduled via Calendly",IF(O189="","STEP 2: Check Calendly now",IF(P189="","STEP 3: Send WhatsApp nudge (Playbook M2)",IF(Q189="Scheduled","DONE: scheduled via Calendly",IF(Q189="Escalate to call","HANDED to Shyam (call queue)","STEP 4: Final Calendly check")))))))</f>
        <v/>
      </c>
      <c r="F189" s="16">
        <f>IF(N189="",B189,IF(O189="",B189+2/24,IF(AND(O189="Not yet",P189=""),B189+2/24,IF(Q189="",B189+4/24,""))))</f>
        <v/>
      </c>
      <c r="G189" s="15" t="inlineStr">
        <is>
          <t>Chetan</t>
        </is>
      </c>
      <c r="H189" s="15" t="inlineStr">
        <is>
          <t>Google</t>
        </is>
      </c>
      <c r="I189" s="15" t="inlineStr">
        <is>
          <t>Round1</t>
        </is>
      </c>
      <c r="J189" s="18" t="inlineStr">
        <is>
          <t>+91 9920264452</t>
        </is>
      </c>
      <c r="K189" s="15" t="inlineStr">
        <is>
          <t>chetan@weekday.works</t>
        </is>
      </c>
      <c r="L189" s="15" t="inlineStr">
        <is>
          <t>&lt;calendly_link&gt;</t>
        </is>
      </c>
      <c r="M189" s="15" t="inlineStr">
        <is>
          <t>Yes</t>
        </is>
      </c>
      <c r="N189" s="15" t="n"/>
      <c r="O189" s="15" t="n"/>
      <c r="P189" s="15" t="n"/>
      <c r="Q189" s="15" t="n"/>
      <c r="R189" s="15">
        <f>IF(OR(O189="Scheduled",Q189="Scheduled"),"SCHEDULED",IF(Q189="Escalate to call","ESCALATED TO CALL",IF(N189="Bad contact","BAD CONTACT",IF(N189="","NOT STARTED","IN PROGRESS"))))</f>
        <v/>
      </c>
      <c r="S189" s="15" t="n"/>
    </row>
    <row r="190">
      <c r="A190" s="15" t="inlineStr">
        <is>
          <t>REQ-0189</t>
        </is>
      </c>
      <c r="B190" s="16" t="n">
        <v>44867.82708333333</v>
      </c>
      <c r="C190" s="16">
        <f>B190+1</f>
        <v/>
      </c>
      <c r="D190" s="17">
        <f>(C190-NOW())*24</f>
        <v/>
      </c>
      <c r="E190" s="15">
        <f>IF(N190="","STEP 1: Send WhatsApp + Email blast now (Playbook M1)",IF(N190="Bad contact","STOP: report bad contact to lead (Playbook)",IF(O190="Scheduled","DONE: scheduled via Calendly",IF(O190="","STEP 2: Check Calendly now",IF(P190="","STEP 3: Send WhatsApp nudge (Playbook M2)",IF(Q190="Scheduled","DONE: scheduled via Calendly",IF(Q190="Escalate to call","HANDED to Shyam (call queue)","STEP 4: Final Calendly check")))))))</f>
        <v/>
      </c>
      <c r="F190" s="16">
        <f>IF(N190="",B190,IF(O190="",B190+2/24,IF(AND(O190="Not yet",P190=""),B190+2/24,IF(Q190="",B190+4/24,""))))</f>
        <v/>
      </c>
      <c r="G190" s="15" t="inlineStr">
        <is>
          <t>Chetan</t>
        </is>
      </c>
      <c r="H190" s="15" t="inlineStr">
        <is>
          <t>Google</t>
        </is>
      </c>
      <c r="I190" s="15" t="inlineStr">
        <is>
          <t>Round1</t>
        </is>
      </c>
      <c r="J190" s="18" t="inlineStr">
        <is>
          <t>+91 9920264452</t>
        </is>
      </c>
      <c r="K190" s="15" t="inlineStr">
        <is>
          <t>chetan@weekday.works</t>
        </is>
      </c>
      <c r="L190" s="15" t="inlineStr">
        <is>
          <t>&lt;calendly_link&gt;</t>
        </is>
      </c>
      <c r="M190" s="15" t="inlineStr">
        <is>
          <t>Yes</t>
        </is>
      </c>
      <c r="N190" s="15" t="n"/>
      <c r="O190" s="15" t="n"/>
      <c r="P190" s="15" t="n"/>
      <c r="Q190" s="15" t="n"/>
      <c r="R190" s="15">
        <f>IF(OR(O190="Scheduled",Q190="Scheduled"),"SCHEDULED",IF(Q190="Escalate to call","ESCALATED TO CALL",IF(N190="Bad contact","BAD CONTACT",IF(N190="","NOT STARTED","IN PROGRESS"))))</f>
        <v/>
      </c>
      <c r="S190" s="15" t="n"/>
    </row>
    <row r="191">
      <c r="A191" s="15" t="inlineStr">
        <is>
          <t>REQ-0190</t>
        </is>
      </c>
      <c r="B191" s="16" t="n">
        <v>44867.82708333333</v>
      </c>
      <c r="C191" s="16">
        <f>B191+1</f>
        <v/>
      </c>
      <c r="D191" s="17">
        <f>(C191-NOW())*24</f>
        <v/>
      </c>
      <c r="E191" s="15">
        <f>IF(N191="","STEP 1: Send WhatsApp + Email blast now (Playbook M1)",IF(N191="Bad contact","STOP: report bad contact to lead (Playbook)",IF(O191="Scheduled","DONE: scheduled via Calendly",IF(O191="","STEP 2: Check Calendly now",IF(P191="","STEP 3: Send WhatsApp nudge (Playbook M2)",IF(Q191="Scheduled","DONE: scheduled via Calendly",IF(Q191="Escalate to call","HANDED to Shyam (call queue)","STEP 4: Final Calendly check")))))))</f>
        <v/>
      </c>
      <c r="F191" s="16">
        <f>IF(N191="",B191,IF(O191="",B191+2/24,IF(AND(O191="Not yet",P191=""),B191+2/24,IF(Q191="",B191+4/24,""))))</f>
        <v/>
      </c>
      <c r="G191" s="15" t="inlineStr">
        <is>
          <t>Chetan</t>
        </is>
      </c>
      <c r="H191" s="15" t="inlineStr">
        <is>
          <t>Google</t>
        </is>
      </c>
      <c r="I191" s="15" t="inlineStr">
        <is>
          <t>Round1</t>
        </is>
      </c>
      <c r="J191" s="18" t="inlineStr">
        <is>
          <t>+91 9920264452</t>
        </is>
      </c>
      <c r="K191" s="15" t="inlineStr">
        <is>
          <t>chetan@weekday.works</t>
        </is>
      </c>
      <c r="L191" s="15" t="inlineStr">
        <is>
          <t>&lt;calendly_link&gt;</t>
        </is>
      </c>
      <c r="M191" s="15" t="inlineStr">
        <is>
          <t>Yes</t>
        </is>
      </c>
      <c r="N191" s="15" t="n"/>
      <c r="O191" s="15" t="n"/>
      <c r="P191" s="15" t="n"/>
      <c r="Q191" s="15" t="n"/>
      <c r="R191" s="15">
        <f>IF(OR(O191="Scheduled",Q191="Scheduled"),"SCHEDULED",IF(Q191="Escalate to call","ESCALATED TO CALL",IF(N191="Bad contact","BAD CONTACT",IF(N191="","NOT STARTED","IN PROGRESS"))))</f>
        <v/>
      </c>
      <c r="S191" s="15" t="n"/>
    </row>
    <row r="192">
      <c r="A192" s="15" t="inlineStr">
        <is>
          <t>REQ-0191</t>
        </is>
      </c>
      <c r="B192" s="16" t="n">
        <v>44867.82708333333</v>
      </c>
      <c r="C192" s="16">
        <f>B192+1</f>
        <v/>
      </c>
      <c r="D192" s="17">
        <f>(C192-NOW())*24</f>
        <v/>
      </c>
      <c r="E192" s="15">
        <f>IF(N192="","STEP 1: Send WhatsApp + Email blast now (Playbook M1)",IF(N192="Bad contact","STOP: report bad contact to lead (Playbook)",IF(O192="Scheduled","DONE: scheduled via Calendly",IF(O192="","STEP 2: Check Calendly now",IF(P192="","STEP 3: Send WhatsApp nudge (Playbook M2)",IF(Q192="Scheduled","DONE: scheduled via Calendly",IF(Q192="Escalate to call","HANDED to Shyam (call queue)","STEP 4: Final Calendly check")))))))</f>
        <v/>
      </c>
      <c r="F192" s="16">
        <f>IF(N192="",B192,IF(O192="",B192+2/24,IF(AND(O192="Not yet",P192=""),B192+2/24,IF(Q192="",B192+4/24,""))))</f>
        <v/>
      </c>
      <c r="G192" s="15" t="inlineStr">
        <is>
          <t>Chetan</t>
        </is>
      </c>
      <c r="H192" s="15" t="inlineStr">
        <is>
          <t>Google</t>
        </is>
      </c>
      <c r="I192" s="15" t="inlineStr">
        <is>
          <t>Round1</t>
        </is>
      </c>
      <c r="J192" s="18" t="inlineStr">
        <is>
          <t>+91 9920264452</t>
        </is>
      </c>
      <c r="K192" s="15" t="inlineStr">
        <is>
          <t>chetan@weekday.works</t>
        </is>
      </c>
      <c r="L192" s="15" t="inlineStr">
        <is>
          <t>&lt;calendly_link&gt;</t>
        </is>
      </c>
      <c r="M192" s="15" t="inlineStr">
        <is>
          <t>Yes</t>
        </is>
      </c>
      <c r="N192" s="15" t="n"/>
      <c r="O192" s="15" t="n"/>
      <c r="P192" s="15" t="n"/>
      <c r="Q192" s="15" t="n"/>
      <c r="R192" s="15">
        <f>IF(OR(O192="Scheduled",Q192="Scheduled"),"SCHEDULED",IF(Q192="Escalate to call","ESCALATED TO CALL",IF(N192="Bad contact","BAD CONTACT",IF(N192="","NOT STARTED","IN PROGRESS"))))</f>
        <v/>
      </c>
      <c r="S192" s="15" t="n"/>
    </row>
    <row r="193">
      <c r="A193" s="15" t="inlineStr">
        <is>
          <t>REQ-0192</t>
        </is>
      </c>
      <c r="B193" s="16" t="n">
        <v>44867.82708333333</v>
      </c>
      <c r="C193" s="16">
        <f>B193+1</f>
        <v/>
      </c>
      <c r="D193" s="17">
        <f>(C193-NOW())*24</f>
        <v/>
      </c>
      <c r="E193" s="15">
        <f>IF(N193="","STEP 1: Send WhatsApp + Email blast now (Playbook M1)",IF(N193="Bad contact","STOP: report bad contact to lead (Playbook)",IF(O193="Scheduled","DONE: scheduled via Calendly",IF(O193="","STEP 2: Check Calendly now",IF(P193="","STEP 3: Send WhatsApp nudge (Playbook M2)",IF(Q193="Scheduled","DONE: scheduled via Calendly",IF(Q193="Escalate to call","HANDED to Shyam (call queue)","STEP 4: Final Calendly check")))))))</f>
        <v/>
      </c>
      <c r="F193" s="16">
        <f>IF(N193="",B193,IF(O193="",B193+2/24,IF(AND(O193="Not yet",P193=""),B193+2/24,IF(Q193="",B193+4/24,""))))</f>
        <v/>
      </c>
      <c r="G193" s="15" t="inlineStr">
        <is>
          <t>Chetan</t>
        </is>
      </c>
      <c r="H193" s="15" t="inlineStr">
        <is>
          <t>Google</t>
        </is>
      </c>
      <c r="I193" s="15" t="inlineStr">
        <is>
          <t>Round1</t>
        </is>
      </c>
      <c r="J193" s="18" t="inlineStr">
        <is>
          <t>+91 9920264452</t>
        </is>
      </c>
      <c r="K193" s="15" t="inlineStr">
        <is>
          <t>chetan@weekday.works</t>
        </is>
      </c>
      <c r="L193" s="15" t="inlineStr">
        <is>
          <t>&lt;calendly_link&gt;</t>
        </is>
      </c>
      <c r="M193" s="15" t="inlineStr">
        <is>
          <t>Yes</t>
        </is>
      </c>
      <c r="N193" s="15" t="n"/>
      <c r="O193" s="15" t="n"/>
      <c r="P193" s="15" t="n"/>
      <c r="Q193" s="15" t="n"/>
      <c r="R193" s="15">
        <f>IF(OR(O193="Scheduled",Q193="Scheduled"),"SCHEDULED",IF(Q193="Escalate to call","ESCALATED TO CALL",IF(N193="Bad contact","BAD CONTACT",IF(N193="","NOT STARTED","IN PROGRESS"))))</f>
        <v/>
      </c>
      <c r="S193" s="15" t="n"/>
    </row>
    <row r="194">
      <c r="A194" s="15" t="inlineStr">
        <is>
          <t>REQ-0193</t>
        </is>
      </c>
      <c r="B194" s="16" t="n">
        <v>44867.82708333333</v>
      </c>
      <c r="C194" s="16">
        <f>B194+1</f>
        <v/>
      </c>
      <c r="D194" s="17">
        <f>(C194-NOW())*24</f>
        <v/>
      </c>
      <c r="E194" s="15">
        <f>IF(N194="","STEP 1: Send WhatsApp + Email blast now (Playbook M1)",IF(N194="Bad contact","STOP: report bad contact to lead (Playbook)",IF(O194="Scheduled","DONE: scheduled via Calendly",IF(O194="","STEP 2: Check Calendly now",IF(P194="","STEP 3: Send WhatsApp nudge (Playbook M2)",IF(Q194="Scheduled","DONE: scheduled via Calendly",IF(Q194="Escalate to call","HANDED to Shyam (call queue)","STEP 4: Final Calendly check")))))))</f>
        <v/>
      </c>
      <c r="F194" s="16">
        <f>IF(N194="",B194,IF(O194="",B194+2/24,IF(AND(O194="Not yet",P194=""),B194+2/24,IF(Q194="",B194+4/24,""))))</f>
        <v/>
      </c>
      <c r="G194" s="15" t="inlineStr">
        <is>
          <t>Chetan</t>
        </is>
      </c>
      <c r="H194" s="15" t="inlineStr">
        <is>
          <t>Google</t>
        </is>
      </c>
      <c r="I194" s="15" t="inlineStr">
        <is>
          <t>Round1</t>
        </is>
      </c>
      <c r="J194" s="18" t="inlineStr">
        <is>
          <t>+91 9920264452</t>
        </is>
      </c>
      <c r="K194" s="15" t="inlineStr">
        <is>
          <t>chetan@weekday.works</t>
        </is>
      </c>
      <c r="L194" s="15" t="inlineStr">
        <is>
          <t>&lt;calendly_link&gt;</t>
        </is>
      </c>
      <c r="M194" s="15" t="inlineStr">
        <is>
          <t>Yes</t>
        </is>
      </c>
      <c r="N194" s="15" t="n"/>
      <c r="O194" s="15" t="n"/>
      <c r="P194" s="15" t="n"/>
      <c r="Q194" s="15" t="n"/>
      <c r="R194" s="15">
        <f>IF(OR(O194="Scheduled",Q194="Scheduled"),"SCHEDULED",IF(Q194="Escalate to call","ESCALATED TO CALL",IF(N194="Bad contact","BAD CONTACT",IF(N194="","NOT STARTED","IN PROGRESS"))))</f>
        <v/>
      </c>
      <c r="S194" s="15" t="n"/>
    </row>
    <row r="195">
      <c r="A195" s="15" t="inlineStr">
        <is>
          <t>REQ-0194</t>
        </is>
      </c>
      <c r="B195" s="16" t="n">
        <v>44867.82708333333</v>
      </c>
      <c r="C195" s="16">
        <f>B195+1</f>
        <v/>
      </c>
      <c r="D195" s="17">
        <f>(C195-NOW())*24</f>
        <v/>
      </c>
      <c r="E195" s="15">
        <f>IF(N195="","STEP 1: Send WhatsApp + Email blast now (Playbook M1)",IF(N195="Bad contact","STOP: report bad contact to lead (Playbook)",IF(O195="Scheduled","DONE: scheduled via Calendly",IF(O195="","STEP 2: Check Calendly now",IF(P195="","STEP 3: Send WhatsApp nudge (Playbook M2)",IF(Q195="Scheduled","DONE: scheduled via Calendly",IF(Q195="Escalate to call","HANDED to Shyam (call queue)","STEP 4: Final Calendly check")))))))</f>
        <v/>
      </c>
      <c r="F195" s="16">
        <f>IF(N195="",B195,IF(O195="",B195+2/24,IF(AND(O195="Not yet",P195=""),B195+2/24,IF(Q195="",B195+4/24,""))))</f>
        <v/>
      </c>
      <c r="G195" s="15" t="inlineStr">
        <is>
          <t>Chetan</t>
        </is>
      </c>
      <c r="H195" s="15" t="inlineStr">
        <is>
          <t>Google</t>
        </is>
      </c>
      <c r="I195" s="15" t="inlineStr">
        <is>
          <t>Round1</t>
        </is>
      </c>
      <c r="J195" s="18" t="inlineStr">
        <is>
          <t>+91 9920264452</t>
        </is>
      </c>
      <c r="K195" s="15" t="inlineStr">
        <is>
          <t>chetan@weekday.works</t>
        </is>
      </c>
      <c r="L195" s="15" t="inlineStr">
        <is>
          <t>&lt;calendly_link&gt;</t>
        </is>
      </c>
      <c r="M195" s="15" t="inlineStr">
        <is>
          <t>Yes</t>
        </is>
      </c>
      <c r="N195" s="15" t="n"/>
      <c r="O195" s="15" t="n"/>
      <c r="P195" s="15" t="n"/>
      <c r="Q195" s="15" t="n"/>
      <c r="R195" s="15">
        <f>IF(OR(O195="Scheduled",Q195="Scheduled"),"SCHEDULED",IF(Q195="Escalate to call","ESCALATED TO CALL",IF(N195="Bad contact","BAD CONTACT",IF(N195="","NOT STARTED","IN PROGRESS"))))</f>
        <v/>
      </c>
      <c r="S195" s="15" t="n"/>
    </row>
    <row r="196">
      <c r="A196" s="15" t="inlineStr">
        <is>
          <t>REQ-0195</t>
        </is>
      </c>
      <c r="B196" s="16" t="n">
        <v>44867.82708333333</v>
      </c>
      <c r="C196" s="16">
        <f>B196+1</f>
        <v/>
      </c>
      <c r="D196" s="17">
        <f>(C196-NOW())*24</f>
        <v/>
      </c>
      <c r="E196" s="15">
        <f>IF(N196="","STEP 1: Send WhatsApp + Email blast now (Playbook M1)",IF(N196="Bad contact","STOP: report bad contact to lead (Playbook)",IF(O196="Scheduled","DONE: scheduled via Calendly",IF(O196="","STEP 2: Check Calendly now",IF(P196="","STEP 3: Send WhatsApp nudge (Playbook M2)",IF(Q196="Scheduled","DONE: scheduled via Calendly",IF(Q196="Escalate to call","HANDED to Shyam (call queue)","STEP 4: Final Calendly check")))))))</f>
        <v/>
      </c>
      <c r="F196" s="16">
        <f>IF(N196="",B196,IF(O196="",B196+2/24,IF(AND(O196="Not yet",P196=""),B196+2/24,IF(Q196="",B196+4/24,""))))</f>
        <v/>
      </c>
      <c r="G196" s="15" t="inlineStr">
        <is>
          <t>Chetan</t>
        </is>
      </c>
      <c r="H196" s="15" t="inlineStr">
        <is>
          <t>Google</t>
        </is>
      </c>
      <c r="I196" s="15" t="inlineStr">
        <is>
          <t>Round1</t>
        </is>
      </c>
      <c r="J196" s="18" t="inlineStr">
        <is>
          <t>+91 9920264452</t>
        </is>
      </c>
      <c r="K196" s="15" t="inlineStr">
        <is>
          <t>chetan@weekday.works</t>
        </is>
      </c>
      <c r="L196" s="15" t="inlineStr">
        <is>
          <t>&lt;calendly_link&gt;</t>
        </is>
      </c>
      <c r="M196" s="15" t="inlineStr">
        <is>
          <t>Yes</t>
        </is>
      </c>
      <c r="N196" s="15" t="n"/>
      <c r="O196" s="15" t="n"/>
      <c r="P196" s="15" t="n"/>
      <c r="Q196" s="15" t="n"/>
      <c r="R196" s="15">
        <f>IF(OR(O196="Scheduled",Q196="Scheduled"),"SCHEDULED",IF(Q196="Escalate to call","ESCALATED TO CALL",IF(N196="Bad contact","BAD CONTACT",IF(N196="","NOT STARTED","IN PROGRESS"))))</f>
        <v/>
      </c>
      <c r="S196" s="15" t="n"/>
    </row>
    <row r="197">
      <c r="A197" s="15" t="inlineStr">
        <is>
          <t>REQ-0196</t>
        </is>
      </c>
      <c r="B197" s="16" t="n">
        <v>44867.82708333333</v>
      </c>
      <c r="C197" s="16">
        <f>B197+1</f>
        <v/>
      </c>
      <c r="D197" s="17">
        <f>(C197-NOW())*24</f>
        <v/>
      </c>
      <c r="E197" s="15">
        <f>IF(N197="","STEP 1: Send WhatsApp + Email blast now (Playbook M1)",IF(N197="Bad contact","STOP: report bad contact to lead (Playbook)",IF(O197="Scheduled","DONE: scheduled via Calendly",IF(O197="","STEP 2: Check Calendly now",IF(P197="","STEP 3: Send WhatsApp nudge (Playbook M2)",IF(Q197="Scheduled","DONE: scheduled via Calendly",IF(Q197="Escalate to call","HANDED to Shyam (call queue)","STEP 4: Final Calendly check")))))))</f>
        <v/>
      </c>
      <c r="F197" s="16">
        <f>IF(N197="",B197,IF(O197="",B197+2/24,IF(AND(O197="Not yet",P197=""),B197+2/24,IF(Q197="",B197+4/24,""))))</f>
        <v/>
      </c>
      <c r="G197" s="15" t="inlineStr">
        <is>
          <t>Chetan</t>
        </is>
      </c>
      <c r="H197" s="15" t="inlineStr">
        <is>
          <t>Google</t>
        </is>
      </c>
      <c r="I197" s="15" t="inlineStr">
        <is>
          <t>Round1</t>
        </is>
      </c>
      <c r="J197" s="18" t="inlineStr">
        <is>
          <t>+91 9920264452</t>
        </is>
      </c>
      <c r="K197" s="15" t="inlineStr">
        <is>
          <t>chetan@weekday.works</t>
        </is>
      </c>
      <c r="L197" s="15" t="inlineStr">
        <is>
          <t>&lt;calendly_link&gt;</t>
        </is>
      </c>
      <c r="M197" s="15" t="inlineStr">
        <is>
          <t>Yes</t>
        </is>
      </c>
      <c r="N197" s="15" t="n"/>
      <c r="O197" s="15" t="n"/>
      <c r="P197" s="15" t="n"/>
      <c r="Q197" s="15" t="n"/>
      <c r="R197" s="15">
        <f>IF(OR(O197="Scheduled",Q197="Scheduled"),"SCHEDULED",IF(Q197="Escalate to call","ESCALATED TO CALL",IF(N197="Bad contact","BAD CONTACT",IF(N197="","NOT STARTED","IN PROGRESS"))))</f>
        <v/>
      </c>
      <c r="S197" s="15" t="n"/>
    </row>
    <row r="198">
      <c r="A198" s="15" t="inlineStr">
        <is>
          <t>REQ-0197</t>
        </is>
      </c>
      <c r="B198" s="16" t="n">
        <v>44867.82708333333</v>
      </c>
      <c r="C198" s="16">
        <f>B198+1</f>
        <v/>
      </c>
      <c r="D198" s="17">
        <f>(C198-NOW())*24</f>
        <v/>
      </c>
      <c r="E198" s="15">
        <f>IF(N198="","STEP 1: Send WhatsApp + Email blast now (Playbook M1)",IF(N198="Bad contact","STOP: report bad contact to lead (Playbook)",IF(O198="Scheduled","DONE: scheduled via Calendly",IF(O198="","STEP 2: Check Calendly now",IF(P198="","STEP 3: Send WhatsApp nudge (Playbook M2)",IF(Q198="Scheduled","DONE: scheduled via Calendly",IF(Q198="Escalate to call","HANDED to Shyam (call queue)","STEP 4: Final Calendly check")))))))</f>
        <v/>
      </c>
      <c r="F198" s="16">
        <f>IF(N198="",B198,IF(O198="",B198+2/24,IF(AND(O198="Not yet",P198=""),B198+2/24,IF(Q198="",B198+4/24,""))))</f>
        <v/>
      </c>
      <c r="G198" s="15" t="inlineStr">
        <is>
          <t>Chetan</t>
        </is>
      </c>
      <c r="H198" s="15" t="inlineStr">
        <is>
          <t>Google</t>
        </is>
      </c>
      <c r="I198" s="15" t="inlineStr">
        <is>
          <t>Round1</t>
        </is>
      </c>
      <c r="J198" s="18" t="inlineStr">
        <is>
          <t>+91 9920264452</t>
        </is>
      </c>
      <c r="K198" s="15" t="inlineStr">
        <is>
          <t>chetan@weekday.works</t>
        </is>
      </c>
      <c r="L198" s="15" t="inlineStr">
        <is>
          <t>&lt;calendly_link&gt;</t>
        </is>
      </c>
      <c r="M198" s="15" t="inlineStr">
        <is>
          <t>Yes</t>
        </is>
      </c>
      <c r="N198" s="15" t="n"/>
      <c r="O198" s="15" t="n"/>
      <c r="P198" s="15" t="n"/>
      <c r="Q198" s="15" t="n"/>
      <c r="R198" s="15">
        <f>IF(OR(O198="Scheduled",Q198="Scheduled"),"SCHEDULED",IF(Q198="Escalate to call","ESCALATED TO CALL",IF(N198="Bad contact","BAD CONTACT",IF(N198="","NOT STARTED","IN PROGRESS"))))</f>
        <v/>
      </c>
      <c r="S198" s="15" t="n"/>
    </row>
    <row r="199">
      <c r="A199" s="15" t="inlineStr">
        <is>
          <t>REQ-0198</t>
        </is>
      </c>
      <c r="B199" s="16" t="n">
        <v>44867.82708333333</v>
      </c>
      <c r="C199" s="16">
        <f>B199+1</f>
        <v/>
      </c>
      <c r="D199" s="17">
        <f>(C199-NOW())*24</f>
        <v/>
      </c>
      <c r="E199" s="15">
        <f>IF(N199="","STEP 1: Send WhatsApp + Email blast now (Playbook M1)",IF(N199="Bad contact","STOP: report bad contact to lead (Playbook)",IF(O199="Scheduled","DONE: scheduled via Calendly",IF(O199="","STEP 2: Check Calendly now",IF(P199="","STEP 3: Send WhatsApp nudge (Playbook M2)",IF(Q199="Scheduled","DONE: scheduled via Calendly",IF(Q199="Escalate to call","HANDED to Shyam (call queue)","STEP 4: Final Calendly check")))))))</f>
        <v/>
      </c>
      <c r="F199" s="16">
        <f>IF(N199="",B199,IF(O199="",B199+2/24,IF(AND(O199="Not yet",P199=""),B199+2/24,IF(Q199="",B199+4/24,""))))</f>
        <v/>
      </c>
      <c r="G199" s="15" t="inlineStr">
        <is>
          <t>Chetan</t>
        </is>
      </c>
      <c r="H199" s="15" t="inlineStr">
        <is>
          <t>Google</t>
        </is>
      </c>
      <c r="I199" s="15" t="inlineStr">
        <is>
          <t>Round1</t>
        </is>
      </c>
      <c r="J199" s="18" t="inlineStr">
        <is>
          <t>+91 9920264452</t>
        </is>
      </c>
      <c r="K199" s="15" t="inlineStr">
        <is>
          <t>chetan@weekday.works</t>
        </is>
      </c>
      <c r="L199" s="15" t="inlineStr">
        <is>
          <t>&lt;calendly_link&gt;</t>
        </is>
      </c>
      <c r="M199" s="15" t="inlineStr">
        <is>
          <t>Yes</t>
        </is>
      </c>
      <c r="N199" s="15" t="n"/>
      <c r="O199" s="15" t="n"/>
      <c r="P199" s="15" t="n"/>
      <c r="Q199" s="15" t="n"/>
      <c r="R199" s="15">
        <f>IF(OR(O199="Scheduled",Q199="Scheduled"),"SCHEDULED",IF(Q199="Escalate to call","ESCALATED TO CALL",IF(N199="Bad contact","BAD CONTACT",IF(N199="","NOT STARTED","IN PROGRESS"))))</f>
        <v/>
      </c>
      <c r="S199" s="15" t="n"/>
    </row>
    <row r="200">
      <c r="A200" s="15" t="inlineStr">
        <is>
          <t>REQ-0199</t>
        </is>
      </c>
      <c r="B200" s="16" t="n">
        <v>44867.82708333333</v>
      </c>
      <c r="C200" s="16">
        <f>B200+1</f>
        <v/>
      </c>
      <c r="D200" s="17">
        <f>(C200-NOW())*24</f>
        <v/>
      </c>
      <c r="E200" s="15">
        <f>IF(N200="","STEP 1: Send WhatsApp + Email blast now (Playbook M1)",IF(N200="Bad contact","STOP: report bad contact to lead (Playbook)",IF(O200="Scheduled","DONE: scheduled via Calendly",IF(O200="","STEP 2: Check Calendly now",IF(P200="","STEP 3: Send WhatsApp nudge (Playbook M2)",IF(Q200="Scheduled","DONE: scheduled via Calendly",IF(Q200="Escalate to call","HANDED to Shyam (call queue)","STEP 4: Final Calendly check")))))))</f>
        <v/>
      </c>
      <c r="F200" s="16">
        <f>IF(N200="",B200,IF(O200="",B200+2/24,IF(AND(O200="Not yet",P200=""),B200+2/24,IF(Q200="",B200+4/24,""))))</f>
        <v/>
      </c>
      <c r="G200" s="15" t="inlineStr">
        <is>
          <t>Chetan</t>
        </is>
      </c>
      <c r="H200" s="15" t="inlineStr">
        <is>
          <t>Google</t>
        </is>
      </c>
      <c r="I200" s="15" t="inlineStr">
        <is>
          <t>Round1</t>
        </is>
      </c>
      <c r="J200" s="18" t="inlineStr">
        <is>
          <t>+91 9920264452</t>
        </is>
      </c>
      <c r="K200" s="15" t="inlineStr">
        <is>
          <t>chetan@weekday.works</t>
        </is>
      </c>
      <c r="L200" s="15" t="inlineStr">
        <is>
          <t>&lt;calendly_link&gt;</t>
        </is>
      </c>
      <c r="M200" s="15" t="inlineStr">
        <is>
          <t>Yes</t>
        </is>
      </c>
      <c r="N200" s="15" t="n"/>
      <c r="O200" s="15" t="n"/>
      <c r="P200" s="15" t="n"/>
      <c r="Q200" s="15" t="n"/>
      <c r="R200" s="15">
        <f>IF(OR(O200="Scheduled",Q200="Scheduled"),"SCHEDULED",IF(Q200="Escalate to call","ESCALATED TO CALL",IF(N200="Bad contact","BAD CONTACT",IF(N200="","NOT STARTED","IN PROGRESS"))))</f>
        <v/>
      </c>
      <c r="S200" s="15" t="n"/>
    </row>
    <row r="201">
      <c r="A201" s="15" t="inlineStr">
        <is>
          <t>REQ-0200</t>
        </is>
      </c>
      <c r="B201" s="16" t="n">
        <v>44867.82708333333</v>
      </c>
      <c r="C201" s="16">
        <f>B201+1</f>
        <v/>
      </c>
      <c r="D201" s="17">
        <f>(C201-NOW())*24</f>
        <v/>
      </c>
      <c r="E201" s="15">
        <f>IF(N201="","STEP 1: Send WhatsApp + Email blast now (Playbook M1)",IF(N201="Bad contact","STOP: report bad contact to lead (Playbook)",IF(O201="Scheduled","DONE: scheduled via Calendly",IF(O201="","STEP 2: Check Calendly now",IF(P201="","STEP 3: Send WhatsApp nudge (Playbook M2)",IF(Q201="Scheduled","DONE: scheduled via Calendly",IF(Q201="Escalate to call","HANDED to Shyam (call queue)","STEP 4: Final Calendly check")))))))</f>
        <v/>
      </c>
      <c r="F201" s="16">
        <f>IF(N201="",B201,IF(O201="",B201+2/24,IF(AND(O201="Not yet",P201=""),B201+2/24,IF(Q201="",B201+4/24,""))))</f>
        <v/>
      </c>
      <c r="G201" s="15" t="inlineStr">
        <is>
          <t>Chetan</t>
        </is>
      </c>
      <c r="H201" s="15" t="inlineStr">
        <is>
          <t>Google</t>
        </is>
      </c>
      <c r="I201" s="15" t="inlineStr">
        <is>
          <t>Round1</t>
        </is>
      </c>
      <c r="J201" s="18" t="inlineStr">
        <is>
          <t>+91 9920264452</t>
        </is>
      </c>
      <c r="K201" s="15" t="inlineStr">
        <is>
          <t>chetan@weekday.works</t>
        </is>
      </c>
      <c r="L201" s="15" t="inlineStr">
        <is>
          <t>&lt;calendly_link&gt;</t>
        </is>
      </c>
      <c r="M201" s="15" t="inlineStr">
        <is>
          <t>Yes</t>
        </is>
      </c>
      <c r="N201" s="15" t="n"/>
      <c r="O201" s="15" t="n"/>
      <c r="P201" s="15" t="n"/>
      <c r="Q201" s="15" t="n"/>
      <c r="R201" s="15">
        <f>IF(OR(O201="Scheduled",Q201="Scheduled"),"SCHEDULED",IF(Q201="Escalate to call","ESCALATED TO CALL",IF(N201="Bad contact","BAD CONTACT",IF(N201="","NOT STARTED","IN PROGRESS"))))</f>
        <v/>
      </c>
      <c r="S201" s="15" t="n"/>
    </row>
    <row r="202">
      <c r="A202" s="15" t="inlineStr">
        <is>
          <t>REQ-0201</t>
        </is>
      </c>
      <c r="B202" s="16" t="n">
        <v>44867.82708333333</v>
      </c>
      <c r="C202" s="16">
        <f>B202+1</f>
        <v/>
      </c>
      <c r="D202" s="17">
        <f>(C202-NOW())*24</f>
        <v/>
      </c>
      <c r="E202" s="15">
        <f>IF(N202="","STEP 1: Send WhatsApp + Email blast now (Playbook M1)",IF(N202="Bad contact","STOP: report bad contact to lead (Playbook)",IF(O202="Scheduled","DONE: scheduled via Calendly",IF(O202="","STEP 2: Check Calendly now",IF(P202="","STEP 3: Send WhatsApp nudge (Playbook M2)",IF(Q202="Scheduled","DONE: scheduled via Calendly",IF(Q202="Escalate to call","HANDED to Shyam (call queue)","STEP 4: Final Calendly check")))))))</f>
        <v/>
      </c>
      <c r="F202" s="16">
        <f>IF(N202="",B202,IF(O202="",B202+2/24,IF(AND(O202="Not yet",P202=""),B202+2/24,IF(Q202="",B202+4/24,""))))</f>
        <v/>
      </c>
      <c r="G202" s="15" t="inlineStr">
        <is>
          <t>Chetan</t>
        </is>
      </c>
      <c r="H202" s="15" t="inlineStr">
        <is>
          <t>Google</t>
        </is>
      </c>
      <c r="I202" s="15" t="inlineStr">
        <is>
          <t>Round1</t>
        </is>
      </c>
      <c r="J202" s="18" t="inlineStr">
        <is>
          <t>+91 9920264452</t>
        </is>
      </c>
      <c r="K202" s="15" t="inlineStr">
        <is>
          <t>chetan@weekday.works</t>
        </is>
      </c>
      <c r="L202" s="15" t="inlineStr">
        <is>
          <t>&lt;calendly_link&gt;</t>
        </is>
      </c>
      <c r="M202" s="15" t="inlineStr">
        <is>
          <t>Yes</t>
        </is>
      </c>
      <c r="N202" s="15" t="n"/>
      <c r="O202" s="15" t="n"/>
      <c r="P202" s="15" t="n"/>
      <c r="Q202" s="15" t="n"/>
      <c r="R202" s="15">
        <f>IF(OR(O202="Scheduled",Q202="Scheduled"),"SCHEDULED",IF(Q202="Escalate to call","ESCALATED TO CALL",IF(N202="Bad contact","BAD CONTACT",IF(N202="","NOT STARTED","IN PROGRESS"))))</f>
        <v/>
      </c>
      <c r="S202" s="15" t="n"/>
    </row>
    <row r="203">
      <c r="A203" s="15" t="inlineStr">
        <is>
          <t>REQ-0202</t>
        </is>
      </c>
      <c r="B203" s="16" t="n">
        <v>44867.82708333333</v>
      </c>
      <c r="C203" s="16">
        <f>B203+1</f>
        <v/>
      </c>
      <c r="D203" s="17">
        <f>(C203-NOW())*24</f>
        <v/>
      </c>
      <c r="E203" s="15">
        <f>IF(N203="","STEP 1: Send WhatsApp + Email blast now (Playbook M1)",IF(N203="Bad contact","STOP: report bad contact to lead (Playbook)",IF(O203="Scheduled","DONE: scheduled via Calendly",IF(O203="","STEP 2: Check Calendly now",IF(P203="","STEP 3: Send WhatsApp nudge (Playbook M2)",IF(Q203="Scheduled","DONE: scheduled via Calendly",IF(Q203="Escalate to call","HANDED to Shyam (call queue)","STEP 4: Final Calendly check")))))))</f>
        <v/>
      </c>
      <c r="F203" s="16">
        <f>IF(N203="",B203,IF(O203="",B203+2/24,IF(AND(O203="Not yet",P203=""),B203+2/24,IF(Q203="",B203+4/24,""))))</f>
        <v/>
      </c>
      <c r="G203" s="15" t="inlineStr">
        <is>
          <t>Chetan</t>
        </is>
      </c>
      <c r="H203" s="15" t="inlineStr">
        <is>
          <t>Google</t>
        </is>
      </c>
      <c r="I203" s="15" t="inlineStr">
        <is>
          <t>Round1</t>
        </is>
      </c>
      <c r="J203" s="18" t="inlineStr">
        <is>
          <t>+91 9920264452</t>
        </is>
      </c>
      <c r="K203" s="15" t="inlineStr">
        <is>
          <t>chetan@weekday.works</t>
        </is>
      </c>
      <c r="L203" s="15" t="inlineStr">
        <is>
          <t>&lt;calendly_link&gt;</t>
        </is>
      </c>
      <c r="M203" s="15" t="inlineStr">
        <is>
          <t>Yes</t>
        </is>
      </c>
      <c r="N203" s="15" t="n"/>
      <c r="O203" s="15" t="n"/>
      <c r="P203" s="15" t="n"/>
      <c r="Q203" s="15" t="n"/>
      <c r="R203" s="15">
        <f>IF(OR(O203="Scheduled",Q203="Scheduled"),"SCHEDULED",IF(Q203="Escalate to call","ESCALATED TO CALL",IF(N203="Bad contact","BAD CONTACT",IF(N203="","NOT STARTED","IN PROGRESS"))))</f>
        <v/>
      </c>
      <c r="S203" s="15" t="n"/>
    </row>
    <row r="204">
      <c r="A204" s="15" t="inlineStr">
        <is>
          <t>REQ-0203</t>
        </is>
      </c>
      <c r="B204" s="16" t="n">
        <v>44867.82708333333</v>
      </c>
      <c r="C204" s="16">
        <f>B204+1</f>
        <v/>
      </c>
      <c r="D204" s="17">
        <f>(C204-NOW())*24</f>
        <v/>
      </c>
      <c r="E204" s="15">
        <f>IF(N204="","STEP 1: Send WhatsApp + Email blast now (Playbook M1)",IF(N204="Bad contact","STOP: report bad contact to lead (Playbook)",IF(O204="Scheduled","DONE: scheduled via Calendly",IF(O204="","STEP 2: Check Calendly now",IF(P204="","STEP 3: Send WhatsApp nudge (Playbook M2)",IF(Q204="Scheduled","DONE: scheduled via Calendly",IF(Q204="Escalate to call","HANDED to Shyam (call queue)","STEP 4: Final Calendly check")))))))</f>
        <v/>
      </c>
      <c r="F204" s="16">
        <f>IF(N204="",B204,IF(O204="",B204+2/24,IF(AND(O204="Not yet",P204=""),B204+2/24,IF(Q204="",B204+4/24,""))))</f>
        <v/>
      </c>
      <c r="G204" s="15" t="inlineStr">
        <is>
          <t>Chetan</t>
        </is>
      </c>
      <c r="H204" s="15" t="inlineStr">
        <is>
          <t>Google</t>
        </is>
      </c>
      <c r="I204" s="15" t="inlineStr">
        <is>
          <t>Round1</t>
        </is>
      </c>
      <c r="J204" s="18" t="inlineStr">
        <is>
          <t>+91 9920264452</t>
        </is>
      </c>
      <c r="K204" s="15" t="inlineStr">
        <is>
          <t>chetan@weekday.works</t>
        </is>
      </c>
      <c r="L204" s="15" t="inlineStr">
        <is>
          <t>&lt;calendly_link&gt;</t>
        </is>
      </c>
      <c r="M204" s="15" t="inlineStr">
        <is>
          <t>Yes</t>
        </is>
      </c>
      <c r="N204" s="15" t="n"/>
      <c r="O204" s="15" t="n"/>
      <c r="P204" s="15" t="n"/>
      <c r="Q204" s="15" t="n"/>
      <c r="R204" s="15">
        <f>IF(OR(O204="Scheduled",Q204="Scheduled"),"SCHEDULED",IF(Q204="Escalate to call","ESCALATED TO CALL",IF(N204="Bad contact","BAD CONTACT",IF(N204="","NOT STARTED","IN PROGRESS"))))</f>
        <v/>
      </c>
      <c r="S204" s="15" t="n"/>
    </row>
    <row r="205">
      <c r="A205" s="15" t="inlineStr">
        <is>
          <t>REQ-0204</t>
        </is>
      </c>
      <c r="B205" s="16" t="n">
        <v>44867.82708333333</v>
      </c>
      <c r="C205" s="16">
        <f>B205+1</f>
        <v/>
      </c>
      <c r="D205" s="17">
        <f>(C205-NOW())*24</f>
        <v/>
      </c>
      <c r="E205" s="15">
        <f>IF(N205="","STEP 1: Send WhatsApp + Email blast now (Playbook M1)",IF(N205="Bad contact","STOP: report bad contact to lead (Playbook)",IF(O205="Scheduled","DONE: scheduled via Calendly",IF(O205="","STEP 2: Check Calendly now",IF(P205="","STEP 3: Send WhatsApp nudge (Playbook M2)",IF(Q205="Scheduled","DONE: scheduled via Calendly",IF(Q205="Escalate to call","HANDED to Shyam (call queue)","STEP 4: Final Calendly check")))))))</f>
        <v/>
      </c>
      <c r="F205" s="16">
        <f>IF(N205="",B205,IF(O205="",B205+2/24,IF(AND(O205="Not yet",P205=""),B205+2/24,IF(Q205="",B205+4/24,""))))</f>
        <v/>
      </c>
      <c r="G205" s="15" t="inlineStr">
        <is>
          <t>Chetan</t>
        </is>
      </c>
      <c r="H205" s="15" t="inlineStr">
        <is>
          <t>Google</t>
        </is>
      </c>
      <c r="I205" s="15" t="inlineStr">
        <is>
          <t>Round1</t>
        </is>
      </c>
      <c r="J205" s="18" t="inlineStr">
        <is>
          <t>+91 9920264452</t>
        </is>
      </c>
      <c r="K205" s="15" t="inlineStr">
        <is>
          <t>chetan@weekday.works</t>
        </is>
      </c>
      <c r="L205" s="15" t="inlineStr">
        <is>
          <t>&lt;calendly_link&gt;</t>
        </is>
      </c>
      <c r="M205" s="15" t="inlineStr">
        <is>
          <t>Yes</t>
        </is>
      </c>
      <c r="N205" s="15" t="n"/>
      <c r="O205" s="15" t="n"/>
      <c r="P205" s="15" t="n"/>
      <c r="Q205" s="15" t="n"/>
      <c r="R205" s="15">
        <f>IF(OR(O205="Scheduled",Q205="Scheduled"),"SCHEDULED",IF(Q205="Escalate to call","ESCALATED TO CALL",IF(N205="Bad contact","BAD CONTACT",IF(N205="","NOT STARTED","IN PROGRESS"))))</f>
        <v/>
      </c>
      <c r="S205" s="15" t="n"/>
    </row>
    <row r="206">
      <c r="A206" s="15" t="inlineStr">
        <is>
          <t>REQ-0205</t>
        </is>
      </c>
      <c r="B206" s="16" t="n">
        <v>44867.82708333333</v>
      </c>
      <c r="C206" s="16">
        <f>B206+1</f>
        <v/>
      </c>
      <c r="D206" s="17">
        <f>(C206-NOW())*24</f>
        <v/>
      </c>
      <c r="E206" s="15">
        <f>IF(N206="","STEP 1: Send WhatsApp + Email blast now (Playbook M1)",IF(N206="Bad contact","STOP: report bad contact to lead (Playbook)",IF(O206="Scheduled","DONE: scheduled via Calendly",IF(O206="","STEP 2: Check Calendly now",IF(P206="","STEP 3: Send WhatsApp nudge (Playbook M2)",IF(Q206="Scheduled","DONE: scheduled via Calendly",IF(Q206="Escalate to call","HANDED to Shyam (call queue)","STEP 4: Final Calendly check")))))))</f>
        <v/>
      </c>
      <c r="F206" s="16">
        <f>IF(N206="",B206,IF(O206="",B206+2/24,IF(AND(O206="Not yet",P206=""),B206+2/24,IF(Q206="",B206+4/24,""))))</f>
        <v/>
      </c>
      <c r="G206" s="15" t="inlineStr">
        <is>
          <t>Chetan</t>
        </is>
      </c>
      <c r="H206" s="15" t="inlineStr">
        <is>
          <t>Google</t>
        </is>
      </c>
      <c r="I206" s="15" t="inlineStr">
        <is>
          <t>Round1</t>
        </is>
      </c>
      <c r="J206" s="18" t="inlineStr">
        <is>
          <t>+91 9920264452</t>
        </is>
      </c>
      <c r="K206" s="15" t="inlineStr">
        <is>
          <t>chetan@weekday.works</t>
        </is>
      </c>
      <c r="L206" s="15" t="inlineStr">
        <is>
          <t>&lt;calendly_link&gt;</t>
        </is>
      </c>
      <c r="M206" s="15" t="inlineStr">
        <is>
          <t>Yes</t>
        </is>
      </c>
      <c r="N206" s="15" t="n"/>
      <c r="O206" s="15" t="n"/>
      <c r="P206" s="15" t="n"/>
      <c r="Q206" s="15" t="n"/>
      <c r="R206" s="15">
        <f>IF(OR(O206="Scheduled",Q206="Scheduled"),"SCHEDULED",IF(Q206="Escalate to call","ESCALATED TO CALL",IF(N206="Bad contact","BAD CONTACT",IF(N206="","NOT STARTED","IN PROGRESS"))))</f>
        <v/>
      </c>
      <c r="S206" s="15" t="n"/>
    </row>
    <row r="207">
      <c r="A207" s="15" t="inlineStr">
        <is>
          <t>REQ-0206</t>
        </is>
      </c>
      <c r="B207" s="16" t="n">
        <v>44867.82708333333</v>
      </c>
      <c r="C207" s="16">
        <f>B207+1</f>
        <v/>
      </c>
      <c r="D207" s="17">
        <f>(C207-NOW())*24</f>
        <v/>
      </c>
      <c r="E207" s="15">
        <f>IF(N207="","STEP 1: Send WhatsApp + Email blast now (Playbook M1)",IF(N207="Bad contact","STOP: report bad contact to lead (Playbook)",IF(O207="Scheduled","DONE: scheduled via Calendly",IF(O207="","STEP 2: Check Calendly now",IF(P207="","STEP 3: Send WhatsApp nudge (Playbook M2)",IF(Q207="Scheduled","DONE: scheduled via Calendly",IF(Q207="Escalate to call","HANDED to Shyam (call queue)","STEP 4: Final Calendly check")))))))</f>
        <v/>
      </c>
      <c r="F207" s="16">
        <f>IF(N207="",B207,IF(O207="",B207+2/24,IF(AND(O207="Not yet",P207=""),B207+2/24,IF(Q207="",B207+4/24,""))))</f>
        <v/>
      </c>
      <c r="G207" s="15" t="inlineStr">
        <is>
          <t>Chetan</t>
        </is>
      </c>
      <c r="H207" s="15" t="inlineStr">
        <is>
          <t>Google</t>
        </is>
      </c>
      <c r="I207" s="15" t="inlineStr">
        <is>
          <t>Round1</t>
        </is>
      </c>
      <c r="J207" s="18" t="inlineStr">
        <is>
          <t>+91 9920264452</t>
        </is>
      </c>
      <c r="K207" s="15" t="inlineStr">
        <is>
          <t>chetan@weekday.works</t>
        </is>
      </c>
      <c r="L207" s="15" t="inlineStr">
        <is>
          <t>&lt;calendly_link&gt;</t>
        </is>
      </c>
      <c r="M207" s="15" t="inlineStr">
        <is>
          <t>Yes</t>
        </is>
      </c>
      <c r="N207" s="15" t="n"/>
      <c r="O207" s="15" t="n"/>
      <c r="P207" s="15" t="n"/>
      <c r="Q207" s="15" t="n"/>
      <c r="R207" s="15">
        <f>IF(OR(O207="Scheduled",Q207="Scheduled"),"SCHEDULED",IF(Q207="Escalate to call","ESCALATED TO CALL",IF(N207="Bad contact","BAD CONTACT",IF(N207="","NOT STARTED","IN PROGRESS"))))</f>
        <v/>
      </c>
      <c r="S207" s="15" t="n"/>
    </row>
    <row r="208">
      <c r="A208" s="15" t="inlineStr">
        <is>
          <t>REQ-0207</t>
        </is>
      </c>
      <c r="B208" s="16" t="n">
        <v>44867.82708333333</v>
      </c>
      <c r="C208" s="16">
        <f>B208+1</f>
        <v/>
      </c>
      <c r="D208" s="17">
        <f>(C208-NOW())*24</f>
        <v/>
      </c>
      <c r="E208" s="15">
        <f>IF(N208="","STEP 1: Send WhatsApp + Email blast now (Playbook M1)",IF(N208="Bad contact","STOP: report bad contact to lead (Playbook)",IF(O208="Scheduled","DONE: scheduled via Calendly",IF(O208="","STEP 2: Check Calendly now",IF(P208="","STEP 3: Send WhatsApp nudge (Playbook M2)",IF(Q208="Scheduled","DONE: scheduled via Calendly",IF(Q208="Escalate to call","HANDED to Shyam (call queue)","STEP 4: Final Calendly check")))))))</f>
        <v/>
      </c>
      <c r="F208" s="16">
        <f>IF(N208="",B208,IF(O208="",B208+2/24,IF(AND(O208="Not yet",P208=""),B208+2/24,IF(Q208="",B208+4/24,""))))</f>
        <v/>
      </c>
      <c r="G208" s="15" t="inlineStr">
        <is>
          <t>Chetan</t>
        </is>
      </c>
      <c r="H208" s="15" t="inlineStr">
        <is>
          <t>Google</t>
        </is>
      </c>
      <c r="I208" s="15" t="inlineStr">
        <is>
          <t>Round1</t>
        </is>
      </c>
      <c r="J208" s="18" t="inlineStr">
        <is>
          <t>+91 9920264452</t>
        </is>
      </c>
      <c r="K208" s="15" t="inlineStr">
        <is>
          <t>chetan@weekday.works</t>
        </is>
      </c>
      <c r="L208" s="15" t="inlineStr">
        <is>
          <t>&lt;calendly_link&gt;</t>
        </is>
      </c>
      <c r="M208" s="15" t="inlineStr">
        <is>
          <t>Yes</t>
        </is>
      </c>
      <c r="N208" s="15" t="n"/>
      <c r="O208" s="15" t="n"/>
      <c r="P208" s="15" t="n"/>
      <c r="Q208" s="15" t="n"/>
      <c r="R208" s="15">
        <f>IF(OR(O208="Scheduled",Q208="Scheduled"),"SCHEDULED",IF(Q208="Escalate to call","ESCALATED TO CALL",IF(N208="Bad contact","BAD CONTACT",IF(N208="","NOT STARTED","IN PROGRESS"))))</f>
        <v/>
      </c>
      <c r="S208" s="15" t="n"/>
    </row>
    <row r="209">
      <c r="A209" s="15" t="inlineStr">
        <is>
          <t>REQ-0208</t>
        </is>
      </c>
      <c r="B209" s="16" t="n">
        <v>44867.82708333333</v>
      </c>
      <c r="C209" s="16">
        <f>B209+1</f>
        <v/>
      </c>
      <c r="D209" s="17">
        <f>(C209-NOW())*24</f>
        <v/>
      </c>
      <c r="E209" s="15">
        <f>IF(N209="","STEP 1: Send WhatsApp + Email blast now (Playbook M1)",IF(N209="Bad contact","STOP: report bad contact to lead (Playbook)",IF(O209="Scheduled","DONE: scheduled via Calendly",IF(O209="","STEP 2: Check Calendly now",IF(P209="","STEP 3: Send WhatsApp nudge (Playbook M2)",IF(Q209="Scheduled","DONE: scheduled via Calendly",IF(Q209="Escalate to call","HANDED to Shyam (call queue)","STEP 4: Final Calendly check")))))))</f>
        <v/>
      </c>
      <c r="F209" s="16">
        <f>IF(N209="",B209,IF(O209="",B209+2/24,IF(AND(O209="Not yet",P209=""),B209+2/24,IF(Q209="",B209+4/24,""))))</f>
        <v/>
      </c>
      <c r="G209" s="15" t="inlineStr">
        <is>
          <t>Chetan</t>
        </is>
      </c>
      <c r="H209" s="15" t="inlineStr">
        <is>
          <t>Google</t>
        </is>
      </c>
      <c r="I209" s="15" t="inlineStr">
        <is>
          <t>Round1</t>
        </is>
      </c>
      <c r="J209" s="18" t="inlineStr">
        <is>
          <t>+91 9920264452</t>
        </is>
      </c>
      <c r="K209" s="15" t="inlineStr">
        <is>
          <t>chetan@weekday.works</t>
        </is>
      </c>
      <c r="L209" s="15" t="inlineStr">
        <is>
          <t>&lt;calendly_link&gt;</t>
        </is>
      </c>
      <c r="M209" s="15" t="inlineStr">
        <is>
          <t>Yes</t>
        </is>
      </c>
      <c r="N209" s="15" t="n"/>
      <c r="O209" s="15" t="n"/>
      <c r="P209" s="15" t="n"/>
      <c r="Q209" s="15" t="n"/>
      <c r="R209" s="15">
        <f>IF(OR(O209="Scheduled",Q209="Scheduled"),"SCHEDULED",IF(Q209="Escalate to call","ESCALATED TO CALL",IF(N209="Bad contact","BAD CONTACT",IF(N209="","NOT STARTED","IN PROGRESS"))))</f>
        <v/>
      </c>
      <c r="S209" s="15" t="n"/>
    </row>
    <row r="210">
      <c r="A210" s="15" t="inlineStr">
        <is>
          <t>REQ-0209</t>
        </is>
      </c>
      <c r="B210" s="16" t="n">
        <v>44867.82708333333</v>
      </c>
      <c r="C210" s="16">
        <f>B210+1</f>
        <v/>
      </c>
      <c r="D210" s="17">
        <f>(C210-NOW())*24</f>
        <v/>
      </c>
      <c r="E210" s="15">
        <f>IF(N210="","STEP 1: Send WhatsApp + Email blast now (Playbook M1)",IF(N210="Bad contact","STOP: report bad contact to lead (Playbook)",IF(O210="Scheduled","DONE: scheduled via Calendly",IF(O210="","STEP 2: Check Calendly now",IF(P210="","STEP 3: Send WhatsApp nudge (Playbook M2)",IF(Q210="Scheduled","DONE: scheduled via Calendly",IF(Q210="Escalate to call","HANDED to Shyam (call queue)","STEP 4: Final Calendly check")))))))</f>
        <v/>
      </c>
      <c r="F210" s="16">
        <f>IF(N210="",B210,IF(O210="",B210+2/24,IF(AND(O210="Not yet",P210=""),B210+2/24,IF(Q210="",B210+4/24,""))))</f>
        <v/>
      </c>
      <c r="G210" s="15" t="inlineStr">
        <is>
          <t>Chetan</t>
        </is>
      </c>
      <c r="H210" s="15" t="inlineStr">
        <is>
          <t>Google</t>
        </is>
      </c>
      <c r="I210" s="15" t="inlineStr">
        <is>
          <t>Round1</t>
        </is>
      </c>
      <c r="J210" s="18" t="inlineStr">
        <is>
          <t>+91 9920264452</t>
        </is>
      </c>
      <c r="K210" s="15" t="inlineStr">
        <is>
          <t>chetan@weekday.works</t>
        </is>
      </c>
      <c r="L210" s="15" t="inlineStr">
        <is>
          <t>&lt;calendly_link&gt;</t>
        </is>
      </c>
      <c r="M210" s="15" t="inlineStr">
        <is>
          <t>Yes</t>
        </is>
      </c>
      <c r="N210" s="15" t="n"/>
      <c r="O210" s="15" t="n"/>
      <c r="P210" s="15" t="n"/>
      <c r="Q210" s="15" t="n"/>
      <c r="R210" s="15">
        <f>IF(OR(O210="Scheduled",Q210="Scheduled"),"SCHEDULED",IF(Q210="Escalate to call","ESCALATED TO CALL",IF(N210="Bad contact","BAD CONTACT",IF(N210="","NOT STARTED","IN PROGRESS"))))</f>
        <v/>
      </c>
      <c r="S210" s="15" t="n"/>
    </row>
    <row r="211">
      <c r="A211" s="15" t="inlineStr">
        <is>
          <t>REQ-0210</t>
        </is>
      </c>
      <c r="B211" s="16" t="n">
        <v>44867.82708333333</v>
      </c>
      <c r="C211" s="16">
        <f>B211+1</f>
        <v/>
      </c>
      <c r="D211" s="17">
        <f>(C211-NOW())*24</f>
        <v/>
      </c>
      <c r="E211" s="15">
        <f>IF(N211="","STEP 1: Send WhatsApp + Email blast now (Playbook M1)",IF(N211="Bad contact","STOP: report bad contact to lead (Playbook)",IF(O211="Scheduled","DONE: scheduled via Calendly",IF(O211="","STEP 2: Check Calendly now",IF(P211="","STEP 3: Send WhatsApp nudge (Playbook M2)",IF(Q211="Scheduled","DONE: scheduled via Calendly",IF(Q211="Escalate to call","HANDED to Shyam (call queue)","STEP 4: Final Calendly check")))))))</f>
        <v/>
      </c>
      <c r="F211" s="16">
        <f>IF(N211="",B211,IF(O211="",B211+2/24,IF(AND(O211="Not yet",P211=""),B211+2/24,IF(Q211="",B211+4/24,""))))</f>
        <v/>
      </c>
      <c r="G211" s="15" t="inlineStr">
        <is>
          <t>Chetan</t>
        </is>
      </c>
      <c r="H211" s="15" t="inlineStr">
        <is>
          <t>Google</t>
        </is>
      </c>
      <c r="I211" s="15" t="inlineStr">
        <is>
          <t>Round1</t>
        </is>
      </c>
      <c r="J211" s="18" t="inlineStr">
        <is>
          <t>+91 9920264452</t>
        </is>
      </c>
      <c r="K211" s="15" t="inlineStr">
        <is>
          <t>chetan@weekday.works</t>
        </is>
      </c>
      <c r="L211" s="15" t="inlineStr">
        <is>
          <t>&lt;calendly_link&gt;</t>
        </is>
      </c>
      <c r="M211" s="15" t="inlineStr">
        <is>
          <t>Yes</t>
        </is>
      </c>
      <c r="N211" s="15" t="n"/>
      <c r="O211" s="15" t="n"/>
      <c r="P211" s="15" t="n"/>
      <c r="Q211" s="15" t="n"/>
      <c r="R211" s="15">
        <f>IF(OR(O211="Scheduled",Q211="Scheduled"),"SCHEDULED",IF(Q211="Escalate to call","ESCALATED TO CALL",IF(N211="Bad contact","BAD CONTACT",IF(N211="","NOT STARTED","IN PROGRESS"))))</f>
        <v/>
      </c>
      <c r="S211" s="15" t="n"/>
    </row>
    <row r="212">
      <c r="A212" s="15" t="inlineStr">
        <is>
          <t>REQ-0211</t>
        </is>
      </c>
      <c r="B212" s="16" t="n">
        <v>44867.82708333333</v>
      </c>
      <c r="C212" s="16">
        <f>B212+1</f>
        <v/>
      </c>
      <c r="D212" s="17">
        <f>(C212-NOW())*24</f>
        <v/>
      </c>
      <c r="E212" s="15">
        <f>IF(N212="","STEP 1: Send WhatsApp + Email blast now (Playbook M1)",IF(N212="Bad contact","STOP: report bad contact to lead (Playbook)",IF(O212="Scheduled","DONE: scheduled via Calendly",IF(O212="","STEP 2: Check Calendly now",IF(P212="","STEP 3: Send WhatsApp nudge (Playbook M2)",IF(Q212="Scheduled","DONE: scheduled via Calendly",IF(Q212="Escalate to call","HANDED to Shyam (call queue)","STEP 4: Final Calendly check")))))))</f>
        <v/>
      </c>
      <c r="F212" s="16">
        <f>IF(N212="",B212,IF(O212="",B212+2/24,IF(AND(O212="Not yet",P212=""),B212+2/24,IF(Q212="",B212+4/24,""))))</f>
        <v/>
      </c>
      <c r="G212" s="15" t="inlineStr">
        <is>
          <t>Chetan</t>
        </is>
      </c>
      <c r="H212" s="15" t="inlineStr">
        <is>
          <t>Google</t>
        </is>
      </c>
      <c r="I212" s="15" t="inlineStr">
        <is>
          <t>Round1</t>
        </is>
      </c>
      <c r="J212" s="18" t="inlineStr">
        <is>
          <t>+91 9920264452</t>
        </is>
      </c>
      <c r="K212" s="15" t="inlineStr">
        <is>
          <t>chetan@weekday.works</t>
        </is>
      </c>
      <c r="L212" s="15" t="inlineStr">
        <is>
          <t>&lt;calendly_link&gt;</t>
        </is>
      </c>
      <c r="M212" s="15" t="inlineStr">
        <is>
          <t>Yes</t>
        </is>
      </c>
      <c r="N212" s="15" t="n"/>
      <c r="O212" s="15" t="n"/>
      <c r="P212" s="15" t="n"/>
      <c r="Q212" s="15" t="n"/>
      <c r="R212" s="15">
        <f>IF(OR(O212="Scheduled",Q212="Scheduled"),"SCHEDULED",IF(Q212="Escalate to call","ESCALATED TO CALL",IF(N212="Bad contact","BAD CONTACT",IF(N212="","NOT STARTED","IN PROGRESS"))))</f>
        <v/>
      </c>
      <c r="S212" s="15" t="n"/>
    </row>
    <row r="213">
      <c r="A213" s="15" t="inlineStr">
        <is>
          <t>REQ-0212</t>
        </is>
      </c>
      <c r="B213" s="16" t="n">
        <v>44867.82708333333</v>
      </c>
      <c r="C213" s="16">
        <f>B213+1</f>
        <v/>
      </c>
      <c r="D213" s="17">
        <f>(C213-NOW())*24</f>
        <v/>
      </c>
      <c r="E213" s="15">
        <f>IF(N213="","STEP 1: Send WhatsApp + Email blast now (Playbook M1)",IF(N213="Bad contact","STOP: report bad contact to lead (Playbook)",IF(O213="Scheduled","DONE: scheduled via Calendly",IF(O213="","STEP 2: Check Calendly now",IF(P213="","STEP 3: Send WhatsApp nudge (Playbook M2)",IF(Q213="Scheduled","DONE: scheduled via Calendly",IF(Q213="Escalate to call","HANDED to Shyam (call queue)","STEP 4: Final Calendly check")))))))</f>
        <v/>
      </c>
      <c r="F213" s="16">
        <f>IF(N213="",B213,IF(O213="",B213+2/24,IF(AND(O213="Not yet",P213=""),B213+2/24,IF(Q213="",B213+4/24,""))))</f>
        <v/>
      </c>
      <c r="G213" s="15" t="inlineStr">
        <is>
          <t>Chetan</t>
        </is>
      </c>
      <c r="H213" s="15" t="inlineStr">
        <is>
          <t>Google</t>
        </is>
      </c>
      <c r="I213" s="15" t="inlineStr">
        <is>
          <t>Round1</t>
        </is>
      </c>
      <c r="J213" s="18" t="inlineStr">
        <is>
          <t>+91 9920264452</t>
        </is>
      </c>
      <c r="K213" s="15" t="inlineStr">
        <is>
          <t>chetan@weekday.works</t>
        </is>
      </c>
      <c r="L213" s="15" t="inlineStr">
        <is>
          <t>&lt;calendly_link&gt;</t>
        </is>
      </c>
      <c r="M213" s="15" t="inlineStr">
        <is>
          <t>Yes</t>
        </is>
      </c>
      <c r="N213" s="15" t="n"/>
      <c r="O213" s="15" t="n"/>
      <c r="P213" s="15" t="n"/>
      <c r="Q213" s="15" t="n"/>
      <c r="R213" s="15">
        <f>IF(OR(O213="Scheduled",Q213="Scheduled"),"SCHEDULED",IF(Q213="Escalate to call","ESCALATED TO CALL",IF(N213="Bad contact","BAD CONTACT",IF(N213="","NOT STARTED","IN PROGRESS"))))</f>
        <v/>
      </c>
      <c r="S213" s="15" t="n"/>
    </row>
    <row r="214">
      <c r="A214" s="15" t="inlineStr">
        <is>
          <t>REQ-0213</t>
        </is>
      </c>
      <c r="B214" s="16" t="n">
        <v>44867.82708333333</v>
      </c>
      <c r="C214" s="16">
        <f>B214+1</f>
        <v/>
      </c>
      <c r="D214" s="17">
        <f>(C214-NOW())*24</f>
        <v/>
      </c>
      <c r="E214" s="15">
        <f>IF(N214="","STEP 1: Send WhatsApp + Email blast now (Playbook M1)",IF(N214="Bad contact","STOP: report bad contact to lead (Playbook)",IF(O214="Scheduled","DONE: scheduled via Calendly",IF(O214="","STEP 2: Check Calendly now",IF(P214="","STEP 3: Send WhatsApp nudge (Playbook M2)",IF(Q214="Scheduled","DONE: scheduled via Calendly",IF(Q214="Escalate to call","HANDED to Shyam (call queue)","STEP 4: Final Calendly check")))))))</f>
        <v/>
      </c>
      <c r="F214" s="16">
        <f>IF(N214="",B214,IF(O214="",B214+2/24,IF(AND(O214="Not yet",P214=""),B214+2/24,IF(Q214="",B214+4/24,""))))</f>
        <v/>
      </c>
      <c r="G214" s="15" t="inlineStr">
        <is>
          <t>Chetan</t>
        </is>
      </c>
      <c r="H214" s="15" t="inlineStr">
        <is>
          <t>Google</t>
        </is>
      </c>
      <c r="I214" s="15" t="inlineStr">
        <is>
          <t>Round1</t>
        </is>
      </c>
      <c r="J214" s="18" t="inlineStr">
        <is>
          <t>+91 9920264452</t>
        </is>
      </c>
      <c r="K214" s="15" t="inlineStr">
        <is>
          <t>chetan@weekday.works</t>
        </is>
      </c>
      <c r="L214" s="15" t="inlineStr">
        <is>
          <t>&lt;calendly_link&gt;</t>
        </is>
      </c>
      <c r="M214" s="15" t="inlineStr">
        <is>
          <t>Yes</t>
        </is>
      </c>
      <c r="N214" s="15" t="n"/>
      <c r="O214" s="15" t="n"/>
      <c r="P214" s="15" t="n"/>
      <c r="Q214" s="15" t="n"/>
      <c r="R214" s="15">
        <f>IF(OR(O214="Scheduled",Q214="Scheduled"),"SCHEDULED",IF(Q214="Escalate to call","ESCALATED TO CALL",IF(N214="Bad contact","BAD CONTACT",IF(N214="","NOT STARTED","IN PROGRESS"))))</f>
        <v/>
      </c>
      <c r="S214" s="15" t="n"/>
    </row>
    <row r="215">
      <c r="A215" s="15" t="inlineStr">
        <is>
          <t>REQ-0214</t>
        </is>
      </c>
      <c r="B215" s="16" t="n">
        <v>44867.82708333333</v>
      </c>
      <c r="C215" s="16">
        <f>B215+1</f>
        <v/>
      </c>
      <c r="D215" s="17">
        <f>(C215-NOW())*24</f>
        <v/>
      </c>
      <c r="E215" s="15">
        <f>IF(N215="","STEP 1: Send WhatsApp + Email blast now (Playbook M1)",IF(N215="Bad contact","STOP: report bad contact to lead (Playbook)",IF(O215="Scheduled","DONE: scheduled via Calendly",IF(O215="","STEP 2: Check Calendly now",IF(P215="","STEP 3: Send WhatsApp nudge (Playbook M2)",IF(Q215="Scheduled","DONE: scheduled via Calendly",IF(Q215="Escalate to call","HANDED to Shyam (call queue)","STEP 4: Final Calendly check")))))))</f>
        <v/>
      </c>
      <c r="F215" s="16">
        <f>IF(N215="",B215,IF(O215="",B215+2/24,IF(AND(O215="Not yet",P215=""),B215+2/24,IF(Q215="",B215+4/24,""))))</f>
        <v/>
      </c>
      <c r="G215" s="15" t="inlineStr">
        <is>
          <t>Chetan</t>
        </is>
      </c>
      <c r="H215" s="15" t="inlineStr">
        <is>
          <t>Google</t>
        </is>
      </c>
      <c r="I215" s="15" t="inlineStr">
        <is>
          <t>Round1</t>
        </is>
      </c>
      <c r="J215" s="18" t="inlineStr">
        <is>
          <t>+91 9920264452</t>
        </is>
      </c>
      <c r="K215" s="15" t="inlineStr">
        <is>
          <t>chetan@weekday.works</t>
        </is>
      </c>
      <c r="L215" s="15" t="inlineStr">
        <is>
          <t>&lt;calendly_link&gt;</t>
        </is>
      </c>
      <c r="M215" s="15" t="inlineStr">
        <is>
          <t>Yes</t>
        </is>
      </c>
      <c r="N215" s="15" t="n"/>
      <c r="O215" s="15" t="n"/>
      <c r="P215" s="15" t="n"/>
      <c r="Q215" s="15" t="n"/>
      <c r="R215" s="15">
        <f>IF(OR(O215="Scheduled",Q215="Scheduled"),"SCHEDULED",IF(Q215="Escalate to call","ESCALATED TO CALL",IF(N215="Bad contact","BAD CONTACT",IF(N215="","NOT STARTED","IN PROGRESS"))))</f>
        <v/>
      </c>
      <c r="S215" s="15" t="n"/>
    </row>
    <row r="216">
      <c r="A216" s="15" t="inlineStr">
        <is>
          <t>REQ-0215</t>
        </is>
      </c>
      <c r="B216" s="16" t="n">
        <v>44867.82708333333</v>
      </c>
      <c r="C216" s="16">
        <f>B216+1</f>
        <v/>
      </c>
      <c r="D216" s="17">
        <f>(C216-NOW())*24</f>
        <v/>
      </c>
      <c r="E216" s="15">
        <f>IF(N216="","STEP 1: Send WhatsApp + Email blast now (Playbook M1)",IF(N216="Bad contact","STOP: report bad contact to lead (Playbook)",IF(O216="Scheduled","DONE: scheduled via Calendly",IF(O216="","STEP 2: Check Calendly now",IF(P216="","STEP 3: Send WhatsApp nudge (Playbook M2)",IF(Q216="Scheduled","DONE: scheduled via Calendly",IF(Q216="Escalate to call","HANDED to Shyam (call queue)","STEP 4: Final Calendly check")))))))</f>
        <v/>
      </c>
      <c r="F216" s="16">
        <f>IF(N216="",B216,IF(O216="",B216+2/24,IF(AND(O216="Not yet",P216=""),B216+2/24,IF(Q216="",B216+4/24,""))))</f>
        <v/>
      </c>
      <c r="G216" s="15" t="inlineStr">
        <is>
          <t>Chetan</t>
        </is>
      </c>
      <c r="H216" s="15" t="inlineStr">
        <is>
          <t>Google</t>
        </is>
      </c>
      <c r="I216" s="15" t="inlineStr">
        <is>
          <t>Round1</t>
        </is>
      </c>
      <c r="J216" s="18" t="inlineStr">
        <is>
          <t>+91 9920264452</t>
        </is>
      </c>
      <c r="K216" s="15" t="inlineStr">
        <is>
          <t>chetan@weekday.works</t>
        </is>
      </c>
      <c r="L216" s="15" t="inlineStr">
        <is>
          <t>&lt;calendly_link&gt;</t>
        </is>
      </c>
      <c r="M216" s="15" t="inlineStr">
        <is>
          <t>Yes</t>
        </is>
      </c>
      <c r="N216" s="15" t="n"/>
      <c r="O216" s="15" t="n"/>
      <c r="P216" s="15" t="n"/>
      <c r="Q216" s="15" t="n"/>
      <c r="R216" s="15">
        <f>IF(OR(O216="Scheduled",Q216="Scheduled"),"SCHEDULED",IF(Q216="Escalate to call","ESCALATED TO CALL",IF(N216="Bad contact","BAD CONTACT",IF(N216="","NOT STARTED","IN PROGRESS"))))</f>
        <v/>
      </c>
      <c r="S216" s="15" t="n"/>
    </row>
    <row r="217">
      <c r="A217" s="15" t="inlineStr">
        <is>
          <t>REQ-0216</t>
        </is>
      </c>
      <c r="B217" s="16" t="n">
        <v>44867.82708333333</v>
      </c>
      <c r="C217" s="16">
        <f>B217+1</f>
        <v/>
      </c>
      <c r="D217" s="17">
        <f>(C217-NOW())*24</f>
        <v/>
      </c>
      <c r="E217" s="15">
        <f>IF(N217="","STEP 1: Send WhatsApp + Email blast now (Playbook M1)",IF(N217="Bad contact","STOP: report bad contact to lead (Playbook)",IF(O217="Scheduled","DONE: scheduled via Calendly",IF(O217="","STEP 2: Check Calendly now",IF(P217="","STEP 3: Send WhatsApp nudge (Playbook M2)",IF(Q217="Scheduled","DONE: scheduled via Calendly",IF(Q217="Escalate to call","HANDED to Shyam (call queue)","STEP 4: Final Calendly check")))))))</f>
        <v/>
      </c>
      <c r="F217" s="16">
        <f>IF(N217="",B217,IF(O217="",B217+2/24,IF(AND(O217="Not yet",P217=""),B217+2/24,IF(Q217="",B217+4/24,""))))</f>
        <v/>
      </c>
      <c r="G217" s="15" t="inlineStr">
        <is>
          <t>Chetan</t>
        </is>
      </c>
      <c r="H217" s="15" t="inlineStr">
        <is>
          <t>Google</t>
        </is>
      </c>
      <c r="I217" s="15" t="inlineStr">
        <is>
          <t>Round1</t>
        </is>
      </c>
      <c r="J217" s="18" t="inlineStr">
        <is>
          <t>+91 9920264452</t>
        </is>
      </c>
      <c r="K217" s="15" t="inlineStr">
        <is>
          <t>chetan@weekday.works</t>
        </is>
      </c>
      <c r="L217" s="15" t="inlineStr">
        <is>
          <t>&lt;calendly_link&gt;</t>
        </is>
      </c>
      <c r="M217" s="15" t="inlineStr">
        <is>
          <t>Yes</t>
        </is>
      </c>
      <c r="N217" s="15" t="n"/>
      <c r="O217" s="15" t="n"/>
      <c r="P217" s="15" t="n"/>
      <c r="Q217" s="15" t="n"/>
      <c r="R217" s="15">
        <f>IF(OR(O217="Scheduled",Q217="Scheduled"),"SCHEDULED",IF(Q217="Escalate to call","ESCALATED TO CALL",IF(N217="Bad contact","BAD CONTACT",IF(N217="","NOT STARTED","IN PROGRESS"))))</f>
        <v/>
      </c>
      <c r="S217" s="15" t="n"/>
    </row>
    <row r="218">
      <c r="A218" s="15" t="inlineStr">
        <is>
          <t>REQ-0217</t>
        </is>
      </c>
      <c r="B218" s="16" t="n">
        <v>44867.82708333333</v>
      </c>
      <c r="C218" s="16">
        <f>B218+1</f>
        <v/>
      </c>
      <c r="D218" s="17">
        <f>(C218-NOW())*24</f>
        <v/>
      </c>
      <c r="E218" s="15">
        <f>IF(N218="","STEP 1: Send WhatsApp + Email blast now (Playbook M1)",IF(N218="Bad contact","STOP: report bad contact to lead (Playbook)",IF(O218="Scheduled","DONE: scheduled via Calendly",IF(O218="","STEP 2: Check Calendly now",IF(P218="","STEP 3: Send WhatsApp nudge (Playbook M2)",IF(Q218="Scheduled","DONE: scheduled via Calendly",IF(Q218="Escalate to call","HANDED to Shyam (call queue)","STEP 4: Final Calendly check")))))))</f>
        <v/>
      </c>
      <c r="F218" s="16">
        <f>IF(N218="",B218,IF(O218="",B218+2/24,IF(AND(O218="Not yet",P218=""),B218+2/24,IF(Q218="",B218+4/24,""))))</f>
        <v/>
      </c>
      <c r="G218" s="15" t="inlineStr">
        <is>
          <t>Chetan</t>
        </is>
      </c>
      <c r="H218" s="15" t="inlineStr">
        <is>
          <t>Google</t>
        </is>
      </c>
      <c r="I218" s="15" t="inlineStr">
        <is>
          <t>Round1</t>
        </is>
      </c>
      <c r="J218" s="18" t="inlineStr">
        <is>
          <t>+91 9920264452</t>
        </is>
      </c>
      <c r="K218" s="15" t="inlineStr">
        <is>
          <t>chetan@weekday.works</t>
        </is>
      </c>
      <c r="L218" s="15" t="inlineStr">
        <is>
          <t>&lt;calendly_link&gt;</t>
        </is>
      </c>
      <c r="M218" s="15" t="inlineStr">
        <is>
          <t>Yes</t>
        </is>
      </c>
      <c r="N218" s="15" t="n"/>
      <c r="O218" s="15" t="n"/>
      <c r="P218" s="15" t="n"/>
      <c r="Q218" s="15" t="n"/>
      <c r="R218" s="15">
        <f>IF(OR(O218="Scheduled",Q218="Scheduled"),"SCHEDULED",IF(Q218="Escalate to call","ESCALATED TO CALL",IF(N218="Bad contact","BAD CONTACT",IF(N218="","NOT STARTED","IN PROGRESS"))))</f>
        <v/>
      </c>
      <c r="S218" s="15" t="n"/>
    </row>
    <row r="219">
      <c r="A219" s="15" t="inlineStr">
        <is>
          <t>REQ-0218</t>
        </is>
      </c>
      <c r="B219" s="16" t="n">
        <v>44867.82708333333</v>
      </c>
      <c r="C219" s="16">
        <f>B219+1</f>
        <v/>
      </c>
      <c r="D219" s="17">
        <f>(C219-NOW())*24</f>
        <v/>
      </c>
      <c r="E219" s="15">
        <f>IF(N219="","STEP 1: Send WhatsApp + Email blast now (Playbook M1)",IF(N219="Bad contact","STOP: report bad contact to lead (Playbook)",IF(O219="Scheduled","DONE: scheduled via Calendly",IF(O219="","STEP 2: Check Calendly now",IF(P219="","STEP 3: Send WhatsApp nudge (Playbook M2)",IF(Q219="Scheduled","DONE: scheduled via Calendly",IF(Q219="Escalate to call","HANDED to Shyam (call queue)","STEP 4: Final Calendly check")))))))</f>
        <v/>
      </c>
      <c r="F219" s="16">
        <f>IF(N219="",B219,IF(O219="",B219+2/24,IF(AND(O219="Not yet",P219=""),B219+2/24,IF(Q219="",B219+4/24,""))))</f>
        <v/>
      </c>
      <c r="G219" s="15" t="inlineStr">
        <is>
          <t>Chetan</t>
        </is>
      </c>
      <c r="H219" s="15" t="inlineStr">
        <is>
          <t>Google</t>
        </is>
      </c>
      <c r="I219" s="15" t="inlineStr">
        <is>
          <t>Round1</t>
        </is>
      </c>
      <c r="J219" s="18" t="inlineStr">
        <is>
          <t>+91 9920264452</t>
        </is>
      </c>
      <c r="K219" s="15" t="inlineStr">
        <is>
          <t>chetan@weekday.works</t>
        </is>
      </c>
      <c r="L219" s="15" t="inlineStr">
        <is>
          <t>&lt;calendly_link&gt;</t>
        </is>
      </c>
      <c r="M219" s="15" t="inlineStr">
        <is>
          <t>Yes</t>
        </is>
      </c>
      <c r="N219" s="15" t="n"/>
      <c r="O219" s="15" t="n"/>
      <c r="P219" s="15" t="n"/>
      <c r="Q219" s="15" t="n"/>
      <c r="R219" s="15">
        <f>IF(OR(O219="Scheduled",Q219="Scheduled"),"SCHEDULED",IF(Q219="Escalate to call","ESCALATED TO CALL",IF(N219="Bad contact","BAD CONTACT",IF(N219="","NOT STARTED","IN PROGRESS"))))</f>
        <v/>
      </c>
      <c r="S219" s="15" t="n"/>
    </row>
    <row r="220">
      <c r="A220" s="15" t="inlineStr">
        <is>
          <t>REQ-0219</t>
        </is>
      </c>
      <c r="B220" s="16" t="n">
        <v>44867.82708333333</v>
      </c>
      <c r="C220" s="16">
        <f>B220+1</f>
        <v/>
      </c>
      <c r="D220" s="17">
        <f>(C220-NOW())*24</f>
        <v/>
      </c>
      <c r="E220" s="15">
        <f>IF(N220="","STEP 1: Send WhatsApp + Email blast now (Playbook M1)",IF(N220="Bad contact","STOP: report bad contact to lead (Playbook)",IF(O220="Scheduled","DONE: scheduled via Calendly",IF(O220="","STEP 2: Check Calendly now",IF(P220="","STEP 3: Send WhatsApp nudge (Playbook M2)",IF(Q220="Scheduled","DONE: scheduled via Calendly",IF(Q220="Escalate to call","HANDED to Shyam (call queue)","STEP 4: Final Calendly check")))))))</f>
        <v/>
      </c>
      <c r="F220" s="16">
        <f>IF(N220="",B220,IF(O220="",B220+2/24,IF(AND(O220="Not yet",P220=""),B220+2/24,IF(Q220="",B220+4/24,""))))</f>
        <v/>
      </c>
      <c r="G220" s="15" t="inlineStr">
        <is>
          <t>Chetan</t>
        </is>
      </c>
      <c r="H220" s="15" t="inlineStr">
        <is>
          <t>Google</t>
        </is>
      </c>
      <c r="I220" s="15" t="inlineStr">
        <is>
          <t>Round1</t>
        </is>
      </c>
      <c r="J220" s="18" t="inlineStr">
        <is>
          <t>+91 9920264452</t>
        </is>
      </c>
      <c r="K220" s="15" t="inlineStr">
        <is>
          <t>chetan@weekday.works</t>
        </is>
      </c>
      <c r="L220" s="15" t="inlineStr">
        <is>
          <t>&lt;calendly_link&gt;</t>
        </is>
      </c>
      <c r="M220" s="15" t="inlineStr">
        <is>
          <t>Yes</t>
        </is>
      </c>
      <c r="N220" s="15" t="n"/>
      <c r="O220" s="15" t="n"/>
      <c r="P220" s="15" t="n"/>
      <c r="Q220" s="15" t="n"/>
      <c r="R220" s="15">
        <f>IF(OR(O220="Scheduled",Q220="Scheduled"),"SCHEDULED",IF(Q220="Escalate to call","ESCALATED TO CALL",IF(N220="Bad contact","BAD CONTACT",IF(N220="","NOT STARTED","IN PROGRESS"))))</f>
        <v/>
      </c>
      <c r="S220" s="15" t="n"/>
    </row>
    <row r="221">
      <c r="A221" s="15" t="inlineStr">
        <is>
          <t>REQ-0220</t>
        </is>
      </c>
      <c r="B221" s="16" t="n">
        <v>44867.82708333333</v>
      </c>
      <c r="C221" s="16">
        <f>B221+1</f>
        <v/>
      </c>
      <c r="D221" s="17">
        <f>(C221-NOW())*24</f>
        <v/>
      </c>
      <c r="E221" s="15">
        <f>IF(N221="","STEP 1: Send WhatsApp + Email blast now (Playbook M1)",IF(N221="Bad contact","STOP: report bad contact to lead (Playbook)",IF(O221="Scheduled","DONE: scheduled via Calendly",IF(O221="","STEP 2: Check Calendly now",IF(P221="","STEP 3: Send WhatsApp nudge (Playbook M2)",IF(Q221="Scheduled","DONE: scheduled via Calendly",IF(Q221="Escalate to call","HANDED to Shyam (call queue)","STEP 4: Final Calendly check")))))))</f>
        <v/>
      </c>
      <c r="F221" s="16">
        <f>IF(N221="",B221,IF(O221="",B221+2/24,IF(AND(O221="Not yet",P221=""),B221+2/24,IF(Q221="",B221+4/24,""))))</f>
        <v/>
      </c>
      <c r="G221" s="15" t="inlineStr">
        <is>
          <t>Chetan</t>
        </is>
      </c>
      <c r="H221" s="15" t="inlineStr">
        <is>
          <t>Google</t>
        </is>
      </c>
      <c r="I221" s="15" t="inlineStr">
        <is>
          <t>Round1</t>
        </is>
      </c>
      <c r="J221" s="18" t="inlineStr">
        <is>
          <t>+91 9920264452</t>
        </is>
      </c>
      <c r="K221" s="15" t="inlineStr">
        <is>
          <t>chetan@weekday.works</t>
        </is>
      </c>
      <c r="L221" s="15" t="inlineStr">
        <is>
          <t>&lt;calendly_link&gt;</t>
        </is>
      </c>
      <c r="M221" s="15" t="inlineStr">
        <is>
          <t>Yes</t>
        </is>
      </c>
      <c r="N221" s="15" t="n"/>
      <c r="O221" s="15" t="n"/>
      <c r="P221" s="15" t="n"/>
      <c r="Q221" s="15" t="n"/>
      <c r="R221" s="15">
        <f>IF(OR(O221="Scheduled",Q221="Scheduled"),"SCHEDULED",IF(Q221="Escalate to call","ESCALATED TO CALL",IF(N221="Bad contact","BAD CONTACT",IF(N221="","NOT STARTED","IN PROGRESS"))))</f>
        <v/>
      </c>
      <c r="S221" s="15" t="n"/>
    </row>
    <row r="222">
      <c r="A222" s="15" t="inlineStr">
        <is>
          <t>REQ-0221</t>
        </is>
      </c>
      <c r="B222" s="16" t="n">
        <v>44867.82708333333</v>
      </c>
      <c r="C222" s="16">
        <f>B222+1</f>
        <v/>
      </c>
      <c r="D222" s="17">
        <f>(C222-NOW())*24</f>
        <v/>
      </c>
      <c r="E222" s="15">
        <f>IF(N222="","STEP 1: Send WhatsApp + Email blast now (Playbook M1)",IF(N222="Bad contact","STOP: report bad contact to lead (Playbook)",IF(O222="Scheduled","DONE: scheduled via Calendly",IF(O222="","STEP 2: Check Calendly now",IF(P222="","STEP 3: Send WhatsApp nudge (Playbook M2)",IF(Q222="Scheduled","DONE: scheduled via Calendly",IF(Q222="Escalate to call","HANDED to Shyam (call queue)","STEP 4: Final Calendly check")))))))</f>
        <v/>
      </c>
      <c r="F222" s="16">
        <f>IF(N222="",B222,IF(O222="",B222+2/24,IF(AND(O222="Not yet",P222=""),B222+2/24,IF(Q222="",B222+4/24,""))))</f>
        <v/>
      </c>
      <c r="G222" s="15" t="inlineStr">
        <is>
          <t>Chetan</t>
        </is>
      </c>
      <c r="H222" s="15" t="inlineStr">
        <is>
          <t>Google</t>
        </is>
      </c>
      <c r="I222" s="15" t="inlineStr">
        <is>
          <t>Round1</t>
        </is>
      </c>
      <c r="J222" s="18" t="inlineStr">
        <is>
          <t>+91 9920264452</t>
        </is>
      </c>
      <c r="K222" s="15" t="inlineStr">
        <is>
          <t>chetan@weekday.works</t>
        </is>
      </c>
      <c r="L222" s="15" t="inlineStr">
        <is>
          <t>&lt;calendly_link&gt;</t>
        </is>
      </c>
      <c r="M222" s="15" t="inlineStr">
        <is>
          <t>Yes</t>
        </is>
      </c>
      <c r="N222" s="15" t="n"/>
      <c r="O222" s="15" t="n"/>
      <c r="P222" s="15" t="n"/>
      <c r="Q222" s="15" t="n"/>
      <c r="R222" s="15">
        <f>IF(OR(O222="Scheduled",Q222="Scheduled"),"SCHEDULED",IF(Q222="Escalate to call","ESCALATED TO CALL",IF(N222="Bad contact","BAD CONTACT",IF(N222="","NOT STARTED","IN PROGRESS"))))</f>
        <v/>
      </c>
      <c r="S222" s="15" t="n"/>
    </row>
    <row r="223">
      <c r="A223" s="15" t="inlineStr">
        <is>
          <t>REQ-0222</t>
        </is>
      </c>
      <c r="B223" s="16" t="n">
        <v>44867.82708333333</v>
      </c>
      <c r="C223" s="16">
        <f>B223+1</f>
        <v/>
      </c>
      <c r="D223" s="17">
        <f>(C223-NOW())*24</f>
        <v/>
      </c>
      <c r="E223" s="15">
        <f>IF(N223="","STEP 1: Send WhatsApp + Email blast now (Playbook M1)",IF(N223="Bad contact","STOP: report bad contact to lead (Playbook)",IF(O223="Scheduled","DONE: scheduled via Calendly",IF(O223="","STEP 2: Check Calendly now",IF(P223="","STEP 3: Send WhatsApp nudge (Playbook M2)",IF(Q223="Scheduled","DONE: scheduled via Calendly",IF(Q223="Escalate to call","HANDED to Shyam (call queue)","STEP 4: Final Calendly check")))))))</f>
        <v/>
      </c>
      <c r="F223" s="16">
        <f>IF(N223="",B223,IF(O223="",B223+2/24,IF(AND(O223="Not yet",P223=""),B223+2/24,IF(Q223="",B223+4/24,""))))</f>
        <v/>
      </c>
      <c r="G223" s="15" t="inlineStr">
        <is>
          <t>Chetan</t>
        </is>
      </c>
      <c r="H223" s="15" t="inlineStr">
        <is>
          <t>Google</t>
        </is>
      </c>
      <c r="I223" s="15" t="inlineStr">
        <is>
          <t>Round1</t>
        </is>
      </c>
      <c r="J223" s="18" t="inlineStr">
        <is>
          <t>+91 9920264452</t>
        </is>
      </c>
      <c r="K223" s="15" t="inlineStr">
        <is>
          <t>chetan@weekday.works</t>
        </is>
      </c>
      <c r="L223" s="15" t="inlineStr">
        <is>
          <t>&lt;calendly_link&gt;</t>
        </is>
      </c>
      <c r="M223" s="15" t="inlineStr">
        <is>
          <t>Yes</t>
        </is>
      </c>
      <c r="N223" s="15" t="n"/>
      <c r="O223" s="15" t="n"/>
      <c r="P223" s="15" t="n"/>
      <c r="Q223" s="15" t="n"/>
      <c r="R223" s="15">
        <f>IF(OR(O223="Scheduled",Q223="Scheduled"),"SCHEDULED",IF(Q223="Escalate to call","ESCALATED TO CALL",IF(N223="Bad contact","BAD CONTACT",IF(N223="","NOT STARTED","IN PROGRESS"))))</f>
        <v/>
      </c>
      <c r="S223" s="15" t="n"/>
    </row>
    <row r="224">
      <c r="A224" s="15" t="inlineStr">
        <is>
          <t>REQ-0223</t>
        </is>
      </c>
      <c r="B224" s="16" t="n">
        <v>44867.82708333333</v>
      </c>
      <c r="C224" s="16">
        <f>B224+1</f>
        <v/>
      </c>
      <c r="D224" s="17">
        <f>(C224-NOW())*24</f>
        <v/>
      </c>
      <c r="E224" s="15">
        <f>IF(N224="","STEP 1: Send WhatsApp + Email blast now (Playbook M1)",IF(N224="Bad contact","STOP: report bad contact to lead (Playbook)",IF(O224="Scheduled","DONE: scheduled via Calendly",IF(O224="","STEP 2: Check Calendly now",IF(P224="","STEP 3: Send WhatsApp nudge (Playbook M2)",IF(Q224="Scheduled","DONE: scheduled via Calendly",IF(Q224="Escalate to call","HANDED to Shyam (call queue)","STEP 4: Final Calendly check")))))))</f>
        <v/>
      </c>
      <c r="F224" s="16">
        <f>IF(N224="",B224,IF(O224="",B224+2/24,IF(AND(O224="Not yet",P224=""),B224+2/24,IF(Q224="",B224+4/24,""))))</f>
        <v/>
      </c>
      <c r="G224" s="15" t="inlineStr">
        <is>
          <t>Chetan</t>
        </is>
      </c>
      <c r="H224" s="15" t="inlineStr">
        <is>
          <t>Google</t>
        </is>
      </c>
      <c r="I224" s="15" t="inlineStr">
        <is>
          <t>Round1</t>
        </is>
      </c>
      <c r="J224" s="18" t="inlineStr">
        <is>
          <t>+91 9920264452</t>
        </is>
      </c>
      <c r="K224" s="15" t="inlineStr">
        <is>
          <t>chetan@weekday.works</t>
        </is>
      </c>
      <c r="L224" s="15" t="inlineStr">
        <is>
          <t>&lt;calendly_link&gt;</t>
        </is>
      </c>
      <c r="M224" s="15" t="inlineStr">
        <is>
          <t>Yes</t>
        </is>
      </c>
      <c r="N224" s="15" t="n"/>
      <c r="O224" s="15" t="n"/>
      <c r="P224" s="15" t="n"/>
      <c r="Q224" s="15" t="n"/>
      <c r="R224" s="15">
        <f>IF(OR(O224="Scheduled",Q224="Scheduled"),"SCHEDULED",IF(Q224="Escalate to call","ESCALATED TO CALL",IF(N224="Bad contact","BAD CONTACT",IF(N224="","NOT STARTED","IN PROGRESS"))))</f>
        <v/>
      </c>
      <c r="S224" s="15" t="n"/>
    </row>
    <row r="225">
      <c r="A225" s="15" t="inlineStr">
        <is>
          <t>REQ-0224</t>
        </is>
      </c>
      <c r="B225" s="16" t="n">
        <v>44867.82708333333</v>
      </c>
      <c r="C225" s="16">
        <f>B225+1</f>
        <v/>
      </c>
      <c r="D225" s="17">
        <f>(C225-NOW())*24</f>
        <v/>
      </c>
      <c r="E225" s="15">
        <f>IF(N225="","STEP 1: Send WhatsApp + Email blast now (Playbook M1)",IF(N225="Bad contact","STOP: report bad contact to lead (Playbook)",IF(O225="Scheduled","DONE: scheduled via Calendly",IF(O225="","STEP 2: Check Calendly now",IF(P225="","STEP 3: Send WhatsApp nudge (Playbook M2)",IF(Q225="Scheduled","DONE: scheduled via Calendly",IF(Q225="Escalate to call","HANDED to Shyam (call queue)","STEP 4: Final Calendly check")))))))</f>
        <v/>
      </c>
      <c r="F225" s="16">
        <f>IF(N225="",B225,IF(O225="",B225+2/24,IF(AND(O225="Not yet",P225=""),B225+2/24,IF(Q225="",B225+4/24,""))))</f>
        <v/>
      </c>
      <c r="G225" s="15" t="inlineStr">
        <is>
          <t>Chetan</t>
        </is>
      </c>
      <c r="H225" s="15" t="inlineStr">
        <is>
          <t>Google</t>
        </is>
      </c>
      <c r="I225" s="15" t="inlineStr">
        <is>
          <t>Round1</t>
        </is>
      </c>
      <c r="J225" s="18" t="inlineStr">
        <is>
          <t>+91 9920264452</t>
        </is>
      </c>
      <c r="K225" s="15" t="inlineStr">
        <is>
          <t>chetan@weekday.works</t>
        </is>
      </c>
      <c r="L225" s="15" t="inlineStr">
        <is>
          <t>&lt;calendly_link&gt;</t>
        </is>
      </c>
      <c r="M225" s="15" t="inlineStr">
        <is>
          <t>Yes</t>
        </is>
      </c>
      <c r="N225" s="15" t="n"/>
      <c r="O225" s="15" t="n"/>
      <c r="P225" s="15" t="n"/>
      <c r="Q225" s="15" t="n"/>
      <c r="R225" s="15">
        <f>IF(OR(O225="Scheduled",Q225="Scheduled"),"SCHEDULED",IF(Q225="Escalate to call","ESCALATED TO CALL",IF(N225="Bad contact","BAD CONTACT",IF(N225="","NOT STARTED","IN PROGRESS"))))</f>
        <v/>
      </c>
      <c r="S225" s="15" t="n"/>
    </row>
    <row r="226">
      <c r="A226" s="15" t="inlineStr">
        <is>
          <t>REQ-0225</t>
        </is>
      </c>
      <c r="B226" s="16" t="n">
        <v>44867.82708333333</v>
      </c>
      <c r="C226" s="16">
        <f>B226+1</f>
        <v/>
      </c>
      <c r="D226" s="17">
        <f>(C226-NOW())*24</f>
        <v/>
      </c>
      <c r="E226" s="15">
        <f>IF(N226="","STEP 1: Send WhatsApp + Email blast now (Playbook M1)",IF(N226="Bad contact","STOP: report bad contact to lead (Playbook)",IF(O226="Scheduled","DONE: scheduled via Calendly",IF(O226="","STEP 2: Check Calendly now",IF(P226="","STEP 3: Send WhatsApp nudge (Playbook M2)",IF(Q226="Scheduled","DONE: scheduled via Calendly",IF(Q226="Escalate to call","HANDED to Shyam (call queue)","STEP 4: Final Calendly check")))))))</f>
        <v/>
      </c>
      <c r="F226" s="16">
        <f>IF(N226="",B226,IF(O226="",B226+2/24,IF(AND(O226="Not yet",P226=""),B226+2/24,IF(Q226="",B226+4/24,""))))</f>
        <v/>
      </c>
      <c r="G226" s="15" t="inlineStr">
        <is>
          <t>Chetan</t>
        </is>
      </c>
      <c r="H226" s="15" t="inlineStr">
        <is>
          <t>Google</t>
        </is>
      </c>
      <c r="I226" s="15" t="inlineStr">
        <is>
          <t>Round1</t>
        </is>
      </c>
      <c r="J226" s="18" t="inlineStr">
        <is>
          <t>+91 9920264452</t>
        </is>
      </c>
      <c r="K226" s="15" t="inlineStr">
        <is>
          <t>chetan@weekday.works</t>
        </is>
      </c>
      <c r="L226" s="15" t="inlineStr">
        <is>
          <t>&lt;calendly_link&gt;</t>
        </is>
      </c>
      <c r="M226" s="15" t="inlineStr">
        <is>
          <t>Yes</t>
        </is>
      </c>
      <c r="N226" s="15" t="n"/>
      <c r="O226" s="15" t="n"/>
      <c r="P226" s="15" t="n"/>
      <c r="Q226" s="15" t="n"/>
      <c r="R226" s="15">
        <f>IF(OR(O226="Scheduled",Q226="Scheduled"),"SCHEDULED",IF(Q226="Escalate to call","ESCALATED TO CALL",IF(N226="Bad contact","BAD CONTACT",IF(N226="","NOT STARTED","IN PROGRESS"))))</f>
        <v/>
      </c>
      <c r="S226" s="15" t="n"/>
    </row>
    <row r="227">
      <c r="A227" s="15" t="inlineStr">
        <is>
          <t>REQ-0226</t>
        </is>
      </c>
      <c r="B227" s="16" t="n">
        <v>44867.82708333333</v>
      </c>
      <c r="C227" s="16">
        <f>B227+1</f>
        <v/>
      </c>
      <c r="D227" s="17">
        <f>(C227-NOW())*24</f>
        <v/>
      </c>
      <c r="E227" s="15">
        <f>IF(N227="","STEP 1: Send WhatsApp + Email blast now (Playbook M1)",IF(N227="Bad contact","STOP: report bad contact to lead (Playbook)",IF(O227="Scheduled","DONE: scheduled via Calendly",IF(O227="","STEP 2: Check Calendly now",IF(P227="","STEP 3: Send WhatsApp nudge (Playbook M2)",IF(Q227="Scheduled","DONE: scheduled via Calendly",IF(Q227="Escalate to call","HANDED to Shyam (call queue)","STEP 4: Final Calendly check")))))))</f>
        <v/>
      </c>
      <c r="F227" s="16">
        <f>IF(N227="",B227,IF(O227="",B227+2/24,IF(AND(O227="Not yet",P227=""),B227+2/24,IF(Q227="",B227+4/24,""))))</f>
        <v/>
      </c>
      <c r="G227" s="15" t="inlineStr">
        <is>
          <t>Chetan</t>
        </is>
      </c>
      <c r="H227" s="15" t="inlineStr">
        <is>
          <t>Google</t>
        </is>
      </c>
      <c r="I227" s="15" t="inlineStr">
        <is>
          <t>Round1</t>
        </is>
      </c>
      <c r="J227" s="18" t="inlineStr">
        <is>
          <t>+91 9920264452</t>
        </is>
      </c>
      <c r="K227" s="15" t="inlineStr">
        <is>
          <t>chetan@weekday.works</t>
        </is>
      </c>
      <c r="L227" s="15" t="inlineStr">
        <is>
          <t>&lt;calendly_link&gt;</t>
        </is>
      </c>
      <c r="M227" s="15" t="inlineStr">
        <is>
          <t>Yes</t>
        </is>
      </c>
      <c r="N227" s="15" t="n"/>
      <c r="O227" s="15" t="n"/>
      <c r="P227" s="15" t="n"/>
      <c r="Q227" s="15" t="n"/>
      <c r="R227" s="15">
        <f>IF(OR(O227="Scheduled",Q227="Scheduled"),"SCHEDULED",IF(Q227="Escalate to call","ESCALATED TO CALL",IF(N227="Bad contact","BAD CONTACT",IF(N227="","NOT STARTED","IN PROGRESS"))))</f>
        <v/>
      </c>
      <c r="S227" s="15" t="n"/>
    </row>
    <row r="228">
      <c r="A228" s="15" t="inlineStr">
        <is>
          <t>REQ-0227</t>
        </is>
      </c>
      <c r="B228" s="16" t="n">
        <v>44867.82708333333</v>
      </c>
      <c r="C228" s="16">
        <f>B228+1</f>
        <v/>
      </c>
      <c r="D228" s="17">
        <f>(C228-NOW())*24</f>
        <v/>
      </c>
      <c r="E228" s="15">
        <f>IF(N228="","STEP 1: Send WhatsApp + Email blast now (Playbook M1)",IF(N228="Bad contact","STOP: report bad contact to lead (Playbook)",IF(O228="Scheduled","DONE: scheduled via Calendly",IF(O228="","STEP 2: Check Calendly now",IF(P228="","STEP 3: Send WhatsApp nudge (Playbook M2)",IF(Q228="Scheduled","DONE: scheduled via Calendly",IF(Q228="Escalate to call","HANDED to Shyam (call queue)","STEP 4: Final Calendly check")))))))</f>
        <v/>
      </c>
      <c r="F228" s="16">
        <f>IF(N228="",B228,IF(O228="",B228+2/24,IF(AND(O228="Not yet",P228=""),B228+2/24,IF(Q228="",B228+4/24,""))))</f>
        <v/>
      </c>
      <c r="G228" s="15" t="inlineStr">
        <is>
          <t>Chetan</t>
        </is>
      </c>
      <c r="H228" s="15" t="inlineStr">
        <is>
          <t>Google</t>
        </is>
      </c>
      <c r="I228" s="15" t="inlineStr">
        <is>
          <t>Round1</t>
        </is>
      </c>
      <c r="J228" s="18" t="inlineStr">
        <is>
          <t>+91 9920264452</t>
        </is>
      </c>
      <c r="K228" s="15" t="inlineStr">
        <is>
          <t>chetan@weekday.works</t>
        </is>
      </c>
      <c r="L228" s="15" t="inlineStr">
        <is>
          <t>&lt;calendly_link&gt;</t>
        </is>
      </c>
      <c r="M228" s="15" t="inlineStr">
        <is>
          <t>Yes</t>
        </is>
      </c>
      <c r="N228" s="15" t="n"/>
      <c r="O228" s="15" t="n"/>
      <c r="P228" s="15" t="n"/>
      <c r="Q228" s="15" t="n"/>
      <c r="R228" s="15">
        <f>IF(OR(O228="Scheduled",Q228="Scheduled"),"SCHEDULED",IF(Q228="Escalate to call","ESCALATED TO CALL",IF(N228="Bad contact","BAD CONTACT",IF(N228="","NOT STARTED","IN PROGRESS"))))</f>
        <v/>
      </c>
      <c r="S228" s="15" t="n"/>
    </row>
    <row r="229">
      <c r="A229" s="15" t="inlineStr">
        <is>
          <t>REQ-0228</t>
        </is>
      </c>
      <c r="B229" s="16" t="n">
        <v>44867.82708333333</v>
      </c>
      <c r="C229" s="16">
        <f>B229+1</f>
        <v/>
      </c>
      <c r="D229" s="17">
        <f>(C229-NOW())*24</f>
        <v/>
      </c>
      <c r="E229" s="15">
        <f>IF(N229="","STEP 1: Send WhatsApp + Email blast now (Playbook M1)",IF(N229="Bad contact","STOP: report bad contact to lead (Playbook)",IF(O229="Scheduled","DONE: scheduled via Calendly",IF(O229="","STEP 2: Check Calendly now",IF(P229="","STEP 3: Send WhatsApp nudge (Playbook M2)",IF(Q229="Scheduled","DONE: scheduled via Calendly",IF(Q229="Escalate to call","HANDED to Shyam (call queue)","STEP 4: Final Calendly check")))))))</f>
        <v/>
      </c>
      <c r="F229" s="16">
        <f>IF(N229="",B229,IF(O229="",B229+2/24,IF(AND(O229="Not yet",P229=""),B229+2/24,IF(Q229="",B229+4/24,""))))</f>
        <v/>
      </c>
      <c r="G229" s="15" t="inlineStr">
        <is>
          <t>Chetan</t>
        </is>
      </c>
      <c r="H229" s="15" t="inlineStr">
        <is>
          <t>Google</t>
        </is>
      </c>
      <c r="I229" s="15" t="inlineStr">
        <is>
          <t>Round1</t>
        </is>
      </c>
      <c r="J229" s="18" t="inlineStr">
        <is>
          <t>+91 9920264452</t>
        </is>
      </c>
      <c r="K229" s="15" t="inlineStr">
        <is>
          <t>chetan@weekday.works</t>
        </is>
      </c>
      <c r="L229" s="15" t="inlineStr">
        <is>
          <t>&lt;calendly_link&gt;</t>
        </is>
      </c>
      <c r="M229" s="15" t="inlineStr">
        <is>
          <t>Yes</t>
        </is>
      </c>
      <c r="N229" s="15" t="n"/>
      <c r="O229" s="15" t="n"/>
      <c r="P229" s="15" t="n"/>
      <c r="Q229" s="15" t="n"/>
      <c r="R229" s="15">
        <f>IF(OR(O229="Scheduled",Q229="Scheduled"),"SCHEDULED",IF(Q229="Escalate to call","ESCALATED TO CALL",IF(N229="Bad contact","BAD CONTACT",IF(N229="","NOT STARTED","IN PROGRESS"))))</f>
        <v/>
      </c>
      <c r="S229" s="15" t="n"/>
    </row>
    <row r="230">
      <c r="A230" s="15" t="inlineStr">
        <is>
          <t>REQ-0229</t>
        </is>
      </c>
      <c r="B230" s="16" t="n">
        <v>44867.82708333333</v>
      </c>
      <c r="C230" s="16">
        <f>B230+1</f>
        <v/>
      </c>
      <c r="D230" s="17">
        <f>(C230-NOW())*24</f>
        <v/>
      </c>
      <c r="E230" s="15">
        <f>IF(N230="","STEP 1: Send WhatsApp + Email blast now (Playbook M1)",IF(N230="Bad contact","STOP: report bad contact to lead (Playbook)",IF(O230="Scheduled","DONE: scheduled via Calendly",IF(O230="","STEP 2: Check Calendly now",IF(P230="","STEP 3: Send WhatsApp nudge (Playbook M2)",IF(Q230="Scheduled","DONE: scheduled via Calendly",IF(Q230="Escalate to call","HANDED to Shyam (call queue)","STEP 4: Final Calendly check")))))))</f>
        <v/>
      </c>
      <c r="F230" s="16">
        <f>IF(N230="",B230,IF(O230="",B230+2/24,IF(AND(O230="Not yet",P230=""),B230+2/24,IF(Q230="",B230+4/24,""))))</f>
        <v/>
      </c>
      <c r="G230" s="15" t="inlineStr">
        <is>
          <t>Chetan</t>
        </is>
      </c>
      <c r="H230" s="15" t="inlineStr">
        <is>
          <t>Google</t>
        </is>
      </c>
      <c r="I230" s="15" t="inlineStr">
        <is>
          <t>Round1</t>
        </is>
      </c>
      <c r="J230" s="18" t="inlineStr">
        <is>
          <t>+91 9920264452</t>
        </is>
      </c>
      <c r="K230" s="15" t="inlineStr">
        <is>
          <t>chetan@weekday.works</t>
        </is>
      </c>
      <c r="L230" s="15" t="inlineStr">
        <is>
          <t>&lt;calendly_link&gt;</t>
        </is>
      </c>
      <c r="M230" s="15" t="inlineStr">
        <is>
          <t>Yes</t>
        </is>
      </c>
      <c r="N230" s="15" t="n"/>
      <c r="O230" s="15" t="n"/>
      <c r="P230" s="15" t="n"/>
      <c r="Q230" s="15" t="n"/>
      <c r="R230" s="15">
        <f>IF(OR(O230="Scheduled",Q230="Scheduled"),"SCHEDULED",IF(Q230="Escalate to call","ESCALATED TO CALL",IF(N230="Bad contact","BAD CONTACT",IF(N230="","NOT STARTED","IN PROGRESS"))))</f>
        <v/>
      </c>
      <c r="S230" s="15" t="n"/>
    </row>
    <row r="231">
      <c r="A231" s="15" t="inlineStr">
        <is>
          <t>REQ-0230</t>
        </is>
      </c>
      <c r="B231" s="16" t="n">
        <v>44867.82708333333</v>
      </c>
      <c r="C231" s="16">
        <f>B231+1</f>
        <v/>
      </c>
      <c r="D231" s="17">
        <f>(C231-NOW())*24</f>
        <v/>
      </c>
      <c r="E231" s="15">
        <f>IF(N231="","STEP 1: Send WhatsApp + Email blast now (Playbook M1)",IF(N231="Bad contact","STOP: report bad contact to lead (Playbook)",IF(O231="Scheduled","DONE: scheduled via Calendly",IF(O231="","STEP 2: Check Calendly now",IF(P231="","STEP 3: Send WhatsApp nudge (Playbook M2)",IF(Q231="Scheduled","DONE: scheduled via Calendly",IF(Q231="Escalate to call","HANDED to Shyam (call queue)","STEP 4: Final Calendly check")))))))</f>
        <v/>
      </c>
      <c r="F231" s="16">
        <f>IF(N231="",B231,IF(O231="",B231+2/24,IF(AND(O231="Not yet",P231=""),B231+2/24,IF(Q231="",B231+4/24,""))))</f>
        <v/>
      </c>
      <c r="G231" s="15" t="inlineStr">
        <is>
          <t>Chetan</t>
        </is>
      </c>
      <c r="H231" s="15" t="inlineStr">
        <is>
          <t>Google</t>
        </is>
      </c>
      <c r="I231" s="15" t="inlineStr">
        <is>
          <t>Round1</t>
        </is>
      </c>
      <c r="J231" s="18" t="inlineStr">
        <is>
          <t>+91 9920264452</t>
        </is>
      </c>
      <c r="K231" s="15" t="inlineStr">
        <is>
          <t>chetan@weekday.works</t>
        </is>
      </c>
      <c r="L231" s="15" t="inlineStr">
        <is>
          <t>&lt;calendly_link&gt;</t>
        </is>
      </c>
      <c r="M231" s="15" t="inlineStr">
        <is>
          <t>Yes</t>
        </is>
      </c>
      <c r="N231" s="15" t="n"/>
      <c r="O231" s="15" t="n"/>
      <c r="P231" s="15" t="n"/>
      <c r="Q231" s="15" t="n"/>
      <c r="R231" s="15">
        <f>IF(OR(O231="Scheduled",Q231="Scheduled"),"SCHEDULED",IF(Q231="Escalate to call","ESCALATED TO CALL",IF(N231="Bad contact","BAD CONTACT",IF(N231="","NOT STARTED","IN PROGRESS"))))</f>
        <v/>
      </c>
      <c r="S231" s="15" t="n"/>
    </row>
    <row r="232">
      <c r="A232" s="15" t="inlineStr">
        <is>
          <t>REQ-0231</t>
        </is>
      </c>
      <c r="B232" s="16" t="n">
        <v>44867.82708333333</v>
      </c>
      <c r="C232" s="16">
        <f>B232+1</f>
        <v/>
      </c>
      <c r="D232" s="17">
        <f>(C232-NOW())*24</f>
        <v/>
      </c>
      <c r="E232" s="15">
        <f>IF(N232="","STEP 1: Send WhatsApp + Email blast now (Playbook M1)",IF(N232="Bad contact","STOP: report bad contact to lead (Playbook)",IF(O232="Scheduled","DONE: scheduled via Calendly",IF(O232="","STEP 2: Check Calendly now",IF(P232="","STEP 3: Send WhatsApp nudge (Playbook M2)",IF(Q232="Scheduled","DONE: scheduled via Calendly",IF(Q232="Escalate to call","HANDED to Shyam (call queue)","STEP 4: Final Calendly check")))))))</f>
        <v/>
      </c>
      <c r="F232" s="16">
        <f>IF(N232="",B232,IF(O232="",B232+2/24,IF(AND(O232="Not yet",P232=""),B232+2/24,IF(Q232="",B232+4/24,""))))</f>
        <v/>
      </c>
      <c r="G232" s="15" t="inlineStr">
        <is>
          <t>Chetan</t>
        </is>
      </c>
      <c r="H232" s="15" t="inlineStr">
        <is>
          <t>Google</t>
        </is>
      </c>
      <c r="I232" s="15" t="inlineStr">
        <is>
          <t>Round1</t>
        </is>
      </c>
      <c r="J232" s="18" t="inlineStr">
        <is>
          <t>+91 9920264452</t>
        </is>
      </c>
      <c r="K232" s="15" t="inlineStr">
        <is>
          <t>chetan@weekday.works</t>
        </is>
      </c>
      <c r="L232" s="15" t="inlineStr">
        <is>
          <t>&lt;calendly_link&gt;</t>
        </is>
      </c>
      <c r="M232" s="15" t="inlineStr">
        <is>
          <t>Yes</t>
        </is>
      </c>
      <c r="N232" s="15" t="n"/>
      <c r="O232" s="15" t="n"/>
      <c r="P232" s="15" t="n"/>
      <c r="Q232" s="15" t="n"/>
      <c r="R232" s="15">
        <f>IF(OR(O232="Scheduled",Q232="Scheduled"),"SCHEDULED",IF(Q232="Escalate to call","ESCALATED TO CALL",IF(N232="Bad contact","BAD CONTACT",IF(N232="","NOT STARTED","IN PROGRESS"))))</f>
        <v/>
      </c>
      <c r="S232" s="15" t="n"/>
    </row>
    <row r="233">
      <c r="A233" s="15" t="inlineStr">
        <is>
          <t>REQ-0232</t>
        </is>
      </c>
      <c r="B233" s="16" t="n">
        <v>44867.82708333333</v>
      </c>
      <c r="C233" s="16">
        <f>B233+1</f>
        <v/>
      </c>
      <c r="D233" s="17">
        <f>(C233-NOW())*24</f>
        <v/>
      </c>
      <c r="E233" s="15">
        <f>IF(N233="","STEP 1: Send WhatsApp + Email blast now (Playbook M1)",IF(N233="Bad contact","STOP: report bad contact to lead (Playbook)",IF(O233="Scheduled","DONE: scheduled via Calendly",IF(O233="","STEP 2: Check Calendly now",IF(P233="","STEP 3: Send WhatsApp nudge (Playbook M2)",IF(Q233="Scheduled","DONE: scheduled via Calendly",IF(Q233="Escalate to call","HANDED to Shyam (call queue)","STEP 4: Final Calendly check")))))))</f>
        <v/>
      </c>
      <c r="F233" s="16">
        <f>IF(N233="",B233,IF(O233="",B233+2/24,IF(AND(O233="Not yet",P233=""),B233+2/24,IF(Q233="",B233+4/24,""))))</f>
        <v/>
      </c>
      <c r="G233" s="15" t="inlineStr">
        <is>
          <t>Chetan</t>
        </is>
      </c>
      <c r="H233" s="15" t="inlineStr">
        <is>
          <t>Google</t>
        </is>
      </c>
      <c r="I233" s="15" t="inlineStr">
        <is>
          <t>Round1</t>
        </is>
      </c>
      <c r="J233" s="18" t="inlineStr">
        <is>
          <t>+91 9920264452</t>
        </is>
      </c>
      <c r="K233" s="15" t="inlineStr">
        <is>
          <t>chetan@weekday.works</t>
        </is>
      </c>
      <c r="L233" s="15" t="inlineStr">
        <is>
          <t>&lt;calendly_link&gt;</t>
        </is>
      </c>
      <c r="M233" s="15" t="inlineStr">
        <is>
          <t>Yes</t>
        </is>
      </c>
      <c r="N233" s="15" t="n"/>
      <c r="O233" s="15" t="n"/>
      <c r="P233" s="15" t="n"/>
      <c r="Q233" s="15" t="n"/>
      <c r="R233" s="15">
        <f>IF(OR(O233="Scheduled",Q233="Scheduled"),"SCHEDULED",IF(Q233="Escalate to call","ESCALATED TO CALL",IF(N233="Bad contact","BAD CONTACT",IF(N233="","NOT STARTED","IN PROGRESS"))))</f>
        <v/>
      </c>
      <c r="S233" s="15" t="n"/>
    </row>
    <row r="234">
      <c r="A234" s="15" t="inlineStr">
        <is>
          <t>REQ-0233</t>
        </is>
      </c>
      <c r="B234" s="16" t="n">
        <v>44867.82708333333</v>
      </c>
      <c r="C234" s="16">
        <f>B234+1</f>
        <v/>
      </c>
      <c r="D234" s="17">
        <f>(C234-NOW())*24</f>
        <v/>
      </c>
      <c r="E234" s="15">
        <f>IF(N234="","STEP 1: Send WhatsApp + Email blast now (Playbook M1)",IF(N234="Bad contact","STOP: report bad contact to lead (Playbook)",IF(O234="Scheduled","DONE: scheduled via Calendly",IF(O234="","STEP 2: Check Calendly now",IF(P234="","STEP 3: Send WhatsApp nudge (Playbook M2)",IF(Q234="Scheduled","DONE: scheduled via Calendly",IF(Q234="Escalate to call","HANDED to Shyam (call queue)","STEP 4: Final Calendly check")))))))</f>
        <v/>
      </c>
      <c r="F234" s="16">
        <f>IF(N234="",B234,IF(O234="",B234+2/24,IF(AND(O234="Not yet",P234=""),B234+2/24,IF(Q234="",B234+4/24,""))))</f>
        <v/>
      </c>
      <c r="G234" s="15" t="inlineStr">
        <is>
          <t>Chetan</t>
        </is>
      </c>
      <c r="H234" s="15" t="inlineStr">
        <is>
          <t>Google</t>
        </is>
      </c>
      <c r="I234" s="15" t="inlineStr">
        <is>
          <t>Round1</t>
        </is>
      </c>
      <c r="J234" s="18" t="inlineStr">
        <is>
          <t>+91 9920264452</t>
        </is>
      </c>
      <c r="K234" s="15" t="inlineStr">
        <is>
          <t>chetan@weekday.works</t>
        </is>
      </c>
      <c r="L234" s="15" t="inlineStr">
        <is>
          <t>&lt;calendly_link&gt;</t>
        </is>
      </c>
      <c r="M234" s="15" t="inlineStr">
        <is>
          <t>Yes</t>
        </is>
      </c>
      <c r="N234" s="15" t="n"/>
      <c r="O234" s="15" t="n"/>
      <c r="P234" s="15" t="n"/>
      <c r="Q234" s="15" t="n"/>
      <c r="R234" s="15">
        <f>IF(OR(O234="Scheduled",Q234="Scheduled"),"SCHEDULED",IF(Q234="Escalate to call","ESCALATED TO CALL",IF(N234="Bad contact","BAD CONTACT",IF(N234="","NOT STARTED","IN PROGRESS"))))</f>
        <v/>
      </c>
      <c r="S234" s="15" t="n"/>
    </row>
    <row r="235">
      <c r="A235" s="15" t="inlineStr">
        <is>
          <t>REQ-0234</t>
        </is>
      </c>
      <c r="B235" s="16" t="n">
        <v>44867.82708333333</v>
      </c>
      <c r="C235" s="16">
        <f>B235+1</f>
        <v/>
      </c>
      <c r="D235" s="17">
        <f>(C235-NOW())*24</f>
        <v/>
      </c>
      <c r="E235" s="15">
        <f>IF(N235="","STEP 1: Send WhatsApp + Email blast now (Playbook M1)",IF(N235="Bad contact","STOP: report bad contact to lead (Playbook)",IF(O235="Scheduled","DONE: scheduled via Calendly",IF(O235="","STEP 2: Check Calendly now",IF(P235="","STEP 3: Send WhatsApp nudge (Playbook M2)",IF(Q235="Scheduled","DONE: scheduled via Calendly",IF(Q235="Escalate to call","HANDED to Shyam (call queue)","STEP 4: Final Calendly check")))))))</f>
        <v/>
      </c>
      <c r="F235" s="16">
        <f>IF(N235="",B235,IF(O235="",B235+2/24,IF(AND(O235="Not yet",P235=""),B235+2/24,IF(Q235="",B235+4/24,""))))</f>
        <v/>
      </c>
      <c r="G235" s="15" t="inlineStr">
        <is>
          <t>Chetan</t>
        </is>
      </c>
      <c r="H235" s="15" t="inlineStr">
        <is>
          <t>Google</t>
        </is>
      </c>
      <c r="I235" s="15" t="inlineStr">
        <is>
          <t>Round1</t>
        </is>
      </c>
      <c r="J235" s="18" t="inlineStr">
        <is>
          <t>+91 9920264452</t>
        </is>
      </c>
      <c r="K235" s="15" t="inlineStr">
        <is>
          <t>chetan@weekday.works</t>
        </is>
      </c>
      <c r="L235" s="15" t="inlineStr">
        <is>
          <t>&lt;calendly_link&gt;</t>
        </is>
      </c>
      <c r="M235" s="15" t="inlineStr">
        <is>
          <t>Yes</t>
        </is>
      </c>
      <c r="N235" s="15" t="n"/>
      <c r="O235" s="15" t="n"/>
      <c r="P235" s="15" t="n"/>
      <c r="Q235" s="15" t="n"/>
      <c r="R235" s="15">
        <f>IF(OR(O235="Scheduled",Q235="Scheduled"),"SCHEDULED",IF(Q235="Escalate to call","ESCALATED TO CALL",IF(N235="Bad contact","BAD CONTACT",IF(N235="","NOT STARTED","IN PROGRESS"))))</f>
        <v/>
      </c>
      <c r="S235" s="15" t="n"/>
    </row>
    <row r="236">
      <c r="A236" s="15" t="inlineStr">
        <is>
          <t>REQ-0235</t>
        </is>
      </c>
      <c r="B236" s="16" t="n">
        <v>44867.82708333333</v>
      </c>
      <c r="C236" s="16">
        <f>B236+1</f>
        <v/>
      </c>
      <c r="D236" s="17">
        <f>(C236-NOW())*24</f>
        <v/>
      </c>
      <c r="E236" s="15">
        <f>IF(N236="","STEP 1: Send WhatsApp + Email blast now (Playbook M1)",IF(N236="Bad contact","STOP: report bad contact to lead (Playbook)",IF(O236="Scheduled","DONE: scheduled via Calendly",IF(O236="","STEP 2: Check Calendly now",IF(P236="","STEP 3: Send WhatsApp nudge (Playbook M2)",IF(Q236="Scheduled","DONE: scheduled via Calendly",IF(Q236="Escalate to call","HANDED to Shyam (call queue)","STEP 4: Final Calendly check")))))))</f>
        <v/>
      </c>
      <c r="F236" s="16">
        <f>IF(N236="",B236,IF(O236="",B236+2/24,IF(AND(O236="Not yet",P236=""),B236+2/24,IF(Q236="",B236+4/24,""))))</f>
        <v/>
      </c>
      <c r="G236" s="15" t="inlineStr">
        <is>
          <t>Chetan</t>
        </is>
      </c>
      <c r="H236" s="15" t="inlineStr">
        <is>
          <t>Google</t>
        </is>
      </c>
      <c r="I236" s="15" t="inlineStr">
        <is>
          <t>Round1</t>
        </is>
      </c>
      <c r="J236" s="18" t="inlineStr">
        <is>
          <t>+91 9920264452</t>
        </is>
      </c>
      <c r="K236" s="15" t="inlineStr">
        <is>
          <t>chetan@weekday.works</t>
        </is>
      </c>
      <c r="L236" s="15" t="inlineStr">
        <is>
          <t>&lt;calendly_link&gt;</t>
        </is>
      </c>
      <c r="M236" s="15" t="inlineStr">
        <is>
          <t>Yes</t>
        </is>
      </c>
      <c r="N236" s="15" t="n"/>
      <c r="O236" s="15" t="n"/>
      <c r="P236" s="15" t="n"/>
      <c r="Q236" s="15" t="n"/>
      <c r="R236" s="15">
        <f>IF(OR(O236="Scheduled",Q236="Scheduled"),"SCHEDULED",IF(Q236="Escalate to call","ESCALATED TO CALL",IF(N236="Bad contact","BAD CONTACT",IF(N236="","NOT STARTED","IN PROGRESS"))))</f>
        <v/>
      </c>
      <c r="S236" s="15" t="n"/>
    </row>
    <row r="237">
      <c r="A237" s="15" t="inlineStr">
        <is>
          <t>REQ-0236</t>
        </is>
      </c>
      <c r="B237" s="16" t="n">
        <v>44867.82708333333</v>
      </c>
      <c r="C237" s="16">
        <f>B237+1</f>
        <v/>
      </c>
      <c r="D237" s="17">
        <f>(C237-NOW())*24</f>
        <v/>
      </c>
      <c r="E237" s="15">
        <f>IF(N237="","STEP 1: Send WhatsApp + Email blast now (Playbook M1)",IF(N237="Bad contact","STOP: report bad contact to lead (Playbook)",IF(O237="Scheduled","DONE: scheduled via Calendly",IF(O237="","STEP 2: Check Calendly now",IF(P237="","STEP 3: Send WhatsApp nudge (Playbook M2)",IF(Q237="Scheduled","DONE: scheduled via Calendly",IF(Q237="Escalate to call","HANDED to Shyam (call queue)","STEP 4: Final Calendly check")))))))</f>
        <v/>
      </c>
      <c r="F237" s="16">
        <f>IF(N237="",B237,IF(O237="",B237+2/24,IF(AND(O237="Not yet",P237=""),B237+2/24,IF(Q237="",B237+4/24,""))))</f>
        <v/>
      </c>
      <c r="G237" s="15" t="inlineStr">
        <is>
          <t>Chetan</t>
        </is>
      </c>
      <c r="H237" s="15" t="inlineStr">
        <is>
          <t>Google</t>
        </is>
      </c>
      <c r="I237" s="15" t="inlineStr">
        <is>
          <t>Round1</t>
        </is>
      </c>
      <c r="J237" s="18" t="inlineStr">
        <is>
          <t>+91 9920264452</t>
        </is>
      </c>
      <c r="K237" s="15" t="inlineStr">
        <is>
          <t>chetan@weekday.works</t>
        </is>
      </c>
      <c r="L237" s="15" t="inlineStr">
        <is>
          <t>&lt;calendly_link&gt;</t>
        </is>
      </c>
      <c r="M237" s="15" t="inlineStr">
        <is>
          <t>Yes</t>
        </is>
      </c>
      <c r="N237" s="15" t="n"/>
      <c r="O237" s="15" t="n"/>
      <c r="P237" s="15" t="n"/>
      <c r="Q237" s="15" t="n"/>
      <c r="R237" s="15">
        <f>IF(OR(O237="Scheduled",Q237="Scheduled"),"SCHEDULED",IF(Q237="Escalate to call","ESCALATED TO CALL",IF(N237="Bad contact","BAD CONTACT",IF(N237="","NOT STARTED","IN PROGRESS"))))</f>
        <v/>
      </c>
      <c r="S237" s="15" t="n"/>
    </row>
    <row r="238">
      <c r="A238" s="15" t="inlineStr">
        <is>
          <t>REQ-0237</t>
        </is>
      </c>
      <c r="B238" s="16" t="n">
        <v>44867.82708333333</v>
      </c>
      <c r="C238" s="16">
        <f>B238+1</f>
        <v/>
      </c>
      <c r="D238" s="17">
        <f>(C238-NOW())*24</f>
        <v/>
      </c>
      <c r="E238" s="15">
        <f>IF(N238="","STEP 1: Send WhatsApp + Email blast now (Playbook M1)",IF(N238="Bad contact","STOP: report bad contact to lead (Playbook)",IF(O238="Scheduled","DONE: scheduled via Calendly",IF(O238="","STEP 2: Check Calendly now",IF(P238="","STEP 3: Send WhatsApp nudge (Playbook M2)",IF(Q238="Scheduled","DONE: scheduled via Calendly",IF(Q238="Escalate to call","HANDED to Shyam (call queue)","STEP 4: Final Calendly check")))))))</f>
        <v/>
      </c>
      <c r="F238" s="16">
        <f>IF(N238="",B238,IF(O238="",B238+2/24,IF(AND(O238="Not yet",P238=""),B238+2/24,IF(Q238="",B238+4/24,""))))</f>
        <v/>
      </c>
      <c r="G238" s="15" t="inlineStr">
        <is>
          <t>Chetan</t>
        </is>
      </c>
      <c r="H238" s="15" t="inlineStr">
        <is>
          <t>Google</t>
        </is>
      </c>
      <c r="I238" s="15" t="inlineStr">
        <is>
          <t>Round1</t>
        </is>
      </c>
      <c r="J238" s="18" t="inlineStr">
        <is>
          <t>+91 9920264452</t>
        </is>
      </c>
      <c r="K238" s="15" t="inlineStr">
        <is>
          <t>chetan@weekday.works</t>
        </is>
      </c>
      <c r="L238" s="15" t="inlineStr">
        <is>
          <t>&lt;calendly_link&gt;</t>
        </is>
      </c>
      <c r="M238" s="15" t="inlineStr">
        <is>
          <t>Yes</t>
        </is>
      </c>
      <c r="N238" s="15" t="n"/>
      <c r="O238" s="15" t="n"/>
      <c r="P238" s="15" t="n"/>
      <c r="Q238" s="15" t="n"/>
      <c r="R238" s="15">
        <f>IF(OR(O238="Scheduled",Q238="Scheduled"),"SCHEDULED",IF(Q238="Escalate to call","ESCALATED TO CALL",IF(N238="Bad contact","BAD CONTACT",IF(N238="","NOT STARTED","IN PROGRESS"))))</f>
        <v/>
      </c>
      <c r="S238" s="15" t="n"/>
    </row>
    <row r="239">
      <c r="A239" s="15" t="inlineStr">
        <is>
          <t>REQ-0238</t>
        </is>
      </c>
      <c r="B239" s="16" t="n">
        <v>44867.82708333333</v>
      </c>
      <c r="C239" s="16">
        <f>B239+1</f>
        <v/>
      </c>
      <c r="D239" s="17">
        <f>(C239-NOW())*24</f>
        <v/>
      </c>
      <c r="E239" s="15">
        <f>IF(N239="","STEP 1: Send WhatsApp + Email blast now (Playbook M1)",IF(N239="Bad contact","STOP: report bad contact to lead (Playbook)",IF(O239="Scheduled","DONE: scheduled via Calendly",IF(O239="","STEP 2: Check Calendly now",IF(P239="","STEP 3: Send WhatsApp nudge (Playbook M2)",IF(Q239="Scheduled","DONE: scheduled via Calendly",IF(Q239="Escalate to call","HANDED to Shyam (call queue)","STEP 4: Final Calendly check")))))))</f>
        <v/>
      </c>
      <c r="F239" s="16">
        <f>IF(N239="",B239,IF(O239="",B239+2/24,IF(AND(O239="Not yet",P239=""),B239+2/24,IF(Q239="",B239+4/24,""))))</f>
        <v/>
      </c>
      <c r="G239" s="15" t="inlineStr">
        <is>
          <t>Chetan</t>
        </is>
      </c>
      <c r="H239" s="15" t="inlineStr">
        <is>
          <t>Google</t>
        </is>
      </c>
      <c r="I239" s="15" t="inlineStr">
        <is>
          <t>Round1</t>
        </is>
      </c>
      <c r="J239" s="18" t="inlineStr">
        <is>
          <t>+91 9920264452</t>
        </is>
      </c>
      <c r="K239" s="15" t="inlineStr">
        <is>
          <t>chetan@weekday.works</t>
        </is>
      </c>
      <c r="L239" s="15" t="inlineStr">
        <is>
          <t>&lt;calendly_link&gt;</t>
        </is>
      </c>
      <c r="M239" s="15" t="inlineStr">
        <is>
          <t>Yes</t>
        </is>
      </c>
      <c r="N239" s="15" t="n"/>
      <c r="O239" s="15" t="n"/>
      <c r="P239" s="15" t="n"/>
      <c r="Q239" s="15" t="n"/>
      <c r="R239" s="15">
        <f>IF(OR(O239="Scheduled",Q239="Scheduled"),"SCHEDULED",IF(Q239="Escalate to call","ESCALATED TO CALL",IF(N239="Bad contact","BAD CONTACT",IF(N239="","NOT STARTED","IN PROGRESS"))))</f>
        <v/>
      </c>
      <c r="S239" s="15" t="n"/>
    </row>
    <row r="240">
      <c r="A240" s="15" t="inlineStr">
        <is>
          <t>REQ-0239</t>
        </is>
      </c>
      <c r="B240" s="16" t="n">
        <v>44867.82708333333</v>
      </c>
      <c r="C240" s="16">
        <f>B240+1</f>
        <v/>
      </c>
      <c r="D240" s="17">
        <f>(C240-NOW())*24</f>
        <v/>
      </c>
      <c r="E240" s="15">
        <f>IF(N240="","STEP 1: Send WhatsApp + Email blast now (Playbook M1)",IF(N240="Bad contact","STOP: report bad contact to lead (Playbook)",IF(O240="Scheduled","DONE: scheduled via Calendly",IF(O240="","STEP 2: Check Calendly now",IF(P240="","STEP 3: Send WhatsApp nudge (Playbook M2)",IF(Q240="Scheduled","DONE: scheduled via Calendly",IF(Q240="Escalate to call","HANDED to Shyam (call queue)","STEP 4: Final Calendly check")))))))</f>
        <v/>
      </c>
      <c r="F240" s="16">
        <f>IF(N240="",B240,IF(O240="",B240+2/24,IF(AND(O240="Not yet",P240=""),B240+2/24,IF(Q240="",B240+4/24,""))))</f>
        <v/>
      </c>
      <c r="G240" s="15" t="inlineStr">
        <is>
          <t>Chetan</t>
        </is>
      </c>
      <c r="H240" s="15" t="inlineStr">
        <is>
          <t>Google</t>
        </is>
      </c>
      <c r="I240" s="15" t="inlineStr">
        <is>
          <t>Round1</t>
        </is>
      </c>
      <c r="J240" s="18" t="inlineStr">
        <is>
          <t>+91 9920264452</t>
        </is>
      </c>
      <c r="K240" s="15" t="inlineStr">
        <is>
          <t>chetan@weekday.works</t>
        </is>
      </c>
      <c r="L240" s="15" t="inlineStr">
        <is>
          <t>&lt;calendly_link&gt;</t>
        </is>
      </c>
      <c r="M240" s="15" t="inlineStr">
        <is>
          <t>Yes</t>
        </is>
      </c>
      <c r="N240" s="15" t="n"/>
      <c r="O240" s="15" t="n"/>
      <c r="P240" s="15" t="n"/>
      <c r="Q240" s="15" t="n"/>
      <c r="R240" s="15">
        <f>IF(OR(O240="Scheduled",Q240="Scheduled"),"SCHEDULED",IF(Q240="Escalate to call","ESCALATED TO CALL",IF(N240="Bad contact","BAD CONTACT",IF(N240="","NOT STARTED","IN PROGRESS"))))</f>
        <v/>
      </c>
      <c r="S240" s="15" t="n"/>
    </row>
    <row r="241">
      <c r="A241" s="15" t="inlineStr">
        <is>
          <t>REQ-0240</t>
        </is>
      </c>
      <c r="B241" s="16" t="n">
        <v>44867.82708333333</v>
      </c>
      <c r="C241" s="16">
        <f>B241+1</f>
        <v/>
      </c>
      <c r="D241" s="17">
        <f>(C241-NOW())*24</f>
        <v/>
      </c>
      <c r="E241" s="15">
        <f>IF(N241="","STEP 1: Send WhatsApp + Email blast now (Playbook M1)",IF(N241="Bad contact","STOP: report bad contact to lead (Playbook)",IF(O241="Scheduled","DONE: scheduled via Calendly",IF(O241="","STEP 2: Check Calendly now",IF(P241="","STEP 3: Send WhatsApp nudge (Playbook M2)",IF(Q241="Scheduled","DONE: scheduled via Calendly",IF(Q241="Escalate to call","HANDED to Shyam (call queue)","STEP 4: Final Calendly check")))))))</f>
        <v/>
      </c>
      <c r="F241" s="16">
        <f>IF(N241="",B241,IF(O241="",B241+2/24,IF(AND(O241="Not yet",P241=""),B241+2/24,IF(Q241="",B241+4/24,""))))</f>
        <v/>
      </c>
      <c r="G241" s="15" t="inlineStr">
        <is>
          <t>Chetan</t>
        </is>
      </c>
      <c r="H241" s="15" t="inlineStr">
        <is>
          <t>Google</t>
        </is>
      </c>
      <c r="I241" s="15" t="inlineStr">
        <is>
          <t>Round1</t>
        </is>
      </c>
      <c r="J241" s="18" t="inlineStr">
        <is>
          <t>+91 9920264452</t>
        </is>
      </c>
      <c r="K241" s="15" t="inlineStr">
        <is>
          <t>chetan@weekday.works</t>
        </is>
      </c>
      <c r="L241" s="15" t="inlineStr">
        <is>
          <t>&lt;calendly_link&gt;</t>
        </is>
      </c>
      <c r="M241" s="15" t="inlineStr">
        <is>
          <t>Yes</t>
        </is>
      </c>
      <c r="N241" s="15" t="n"/>
      <c r="O241" s="15" t="n"/>
      <c r="P241" s="15" t="n"/>
      <c r="Q241" s="15" t="n"/>
      <c r="R241" s="15">
        <f>IF(OR(O241="Scheduled",Q241="Scheduled"),"SCHEDULED",IF(Q241="Escalate to call","ESCALATED TO CALL",IF(N241="Bad contact","BAD CONTACT",IF(N241="","NOT STARTED","IN PROGRESS"))))</f>
        <v/>
      </c>
      <c r="S241" s="15" t="n"/>
    </row>
    <row r="242">
      <c r="A242" s="15" t="inlineStr">
        <is>
          <t>REQ-0241</t>
        </is>
      </c>
      <c r="B242" s="16" t="n">
        <v>44867.82708333333</v>
      </c>
      <c r="C242" s="16">
        <f>B242+1</f>
        <v/>
      </c>
      <c r="D242" s="17">
        <f>(C242-NOW())*24</f>
        <v/>
      </c>
      <c r="E242" s="15">
        <f>IF(N242="","STEP 1: Send WhatsApp + Email blast now (Playbook M1)",IF(N242="Bad contact","STOP: report bad contact to lead (Playbook)",IF(O242="Scheduled","DONE: scheduled via Calendly",IF(O242="","STEP 2: Check Calendly now",IF(P242="","STEP 3: Send WhatsApp nudge (Playbook M2)",IF(Q242="Scheduled","DONE: scheduled via Calendly",IF(Q242="Escalate to call","HANDED to Shyam (call queue)","STEP 4: Final Calendly check")))))))</f>
        <v/>
      </c>
      <c r="F242" s="16">
        <f>IF(N242="",B242,IF(O242="",B242+2/24,IF(AND(O242="Not yet",P242=""),B242+2/24,IF(Q242="",B242+4/24,""))))</f>
        <v/>
      </c>
      <c r="G242" s="15" t="inlineStr">
        <is>
          <t>Chetan</t>
        </is>
      </c>
      <c r="H242" s="15" t="inlineStr">
        <is>
          <t>Google</t>
        </is>
      </c>
      <c r="I242" s="15" t="inlineStr">
        <is>
          <t>Round1</t>
        </is>
      </c>
      <c r="J242" s="18" t="inlineStr">
        <is>
          <t>+91 9920264452</t>
        </is>
      </c>
      <c r="K242" s="15" t="inlineStr">
        <is>
          <t>chetan@weekday.works</t>
        </is>
      </c>
      <c r="L242" s="15" t="inlineStr">
        <is>
          <t>&lt;calendly_link&gt;</t>
        </is>
      </c>
      <c r="M242" s="15" t="inlineStr">
        <is>
          <t>Yes</t>
        </is>
      </c>
      <c r="N242" s="15" t="n"/>
      <c r="O242" s="15" t="n"/>
      <c r="P242" s="15" t="n"/>
      <c r="Q242" s="15" t="n"/>
      <c r="R242" s="15">
        <f>IF(OR(O242="Scheduled",Q242="Scheduled"),"SCHEDULED",IF(Q242="Escalate to call","ESCALATED TO CALL",IF(N242="Bad contact","BAD CONTACT",IF(N242="","NOT STARTED","IN PROGRESS"))))</f>
        <v/>
      </c>
      <c r="S242" s="15" t="n"/>
    </row>
    <row r="243">
      <c r="A243" s="15" t="inlineStr">
        <is>
          <t>REQ-0242</t>
        </is>
      </c>
      <c r="B243" s="16" t="n">
        <v>44867.82708333333</v>
      </c>
      <c r="C243" s="16">
        <f>B243+1</f>
        <v/>
      </c>
      <c r="D243" s="17">
        <f>(C243-NOW())*24</f>
        <v/>
      </c>
      <c r="E243" s="15">
        <f>IF(N243="","STEP 1: Send WhatsApp + Email blast now (Playbook M1)",IF(N243="Bad contact","STOP: report bad contact to lead (Playbook)",IF(O243="Scheduled","DONE: scheduled via Calendly",IF(O243="","STEP 2: Check Calendly now",IF(P243="","STEP 3: Send WhatsApp nudge (Playbook M2)",IF(Q243="Scheduled","DONE: scheduled via Calendly",IF(Q243="Escalate to call","HANDED to Shyam (call queue)","STEP 4: Final Calendly check")))))))</f>
        <v/>
      </c>
      <c r="F243" s="16">
        <f>IF(N243="",B243,IF(O243="",B243+2/24,IF(AND(O243="Not yet",P243=""),B243+2/24,IF(Q243="",B243+4/24,""))))</f>
        <v/>
      </c>
      <c r="G243" s="15" t="inlineStr">
        <is>
          <t>Chetan</t>
        </is>
      </c>
      <c r="H243" s="15" t="inlineStr">
        <is>
          <t>Google</t>
        </is>
      </c>
      <c r="I243" s="15" t="inlineStr">
        <is>
          <t>Round1</t>
        </is>
      </c>
      <c r="J243" s="18" t="inlineStr">
        <is>
          <t>+91 9920264452</t>
        </is>
      </c>
      <c r="K243" s="15" t="inlineStr">
        <is>
          <t>chetan@weekday.works</t>
        </is>
      </c>
      <c r="L243" s="15" t="inlineStr">
        <is>
          <t>&lt;calendly_link&gt;</t>
        </is>
      </c>
      <c r="M243" s="15" t="inlineStr">
        <is>
          <t>Yes</t>
        </is>
      </c>
      <c r="N243" s="15" t="n"/>
      <c r="O243" s="15" t="n"/>
      <c r="P243" s="15" t="n"/>
      <c r="Q243" s="15" t="n"/>
      <c r="R243" s="15">
        <f>IF(OR(O243="Scheduled",Q243="Scheduled"),"SCHEDULED",IF(Q243="Escalate to call","ESCALATED TO CALL",IF(N243="Bad contact","BAD CONTACT",IF(N243="","NOT STARTED","IN PROGRESS"))))</f>
        <v/>
      </c>
      <c r="S243" s="15" t="n"/>
    </row>
    <row r="244">
      <c r="A244" s="15" t="inlineStr">
        <is>
          <t>REQ-0243</t>
        </is>
      </c>
      <c r="B244" s="16" t="n">
        <v>44867.82708333333</v>
      </c>
      <c r="C244" s="16">
        <f>B244+1</f>
        <v/>
      </c>
      <c r="D244" s="17">
        <f>(C244-NOW())*24</f>
        <v/>
      </c>
      <c r="E244" s="15">
        <f>IF(N244="","STEP 1: Send WhatsApp + Email blast now (Playbook M1)",IF(N244="Bad contact","STOP: report bad contact to lead (Playbook)",IF(O244="Scheduled","DONE: scheduled via Calendly",IF(O244="","STEP 2: Check Calendly now",IF(P244="","STEP 3: Send WhatsApp nudge (Playbook M2)",IF(Q244="Scheduled","DONE: scheduled via Calendly",IF(Q244="Escalate to call","HANDED to Shyam (call queue)","STEP 4: Final Calendly check")))))))</f>
        <v/>
      </c>
      <c r="F244" s="16">
        <f>IF(N244="",B244,IF(O244="",B244+2/24,IF(AND(O244="Not yet",P244=""),B244+2/24,IF(Q244="",B244+4/24,""))))</f>
        <v/>
      </c>
      <c r="G244" s="15" t="inlineStr">
        <is>
          <t>Chetan</t>
        </is>
      </c>
      <c r="H244" s="15" t="inlineStr">
        <is>
          <t>Google</t>
        </is>
      </c>
      <c r="I244" s="15" t="inlineStr">
        <is>
          <t>Round1</t>
        </is>
      </c>
      <c r="J244" s="18" t="inlineStr">
        <is>
          <t>+91 9920264452</t>
        </is>
      </c>
      <c r="K244" s="15" t="inlineStr">
        <is>
          <t>chetan@weekday.works</t>
        </is>
      </c>
      <c r="L244" s="15" t="inlineStr">
        <is>
          <t>&lt;calendly_link&gt;</t>
        </is>
      </c>
      <c r="M244" s="15" t="inlineStr">
        <is>
          <t>Yes</t>
        </is>
      </c>
      <c r="N244" s="15" t="n"/>
      <c r="O244" s="15" t="n"/>
      <c r="P244" s="15" t="n"/>
      <c r="Q244" s="15" t="n"/>
      <c r="R244" s="15">
        <f>IF(OR(O244="Scheduled",Q244="Scheduled"),"SCHEDULED",IF(Q244="Escalate to call","ESCALATED TO CALL",IF(N244="Bad contact","BAD CONTACT",IF(N244="","NOT STARTED","IN PROGRESS"))))</f>
        <v/>
      </c>
      <c r="S244" s="15" t="n"/>
    </row>
    <row r="245">
      <c r="A245" s="15" t="inlineStr">
        <is>
          <t>REQ-0244</t>
        </is>
      </c>
      <c r="B245" s="16" t="n">
        <v>44867.82708333333</v>
      </c>
      <c r="C245" s="16">
        <f>B245+1</f>
        <v/>
      </c>
      <c r="D245" s="17">
        <f>(C245-NOW())*24</f>
        <v/>
      </c>
      <c r="E245" s="15">
        <f>IF(N245="","STEP 1: Send WhatsApp + Email blast now (Playbook M1)",IF(N245="Bad contact","STOP: report bad contact to lead (Playbook)",IF(O245="Scheduled","DONE: scheduled via Calendly",IF(O245="","STEP 2: Check Calendly now",IF(P245="","STEP 3: Send WhatsApp nudge (Playbook M2)",IF(Q245="Scheduled","DONE: scheduled via Calendly",IF(Q245="Escalate to call","HANDED to Shyam (call queue)","STEP 4: Final Calendly check")))))))</f>
        <v/>
      </c>
      <c r="F245" s="16">
        <f>IF(N245="",B245,IF(O245="",B245+2/24,IF(AND(O245="Not yet",P245=""),B245+2/24,IF(Q245="",B245+4/24,""))))</f>
        <v/>
      </c>
      <c r="G245" s="15" t="inlineStr">
        <is>
          <t>Chetan</t>
        </is>
      </c>
      <c r="H245" s="15" t="inlineStr">
        <is>
          <t>Google</t>
        </is>
      </c>
      <c r="I245" s="15" t="inlineStr">
        <is>
          <t>Round1</t>
        </is>
      </c>
      <c r="J245" s="18" t="inlineStr">
        <is>
          <t>+91 9920264452</t>
        </is>
      </c>
      <c r="K245" s="15" t="inlineStr">
        <is>
          <t>chetan@weekday.works</t>
        </is>
      </c>
      <c r="L245" s="15" t="inlineStr">
        <is>
          <t>&lt;calendly_link&gt;</t>
        </is>
      </c>
      <c r="M245" s="15" t="inlineStr">
        <is>
          <t>Yes</t>
        </is>
      </c>
      <c r="N245" s="15" t="n"/>
      <c r="O245" s="15" t="n"/>
      <c r="P245" s="15" t="n"/>
      <c r="Q245" s="15" t="n"/>
      <c r="R245" s="15">
        <f>IF(OR(O245="Scheduled",Q245="Scheduled"),"SCHEDULED",IF(Q245="Escalate to call","ESCALATED TO CALL",IF(N245="Bad contact","BAD CONTACT",IF(N245="","NOT STARTED","IN PROGRESS"))))</f>
        <v/>
      </c>
      <c r="S245" s="15" t="n"/>
    </row>
    <row r="246">
      <c r="A246" s="15" t="inlineStr">
        <is>
          <t>REQ-0245</t>
        </is>
      </c>
      <c r="B246" s="16" t="n">
        <v>44867.82708333333</v>
      </c>
      <c r="C246" s="16">
        <f>B246+1</f>
        <v/>
      </c>
      <c r="D246" s="17">
        <f>(C246-NOW())*24</f>
        <v/>
      </c>
      <c r="E246" s="15">
        <f>IF(N246="","STEP 1: Send WhatsApp + Email blast now (Playbook M1)",IF(N246="Bad contact","STOP: report bad contact to lead (Playbook)",IF(O246="Scheduled","DONE: scheduled via Calendly",IF(O246="","STEP 2: Check Calendly now",IF(P246="","STEP 3: Send WhatsApp nudge (Playbook M2)",IF(Q246="Scheduled","DONE: scheduled via Calendly",IF(Q246="Escalate to call","HANDED to Shyam (call queue)","STEP 4: Final Calendly check")))))))</f>
        <v/>
      </c>
      <c r="F246" s="16">
        <f>IF(N246="",B246,IF(O246="",B246+2/24,IF(AND(O246="Not yet",P246=""),B246+2/24,IF(Q246="",B246+4/24,""))))</f>
        <v/>
      </c>
      <c r="G246" s="15" t="inlineStr">
        <is>
          <t>Chetan</t>
        </is>
      </c>
      <c r="H246" s="15" t="inlineStr">
        <is>
          <t>Google</t>
        </is>
      </c>
      <c r="I246" s="15" t="inlineStr">
        <is>
          <t>Round1</t>
        </is>
      </c>
      <c r="J246" s="18" t="inlineStr">
        <is>
          <t>+91 9920264452</t>
        </is>
      </c>
      <c r="K246" s="15" t="inlineStr">
        <is>
          <t>chetan@weekday.works</t>
        </is>
      </c>
      <c r="L246" s="15" t="inlineStr">
        <is>
          <t>&lt;calendly_link&gt;</t>
        </is>
      </c>
      <c r="M246" s="15" t="inlineStr">
        <is>
          <t>Yes</t>
        </is>
      </c>
      <c r="N246" s="15" t="n"/>
      <c r="O246" s="15" t="n"/>
      <c r="P246" s="15" t="n"/>
      <c r="Q246" s="15" t="n"/>
      <c r="R246" s="15">
        <f>IF(OR(O246="Scheduled",Q246="Scheduled"),"SCHEDULED",IF(Q246="Escalate to call","ESCALATED TO CALL",IF(N246="Bad contact","BAD CONTACT",IF(N246="","NOT STARTED","IN PROGRESS"))))</f>
        <v/>
      </c>
      <c r="S246" s="15" t="n"/>
    </row>
    <row r="247">
      <c r="A247" s="15" t="inlineStr">
        <is>
          <t>REQ-0246</t>
        </is>
      </c>
      <c r="B247" s="16" t="n">
        <v>44867.82708333333</v>
      </c>
      <c r="C247" s="16">
        <f>B247+1</f>
        <v/>
      </c>
      <c r="D247" s="17">
        <f>(C247-NOW())*24</f>
        <v/>
      </c>
      <c r="E247" s="15">
        <f>IF(N247="","STEP 1: Send WhatsApp + Email blast now (Playbook M1)",IF(N247="Bad contact","STOP: report bad contact to lead (Playbook)",IF(O247="Scheduled","DONE: scheduled via Calendly",IF(O247="","STEP 2: Check Calendly now",IF(P247="","STEP 3: Send WhatsApp nudge (Playbook M2)",IF(Q247="Scheduled","DONE: scheduled via Calendly",IF(Q247="Escalate to call","HANDED to Shyam (call queue)","STEP 4: Final Calendly check")))))))</f>
        <v/>
      </c>
      <c r="F247" s="16">
        <f>IF(N247="",B247,IF(O247="",B247+2/24,IF(AND(O247="Not yet",P247=""),B247+2/24,IF(Q247="",B247+4/24,""))))</f>
        <v/>
      </c>
      <c r="G247" s="15" t="inlineStr">
        <is>
          <t>Chetan</t>
        </is>
      </c>
      <c r="H247" s="15" t="inlineStr">
        <is>
          <t>Google</t>
        </is>
      </c>
      <c r="I247" s="15" t="inlineStr">
        <is>
          <t>Round1</t>
        </is>
      </c>
      <c r="J247" s="18" t="inlineStr">
        <is>
          <t>+91 9920264452</t>
        </is>
      </c>
      <c r="K247" s="15" t="inlineStr">
        <is>
          <t>chetan@weekday.works</t>
        </is>
      </c>
      <c r="L247" s="15" t="inlineStr">
        <is>
          <t>&lt;calendly_link&gt;</t>
        </is>
      </c>
      <c r="M247" s="15" t="inlineStr">
        <is>
          <t>Yes</t>
        </is>
      </c>
      <c r="N247" s="15" t="n"/>
      <c r="O247" s="15" t="n"/>
      <c r="P247" s="15" t="n"/>
      <c r="Q247" s="15" t="n"/>
      <c r="R247" s="15">
        <f>IF(OR(O247="Scheduled",Q247="Scheduled"),"SCHEDULED",IF(Q247="Escalate to call","ESCALATED TO CALL",IF(N247="Bad contact","BAD CONTACT",IF(N247="","NOT STARTED","IN PROGRESS"))))</f>
        <v/>
      </c>
      <c r="S247" s="15" t="n"/>
    </row>
    <row r="248">
      <c r="A248" s="15" t="inlineStr">
        <is>
          <t>REQ-0247</t>
        </is>
      </c>
      <c r="B248" s="16" t="n">
        <v>44867.82708333333</v>
      </c>
      <c r="C248" s="16">
        <f>B248+1</f>
        <v/>
      </c>
      <c r="D248" s="17">
        <f>(C248-NOW())*24</f>
        <v/>
      </c>
      <c r="E248" s="15">
        <f>IF(N248="","STEP 1: Send WhatsApp + Email blast now (Playbook M1)",IF(N248="Bad contact","STOP: report bad contact to lead (Playbook)",IF(O248="Scheduled","DONE: scheduled via Calendly",IF(O248="","STEP 2: Check Calendly now",IF(P248="","STEP 3: Send WhatsApp nudge (Playbook M2)",IF(Q248="Scheduled","DONE: scheduled via Calendly",IF(Q248="Escalate to call","HANDED to Shyam (call queue)","STEP 4: Final Calendly check")))))))</f>
        <v/>
      </c>
      <c r="F248" s="16">
        <f>IF(N248="",B248,IF(O248="",B248+2/24,IF(AND(O248="Not yet",P248=""),B248+2/24,IF(Q248="",B248+4/24,""))))</f>
        <v/>
      </c>
      <c r="G248" s="15" t="inlineStr">
        <is>
          <t>Chetan</t>
        </is>
      </c>
      <c r="H248" s="15" t="inlineStr">
        <is>
          <t>Google</t>
        </is>
      </c>
      <c r="I248" s="15" t="inlineStr">
        <is>
          <t>Round1</t>
        </is>
      </c>
      <c r="J248" s="18" t="inlineStr">
        <is>
          <t>+91 9920264452</t>
        </is>
      </c>
      <c r="K248" s="15" t="inlineStr">
        <is>
          <t>chetan@weekday.works</t>
        </is>
      </c>
      <c r="L248" s="15" t="inlineStr">
        <is>
          <t>&lt;calendly_link&gt;</t>
        </is>
      </c>
      <c r="M248" s="15" t="inlineStr">
        <is>
          <t>Yes</t>
        </is>
      </c>
      <c r="N248" s="15" t="n"/>
      <c r="O248" s="15" t="n"/>
      <c r="P248" s="15" t="n"/>
      <c r="Q248" s="15" t="n"/>
      <c r="R248" s="15">
        <f>IF(OR(O248="Scheduled",Q248="Scheduled"),"SCHEDULED",IF(Q248="Escalate to call","ESCALATED TO CALL",IF(N248="Bad contact","BAD CONTACT",IF(N248="","NOT STARTED","IN PROGRESS"))))</f>
        <v/>
      </c>
      <c r="S248" s="15" t="n"/>
    </row>
    <row r="249">
      <c r="A249" s="15" t="inlineStr">
        <is>
          <t>REQ-0248</t>
        </is>
      </c>
      <c r="B249" s="16" t="n">
        <v>44867.82708333333</v>
      </c>
      <c r="C249" s="16">
        <f>B249+1</f>
        <v/>
      </c>
      <c r="D249" s="17">
        <f>(C249-NOW())*24</f>
        <v/>
      </c>
      <c r="E249" s="15">
        <f>IF(N249="","STEP 1: Send WhatsApp + Email blast now (Playbook M1)",IF(N249="Bad contact","STOP: report bad contact to lead (Playbook)",IF(O249="Scheduled","DONE: scheduled via Calendly",IF(O249="","STEP 2: Check Calendly now",IF(P249="","STEP 3: Send WhatsApp nudge (Playbook M2)",IF(Q249="Scheduled","DONE: scheduled via Calendly",IF(Q249="Escalate to call","HANDED to Shyam (call queue)","STEP 4: Final Calendly check")))))))</f>
        <v/>
      </c>
      <c r="F249" s="16">
        <f>IF(N249="",B249,IF(O249="",B249+2/24,IF(AND(O249="Not yet",P249=""),B249+2/24,IF(Q249="",B249+4/24,""))))</f>
        <v/>
      </c>
      <c r="G249" s="15" t="inlineStr">
        <is>
          <t>Chetan</t>
        </is>
      </c>
      <c r="H249" s="15" t="inlineStr">
        <is>
          <t>Google</t>
        </is>
      </c>
      <c r="I249" s="15" t="inlineStr">
        <is>
          <t>Round1</t>
        </is>
      </c>
      <c r="J249" s="18" t="inlineStr">
        <is>
          <t>+91 9920264452</t>
        </is>
      </c>
      <c r="K249" s="15" t="inlineStr">
        <is>
          <t>chetan@weekday.works</t>
        </is>
      </c>
      <c r="L249" s="15" t="inlineStr">
        <is>
          <t>&lt;calendly_link&gt;</t>
        </is>
      </c>
      <c r="M249" s="15" t="inlineStr">
        <is>
          <t>Yes</t>
        </is>
      </c>
      <c r="N249" s="15" t="n"/>
      <c r="O249" s="15" t="n"/>
      <c r="P249" s="15" t="n"/>
      <c r="Q249" s="15" t="n"/>
      <c r="R249" s="15">
        <f>IF(OR(O249="Scheduled",Q249="Scheduled"),"SCHEDULED",IF(Q249="Escalate to call","ESCALATED TO CALL",IF(N249="Bad contact","BAD CONTACT",IF(N249="","NOT STARTED","IN PROGRESS"))))</f>
        <v/>
      </c>
      <c r="S249" s="15" t="n"/>
    </row>
    <row r="250">
      <c r="A250" s="15" t="inlineStr">
        <is>
          <t>REQ-0249</t>
        </is>
      </c>
      <c r="B250" s="16" t="n">
        <v>44867.82708333333</v>
      </c>
      <c r="C250" s="16">
        <f>B250+1</f>
        <v/>
      </c>
      <c r="D250" s="17">
        <f>(C250-NOW())*24</f>
        <v/>
      </c>
      <c r="E250" s="15">
        <f>IF(N250="","STEP 1: Send WhatsApp + Email blast now (Playbook M1)",IF(N250="Bad contact","STOP: report bad contact to lead (Playbook)",IF(O250="Scheduled","DONE: scheduled via Calendly",IF(O250="","STEP 2: Check Calendly now",IF(P250="","STEP 3: Send WhatsApp nudge (Playbook M2)",IF(Q250="Scheduled","DONE: scheduled via Calendly",IF(Q250="Escalate to call","HANDED to Shyam (call queue)","STEP 4: Final Calendly check")))))))</f>
        <v/>
      </c>
      <c r="F250" s="16">
        <f>IF(N250="",B250,IF(O250="",B250+2/24,IF(AND(O250="Not yet",P250=""),B250+2/24,IF(Q250="",B250+4/24,""))))</f>
        <v/>
      </c>
      <c r="G250" s="15" t="inlineStr">
        <is>
          <t>Chetan</t>
        </is>
      </c>
      <c r="H250" s="15" t="inlineStr">
        <is>
          <t>Google</t>
        </is>
      </c>
      <c r="I250" s="15" t="inlineStr">
        <is>
          <t>Round1</t>
        </is>
      </c>
      <c r="J250" s="18" t="inlineStr">
        <is>
          <t>+91 9920264452</t>
        </is>
      </c>
      <c r="K250" s="15" t="inlineStr">
        <is>
          <t>chetan@weekday.works</t>
        </is>
      </c>
      <c r="L250" s="15" t="inlineStr">
        <is>
          <t>&lt;calendly_link&gt;</t>
        </is>
      </c>
      <c r="M250" s="15" t="inlineStr">
        <is>
          <t>Yes</t>
        </is>
      </c>
      <c r="N250" s="15" t="n"/>
      <c r="O250" s="15" t="n"/>
      <c r="P250" s="15" t="n"/>
      <c r="Q250" s="15" t="n"/>
      <c r="R250" s="15">
        <f>IF(OR(O250="Scheduled",Q250="Scheduled"),"SCHEDULED",IF(Q250="Escalate to call","ESCALATED TO CALL",IF(N250="Bad contact","BAD CONTACT",IF(N250="","NOT STARTED","IN PROGRESS"))))</f>
        <v/>
      </c>
      <c r="S250" s="15" t="n"/>
    </row>
    <row r="251">
      <c r="A251" s="15" t="inlineStr">
        <is>
          <t>REQ-0250</t>
        </is>
      </c>
      <c r="B251" s="16" t="n">
        <v>44867.82708333333</v>
      </c>
      <c r="C251" s="16">
        <f>B251+1</f>
        <v/>
      </c>
      <c r="D251" s="17">
        <f>(C251-NOW())*24</f>
        <v/>
      </c>
      <c r="E251" s="15">
        <f>IF(N251="","STEP 1: Send WhatsApp + Email blast now (Playbook M1)",IF(N251="Bad contact","STOP: report bad contact to lead (Playbook)",IF(O251="Scheduled","DONE: scheduled via Calendly",IF(O251="","STEP 2: Check Calendly now",IF(P251="","STEP 3: Send WhatsApp nudge (Playbook M2)",IF(Q251="Scheduled","DONE: scheduled via Calendly",IF(Q251="Escalate to call","HANDED to Shyam (call queue)","STEP 4: Final Calendly check")))))))</f>
        <v/>
      </c>
      <c r="F251" s="16">
        <f>IF(N251="",B251,IF(O251="",B251+2/24,IF(AND(O251="Not yet",P251=""),B251+2/24,IF(Q251="",B251+4/24,""))))</f>
        <v/>
      </c>
      <c r="G251" s="15" t="inlineStr">
        <is>
          <t>Chetan</t>
        </is>
      </c>
      <c r="H251" s="15" t="inlineStr">
        <is>
          <t>Google</t>
        </is>
      </c>
      <c r="I251" s="15" t="inlineStr">
        <is>
          <t>Round1</t>
        </is>
      </c>
      <c r="J251" s="18" t="inlineStr">
        <is>
          <t>+91 9920264452</t>
        </is>
      </c>
      <c r="K251" s="15" t="inlineStr">
        <is>
          <t>chetan@weekday.works</t>
        </is>
      </c>
      <c r="L251" s="15" t="inlineStr">
        <is>
          <t>&lt;calendly_link&gt;</t>
        </is>
      </c>
      <c r="M251" s="15" t="inlineStr">
        <is>
          <t>Yes</t>
        </is>
      </c>
      <c r="N251" s="15" t="n"/>
      <c r="O251" s="15" t="n"/>
      <c r="P251" s="15" t="n"/>
      <c r="Q251" s="15" t="n"/>
      <c r="R251" s="15">
        <f>IF(OR(O251="Scheduled",Q251="Scheduled"),"SCHEDULED",IF(Q251="Escalate to call","ESCALATED TO CALL",IF(N251="Bad contact","BAD CONTACT",IF(N251="","NOT STARTED","IN PROGRESS"))))</f>
        <v/>
      </c>
      <c r="S251" s="15" t="n"/>
    </row>
    <row r="252">
      <c r="A252" s="15" t="inlineStr">
        <is>
          <t>REQ-0251</t>
        </is>
      </c>
      <c r="B252" s="16" t="n">
        <v>44867.82708333333</v>
      </c>
      <c r="C252" s="16">
        <f>B252+1</f>
        <v/>
      </c>
      <c r="D252" s="17">
        <f>(C252-NOW())*24</f>
        <v/>
      </c>
      <c r="E252" s="15">
        <f>IF(N252="","STEP 1: Send WhatsApp + Email blast now (Playbook M1)",IF(N252="Bad contact","STOP: report bad contact to lead (Playbook)",IF(O252="Scheduled","DONE: scheduled via Calendly",IF(O252="","STEP 2: Check Calendly now",IF(P252="","STEP 3: Send WhatsApp nudge (Playbook M2)",IF(Q252="Scheduled","DONE: scheduled via Calendly",IF(Q252="Escalate to call","HANDED to Shyam (call queue)","STEP 4: Final Calendly check")))))))</f>
        <v/>
      </c>
      <c r="F252" s="16">
        <f>IF(N252="",B252,IF(O252="",B252+2/24,IF(AND(O252="Not yet",P252=""),B252+2/24,IF(Q252="",B252+4/24,""))))</f>
        <v/>
      </c>
      <c r="G252" s="15" t="inlineStr">
        <is>
          <t>Chetan</t>
        </is>
      </c>
      <c r="H252" s="15" t="inlineStr">
        <is>
          <t>Google</t>
        </is>
      </c>
      <c r="I252" s="15" t="inlineStr">
        <is>
          <t>Round1</t>
        </is>
      </c>
      <c r="J252" s="18" t="inlineStr">
        <is>
          <t>+91 9920264452</t>
        </is>
      </c>
      <c r="K252" s="15" t="inlineStr">
        <is>
          <t>chetan@weekday.works</t>
        </is>
      </c>
      <c r="L252" s="15" t="inlineStr">
        <is>
          <t>&lt;calendly_link&gt;</t>
        </is>
      </c>
      <c r="M252" s="15" t="inlineStr">
        <is>
          <t>Yes</t>
        </is>
      </c>
      <c r="N252" s="15" t="n"/>
      <c r="O252" s="15" t="n"/>
      <c r="P252" s="15" t="n"/>
      <c r="Q252" s="15" t="n"/>
      <c r="R252" s="15">
        <f>IF(OR(O252="Scheduled",Q252="Scheduled"),"SCHEDULED",IF(Q252="Escalate to call","ESCALATED TO CALL",IF(N252="Bad contact","BAD CONTACT",IF(N252="","NOT STARTED","IN PROGRESS"))))</f>
        <v/>
      </c>
      <c r="S252" s="15" t="n"/>
    </row>
    <row r="253">
      <c r="A253" s="15" t="inlineStr">
        <is>
          <t>REQ-0252</t>
        </is>
      </c>
      <c r="B253" s="16" t="n">
        <v>44867.82708333333</v>
      </c>
      <c r="C253" s="16">
        <f>B253+1</f>
        <v/>
      </c>
      <c r="D253" s="17">
        <f>(C253-NOW())*24</f>
        <v/>
      </c>
      <c r="E253" s="15">
        <f>IF(N253="","STEP 1: Send WhatsApp + Email blast now (Playbook M1)",IF(N253="Bad contact","STOP: report bad contact to lead (Playbook)",IF(O253="Scheduled","DONE: scheduled via Calendly",IF(O253="","STEP 2: Check Calendly now",IF(P253="","STEP 3: Send WhatsApp nudge (Playbook M2)",IF(Q253="Scheduled","DONE: scheduled via Calendly",IF(Q253="Escalate to call","HANDED to Shyam (call queue)","STEP 4: Final Calendly check")))))))</f>
        <v/>
      </c>
      <c r="F253" s="16">
        <f>IF(N253="",B253,IF(O253="",B253+2/24,IF(AND(O253="Not yet",P253=""),B253+2/24,IF(Q253="",B253+4/24,""))))</f>
        <v/>
      </c>
      <c r="G253" s="15" t="inlineStr">
        <is>
          <t>Chetan</t>
        </is>
      </c>
      <c r="H253" s="15" t="inlineStr">
        <is>
          <t>Google</t>
        </is>
      </c>
      <c r="I253" s="15" t="inlineStr">
        <is>
          <t>Round1</t>
        </is>
      </c>
      <c r="J253" s="18" t="inlineStr">
        <is>
          <t>+91 9920264452</t>
        </is>
      </c>
      <c r="K253" s="15" t="inlineStr">
        <is>
          <t>chetan@weekday.works</t>
        </is>
      </c>
      <c r="L253" s="15" t="inlineStr">
        <is>
          <t>&lt;calendly_link&gt;</t>
        </is>
      </c>
      <c r="M253" s="15" t="inlineStr">
        <is>
          <t>Yes</t>
        </is>
      </c>
      <c r="N253" s="15" t="n"/>
      <c r="O253" s="15" t="n"/>
      <c r="P253" s="15" t="n"/>
      <c r="Q253" s="15" t="n"/>
      <c r="R253" s="15">
        <f>IF(OR(O253="Scheduled",Q253="Scheduled"),"SCHEDULED",IF(Q253="Escalate to call","ESCALATED TO CALL",IF(N253="Bad contact","BAD CONTACT",IF(N253="","NOT STARTED","IN PROGRESS"))))</f>
        <v/>
      </c>
      <c r="S253" s="15" t="n"/>
    </row>
    <row r="254">
      <c r="A254" s="15" t="inlineStr">
        <is>
          <t>REQ-0253</t>
        </is>
      </c>
      <c r="B254" s="16" t="n">
        <v>44867.82708333333</v>
      </c>
      <c r="C254" s="16">
        <f>B254+1</f>
        <v/>
      </c>
      <c r="D254" s="17">
        <f>(C254-NOW())*24</f>
        <v/>
      </c>
      <c r="E254" s="15">
        <f>IF(N254="","STEP 1: Send WhatsApp + Email blast now (Playbook M1)",IF(N254="Bad contact","STOP: report bad contact to lead (Playbook)",IF(O254="Scheduled","DONE: scheduled via Calendly",IF(O254="","STEP 2: Check Calendly now",IF(P254="","STEP 3: Send WhatsApp nudge (Playbook M2)",IF(Q254="Scheduled","DONE: scheduled via Calendly",IF(Q254="Escalate to call","HANDED to Shyam (call queue)","STEP 4: Final Calendly check")))))))</f>
        <v/>
      </c>
      <c r="F254" s="16">
        <f>IF(N254="",B254,IF(O254="",B254+2/24,IF(AND(O254="Not yet",P254=""),B254+2/24,IF(Q254="",B254+4/24,""))))</f>
        <v/>
      </c>
      <c r="G254" s="15" t="inlineStr">
        <is>
          <t>Chetan</t>
        </is>
      </c>
      <c r="H254" s="15" t="inlineStr">
        <is>
          <t>Google</t>
        </is>
      </c>
      <c r="I254" s="15" t="inlineStr">
        <is>
          <t>Round1</t>
        </is>
      </c>
      <c r="J254" s="18" t="inlineStr">
        <is>
          <t>+91 9920264452</t>
        </is>
      </c>
      <c r="K254" s="15" t="inlineStr">
        <is>
          <t>chetan@weekday.works</t>
        </is>
      </c>
      <c r="L254" s="15" t="inlineStr">
        <is>
          <t>&lt;calendly_link&gt;</t>
        </is>
      </c>
      <c r="M254" s="15" t="inlineStr">
        <is>
          <t>Yes</t>
        </is>
      </c>
      <c r="N254" s="15" t="n"/>
      <c r="O254" s="15" t="n"/>
      <c r="P254" s="15" t="n"/>
      <c r="Q254" s="15" t="n"/>
      <c r="R254" s="15">
        <f>IF(OR(O254="Scheduled",Q254="Scheduled"),"SCHEDULED",IF(Q254="Escalate to call","ESCALATED TO CALL",IF(N254="Bad contact","BAD CONTACT",IF(N254="","NOT STARTED","IN PROGRESS"))))</f>
        <v/>
      </c>
      <c r="S254" s="15" t="n"/>
    </row>
    <row r="255">
      <c r="A255" s="15" t="inlineStr">
        <is>
          <t>REQ-0254</t>
        </is>
      </c>
      <c r="B255" s="16" t="n">
        <v>44867.82708333333</v>
      </c>
      <c r="C255" s="16">
        <f>B255+1</f>
        <v/>
      </c>
      <c r="D255" s="17">
        <f>(C255-NOW())*24</f>
        <v/>
      </c>
      <c r="E255" s="15">
        <f>IF(N255="","STEP 1: Send WhatsApp + Email blast now (Playbook M1)",IF(N255="Bad contact","STOP: report bad contact to lead (Playbook)",IF(O255="Scheduled","DONE: scheduled via Calendly",IF(O255="","STEP 2: Check Calendly now",IF(P255="","STEP 3: Send WhatsApp nudge (Playbook M2)",IF(Q255="Scheduled","DONE: scheduled via Calendly",IF(Q255="Escalate to call","HANDED to Shyam (call queue)","STEP 4: Final Calendly check")))))))</f>
        <v/>
      </c>
      <c r="F255" s="16">
        <f>IF(N255="",B255,IF(O255="",B255+2/24,IF(AND(O255="Not yet",P255=""),B255+2/24,IF(Q255="",B255+4/24,""))))</f>
        <v/>
      </c>
      <c r="G255" s="15" t="inlineStr">
        <is>
          <t>Chetan</t>
        </is>
      </c>
      <c r="H255" s="15" t="inlineStr">
        <is>
          <t>Google</t>
        </is>
      </c>
      <c r="I255" s="15" t="inlineStr">
        <is>
          <t>Round1</t>
        </is>
      </c>
      <c r="J255" s="18" t="inlineStr">
        <is>
          <t>+91 9920264452</t>
        </is>
      </c>
      <c r="K255" s="15" t="inlineStr">
        <is>
          <t>chetan@weekday.works</t>
        </is>
      </c>
      <c r="L255" s="15" t="inlineStr">
        <is>
          <t>&lt;calendly_link&gt;</t>
        </is>
      </c>
      <c r="M255" s="15" t="inlineStr">
        <is>
          <t>Yes</t>
        </is>
      </c>
      <c r="N255" s="15" t="n"/>
      <c r="O255" s="15" t="n"/>
      <c r="P255" s="15" t="n"/>
      <c r="Q255" s="15" t="n"/>
      <c r="R255" s="15">
        <f>IF(OR(O255="Scheduled",Q255="Scheduled"),"SCHEDULED",IF(Q255="Escalate to call","ESCALATED TO CALL",IF(N255="Bad contact","BAD CONTACT",IF(N255="","NOT STARTED","IN PROGRESS"))))</f>
        <v/>
      </c>
      <c r="S255" s="15" t="n"/>
    </row>
    <row r="256">
      <c r="A256" s="15" t="inlineStr">
        <is>
          <t>REQ-0255</t>
        </is>
      </c>
      <c r="B256" s="16" t="n">
        <v>44867.82708333333</v>
      </c>
      <c r="C256" s="16">
        <f>B256+1</f>
        <v/>
      </c>
      <c r="D256" s="17">
        <f>(C256-NOW())*24</f>
        <v/>
      </c>
      <c r="E256" s="15">
        <f>IF(N256="","STEP 1: Send WhatsApp + Email blast now (Playbook M1)",IF(N256="Bad contact","STOP: report bad contact to lead (Playbook)",IF(O256="Scheduled","DONE: scheduled via Calendly",IF(O256="","STEP 2: Check Calendly now",IF(P256="","STEP 3: Send WhatsApp nudge (Playbook M2)",IF(Q256="Scheduled","DONE: scheduled via Calendly",IF(Q256="Escalate to call","HANDED to Shyam (call queue)","STEP 4: Final Calendly check")))))))</f>
        <v/>
      </c>
      <c r="F256" s="16">
        <f>IF(N256="",B256,IF(O256="",B256+2/24,IF(AND(O256="Not yet",P256=""),B256+2/24,IF(Q256="",B256+4/24,""))))</f>
        <v/>
      </c>
      <c r="G256" s="15" t="inlineStr">
        <is>
          <t>Chetan</t>
        </is>
      </c>
      <c r="H256" s="15" t="inlineStr">
        <is>
          <t>Google</t>
        </is>
      </c>
      <c r="I256" s="15" t="inlineStr">
        <is>
          <t>Round1</t>
        </is>
      </c>
      <c r="J256" s="18" t="inlineStr">
        <is>
          <t>+91 9920264452</t>
        </is>
      </c>
      <c r="K256" s="15" t="inlineStr">
        <is>
          <t>chetan@weekday.works</t>
        </is>
      </c>
      <c r="L256" s="15" t="inlineStr">
        <is>
          <t>&lt;calendly_link&gt;</t>
        </is>
      </c>
      <c r="M256" s="15" t="inlineStr">
        <is>
          <t>Yes</t>
        </is>
      </c>
      <c r="N256" s="15" t="n"/>
      <c r="O256" s="15" t="n"/>
      <c r="P256" s="15" t="n"/>
      <c r="Q256" s="15" t="n"/>
      <c r="R256" s="15">
        <f>IF(OR(O256="Scheduled",Q256="Scheduled"),"SCHEDULED",IF(Q256="Escalate to call","ESCALATED TO CALL",IF(N256="Bad contact","BAD CONTACT",IF(N256="","NOT STARTED","IN PROGRESS"))))</f>
        <v/>
      </c>
      <c r="S256" s="15" t="n"/>
    </row>
    <row r="257">
      <c r="A257" s="15" t="inlineStr">
        <is>
          <t>REQ-0256</t>
        </is>
      </c>
      <c r="B257" s="16" t="n">
        <v>44867.82708333333</v>
      </c>
      <c r="C257" s="16">
        <f>B257+1</f>
        <v/>
      </c>
      <c r="D257" s="17">
        <f>(C257-NOW())*24</f>
        <v/>
      </c>
      <c r="E257" s="15">
        <f>IF(N257="","STEP 1: Send WhatsApp + Email blast now (Playbook M1)",IF(N257="Bad contact","STOP: report bad contact to lead (Playbook)",IF(O257="Scheduled","DONE: scheduled via Calendly",IF(O257="","STEP 2: Check Calendly now",IF(P257="","STEP 3: Send WhatsApp nudge (Playbook M2)",IF(Q257="Scheduled","DONE: scheduled via Calendly",IF(Q257="Escalate to call","HANDED to Shyam (call queue)","STEP 4: Final Calendly check")))))))</f>
        <v/>
      </c>
      <c r="F257" s="16">
        <f>IF(N257="",B257,IF(O257="",B257+2/24,IF(AND(O257="Not yet",P257=""),B257+2/24,IF(Q257="",B257+4/24,""))))</f>
        <v/>
      </c>
      <c r="G257" s="15" t="inlineStr">
        <is>
          <t>Chetan</t>
        </is>
      </c>
      <c r="H257" s="15" t="inlineStr">
        <is>
          <t>Google</t>
        </is>
      </c>
      <c r="I257" s="15" t="inlineStr">
        <is>
          <t>Round1</t>
        </is>
      </c>
      <c r="J257" s="18" t="inlineStr">
        <is>
          <t>+91 9920264452</t>
        </is>
      </c>
      <c r="K257" s="15" t="inlineStr">
        <is>
          <t>chetan@weekday.works</t>
        </is>
      </c>
      <c r="L257" s="15" t="inlineStr">
        <is>
          <t>&lt;calendly_link&gt;</t>
        </is>
      </c>
      <c r="M257" s="15" t="inlineStr">
        <is>
          <t>Yes</t>
        </is>
      </c>
      <c r="N257" s="15" t="n"/>
      <c r="O257" s="15" t="n"/>
      <c r="P257" s="15" t="n"/>
      <c r="Q257" s="15" t="n"/>
      <c r="R257" s="15">
        <f>IF(OR(O257="Scheduled",Q257="Scheduled"),"SCHEDULED",IF(Q257="Escalate to call","ESCALATED TO CALL",IF(N257="Bad contact","BAD CONTACT",IF(N257="","NOT STARTED","IN PROGRESS"))))</f>
        <v/>
      </c>
      <c r="S257" s="15" t="n"/>
    </row>
    <row r="258">
      <c r="A258" s="15" t="inlineStr">
        <is>
          <t>REQ-0257</t>
        </is>
      </c>
      <c r="B258" s="16" t="n">
        <v>44867.82708333333</v>
      </c>
      <c r="C258" s="16">
        <f>B258+1</f>
        <v/>
      </c>
      <c r="D258" s="17">
        <f>(C258-NOW())*24</f>
        <v/>
      </c>
      <c r="E258" s="15">
        <f>IF(N258="","STEP 1: Send WhatsApp + Email blast now (Playbook M1)",IF(N258="Bad contact","STOP: report bad contact to lead (Playbook)",IF(O258="Scheduled","DONE: scheduled via Calendly",IF(O258="","STEP 2: Check Calendly now",IF(P258="","STEP 3: Send WhatsApp nudge (Playbook M2)",IF(Q258="Scheduled","DONE: scheduled via Calendly",IF(Q258="Escalate to call","HANDED to Shyam (call queue)","STEP 4: Final Calendly check")))))))</f>
        <v/>
      </c>
      <c r="F258" s="16">
        <f>IF(N258="",B258,IF(O258="",B258+2/24,IF(AND(O258="Not yet",P258=""),B258+2/24,IF(Q258="",B258+4/24,""))))</f>
        <v/>
      </c>
      <c r="G258" s="15" t="inlineStr">
        <is>
          <t>Chetan</t>
        </is>
      </c>
      <c r="H258" s="15" t="inlineStr">
        <is>
          <t>Google</t>
        </is>
      </c>
      <c r="I258" s="15" t="inlineStr">
        <is>
          <t>Round1</t>
        </is>
      </c>
      <c r="J258" s="18" t="inlineStr">
        <is>
          <t>+91 9920264452</t>
        </is>
      </c>
      <c r="K258" s="15" t="inlineStr">
        <is>
          <t>chetan@weekday.works</t>
        </is>
      </c>
      <c r="L258" s="15" t="inlineStr">
        <is>
          <t>&lt;calendly_link&gt;</t>
        </is>
      </c>
      <c r="M258" s="15" t="inlineStr">
        <is>
          <t>Yes</t>
        </is>
      </c>
      <c r="N258" s="15" t="n"/>
      <c r="O258" s="15" t="n"/>
      <c r="P258" s="15" t="n"/>
      <c r="Q258" s="15" t="n"/>
      <c r="R258" s="15">
        <f>IF(OR(O258="Scheduled",Q258="Scheduled"),"SCHEDULED",IF(Q258="Escalate to call","ESCALATED TO CALL",IF(N258="Bad contact","BAD CONTACT",IF(N258="","NOT STARTED","IN PROGRESS"))))</f>
        <v/>
      </c>
      <c r="S258" s="15" t="n"/>
    </row>
    <row r="259">
      <c r="A259" s="15" t="inlineStr">
        <is>
          <t>REQ-0258</t>
        </is>
      </c>
      <c r="B259" s="16" t="n">
        <v>44867.82708333333</v>
      </c>
      <c r="C259" s="16">
        <f>B259+1</f>
        <v/>
      </c>
      <c r="D259" s="17">
        <f>(C259-NOW())*24</f>
        <v/>
      </c>
      <c r="E259" s="15">
        <f>IF(N259="","STEP 1: Send WhatsApp + Email blast now (Playbook M1)",IF(N259="Bad contact","STOP: report bad contact to lead (Playbook)",IF(O259="Scheduled","DONE: scheduled via Calendly",IF(O259="","STEP 2: Check Calendly now",IF(P259="","STEP 3: Send WhatsApp nudge (Playbook M2)",IF(Q259="Scheduled","DONE: scheduled via Calendly",IF(Q259="Escalate to call","HANDED to Shyam (call queue)","STEP 4: Final Calendly check")))))))</f>
        <v/>
      </c>
      <c r="F259" s="16">
        <f>IF(N259="",B259,IF(O259="",B259+2/24,IF(AND(O259="Not yet",P259=""),B259+2/24,IF(Q259="",B259+4/24,""))))</f>
        <v/>
      </c>
      <c r="G259" s="15" t="inlineStr">
        <is>
          <t>Chetan</t>
        </is>
      </c>
      <c r="H259" s="15" t="inlineStr">
        <is>
          <t>Google</t>
        </is>
      </c>
      <c r="I259" s="15" t="inlineStr">
        <is>
          <t>Round1</t>
        </is>
      </c>
      <c r="J259" s="18" t="inlineStr">
        <is>
          <t>+91 9920264452</t>
        </is>
      </c>
      <c r="K259" s="15" t="inlineStr">
        <is>
          <t>chetan@weekday.works</t>
        </is>
      </c>
      <c r="L259" s="15" t="inlineStr">
        <is>
          <t>&lt;calendly_link&gt;</t>
        </is>
      </c>
      <c r="M259" s="15" t="inlineStr">
        <is>
          <t>Yes</t>
        </is>
      </c>
      <c r="N259" s="15" t="n"/>
      <c r="O259" s="15" t="n"/>
      <c r="P259" s="15" t="n"/>
      <c r="Q259" s="15" t="n"/>
      <c r="R259" s="15">
        <f>IF(OR(O259="Scheduled",Q259="Scheduled"),"SCHEDULED",IF(Q259="Escalate to call","ESCALATED TO CALL",IF(N259="Bad contact","BAD CONTACT",IF(N259="","NOT STARTED","IN PROGRESS"))))</f>
        <v/>
      </c>
      <c r="S259" s="15" t="n"/>
    </row>
    <row r="260">
      <c r="A260" s="15" t="inlineStr">
        <is>
          <t>REQ-0259</t>
        </is>
      </c>
      <c r="B260" s="16" t="n">
        <v>44867.82708333333</v>
      </c>
      <c r="C260" s="16">
        <f>B260+1</f>
        <v/>
      </c>
      <c r="D260" s="17">
        <f>(C260-NOW())*24</f>
        <v/>
      </c>
      <c r="E260" s="15">
        <f>IF(N260="","STEP 1: Send WhatsApp + Email blast now (Playbook M1)",IF(N260="Bad contact","STOP: report bad contact to lead (Playbook)",IF(O260="Scheduled","DONE: scheduled via Calendly",IF(O260="","STEP 2: Check Calendly now",IF(P260="","STEP 3: Send WhatsApp nudge (Playbook M2)",IF(Q260="Scheduled","DONE: scheduled via Calendly",IF(Q260="Escalate to call","HANDED to Shyam (call queue)","STEP 4: Final Calendly check")))))))</f>
        <v/>
      </c>
      <c r="F260" s="16">
        <f>IF(N260="",B260,IF(O260="",B260+2/24,IF(AND(O260="Not yet",P260=""),B260+2/24,IF(Q260="",B260+4/24,""))))</f>
        <v/>
      </c>
      <c r="G260" s="15" t="inlineStr">
        <is>
          <t>Chetan</t>
        </is>
      </c>
      <c r="H260" s="15" t="inlineStr">
        <is>
          <t>Google</t>
        </is>
      </c>
      <c r="I260" s="15" t="inlineStr">
        <is>
          <t>Round1</t>
        </is>
      </c>
      <c r="J260" s="18" t="inlineStr">
        <is>
          <t>+91 9920264452</t>
        </is>
      </c>
      <c r="K260" s="15" t="inlineStr">
        <is>
          <t>chetan@weekday.works</t>
        </is>
      </c>
      <c r="L260" s="15" t="inlineStr">
        <is>
          <t>&lt;calendly_link&gt;</t>
        </is>
      </c>
      <c r="M260" s="15" t="inlineStr">
        <is>
          <t>Yes</t>
        </is>
      </c>
      <c r="N260" s="15" t="n"/>
      <c r="O260" s="15" t="n"/>
      <c r="P260" s="15" t="n"/>
      <c r="Q260" s="15" t="n"/>
      <c r="R260" s="15">
        <f>IF(OR(O260="Scheduled",Q260="Scheduled"),"SCHEDULED",IF(Q260="Escalate to call","ESCALATED TO CALL",IF(N260="Bad contact","BAD CONTACT",IF(N260="","NOT STARTED","IN PROGRESS"))))</f>
        <v/>
      </c>
      <c r="S260" s="15" t="n"/>
    </row>
    <row r="261">
      <c r="A261" s="15" t="inlineStr">
        <is>
          <t>REQ-0260</t>
        </is>
      </c>
      <c r="B261" s="16" t="n">
        <v>44867.82708333333</v>
      </c>
      <c r="C261" s="16">
        <f>B261+1</f>
        <v/>
      </c>
      <c r="D261" s="17">
        <f>(C261-NOW())*24</f>
        <v/>
      </c>
      <c r="E261" s="15">
        <f>IF(N261="","STEP 1: Send WhatsApp + Email blast now (Playbook M1)",IF(N261="Bad contact","STOP: report bad contact to lead (Playbook)",IF(O261="Scheduled","DONE: scheduled via Calendly",IF(O261="","STEP 2: Check Calendly now",IF(P261="","STEP 3: Send WhatsApp nudge (Playbook M2)",IF(Q261="Scheduled","DONE: scheduled via Calendly",IF(Q261="Escalate to call","HANDED to Shyam (call queue)","STEP 4: Final Calendly check")))))))</f>
        <v/>
      </c>
      <c r="F261" s="16">
        <f>IF(N261="",B261,IF(O261="",B261+2/24,IF(AND(O261="Not yet",P261=""),B261+2/24,IF(Q261="",B261+4/24,""))))</f>
        <v/>
      </c>
      <c r="G261" s="15" t="inlineStr">
        <is>
          <t>Chetan</t>
        </is>
      </c>
      <c r="H261" s="15" t="inlineStr">
        <is>
          <t>Google</t>
        </is>
      </c>
      <c r="I261" s="15" t="inlineStr">
        <is>
          <t>Round1</t>
        </is>
      </c>
      <c r="J261" s="18" t="inlineStr">
        <is>
          <t>+91 9920264452</t>
        </is>
      </c>
      <c r="K261" s="15" t="inlineStr">
        <is>
          <t>chetan@weekday.works</t>
        </is>
      </c>
      <c r="L261" s="15" t="inlineStr">
        <is>
          <t>&lt;calendly_link&gt;</t>
        </is>
      </c>
      <c r="M261" s="15" t="inlineStr">
        <is>
          <t>Yes</t>
        </is>
      </c>
      <c r="N261" s="15" t="n"/>
      <c r="O261" s="15" t="n"/>
      <c r="P261" s="15" t="n"/>
      <c r="Q261" s="15" t="n"/>
      <c r="R261" s="15">
        <f>IF(OR(O261="Scheduled",Q261="Scheduled"),"SCHEDULED",IF(Q261="Escalate to call","ESCALATED TO CALL",IF(N261="Bad contact","BAD CONTACT",IF(N261="","NOT STARTED","IN PROGRESS"))))</f>
        <v/>
      </c>
      <c r="S261" s="15" t="n"/>
    </row>
    <row r="262">
      <c r="A262" s="15" t="inlineStr">
        <is>
          <t>REQ-0261</t>
        </is>
      </c>
      <c r="B262" s="16" t="n">
        <v>44867.82708333333</v>
      </c>
      <c r="C262" s="16">
        <f>B262+1</f>
        <v/>
      </c>
      <c r="D262" s="17">
        <f>(C262-NOW())*24</f>
        <v/>
      </c>
      <c r="E262" s="15">
        <f>IF(N262="","STEP 1: Send WhatsApp + Email blast now (Playbook M1)",IF(N262="Bad contact","STOP: report bad contact to lead (Playbook)",IF(O262="Scheduled","DONE: scheduled via Calendly",IF(O262="","STEP 2: Check Calendly now",IF(P262="","STEP 3: Send WhatsApp nudge (Playbook M2)",IF(Q262="Scheduled","DONE: scheduled via Calendly",IF(Q262="Escalate to call","HANDED to Shyam (call queue)","STEP 4: Final Calendly check")))))))</f>
        <v/>
      </c>
      <c r="F262" s="16">
        <f>IF(N262="",B262,IF(O262="",B262+2/24,IF(AND(O262="Not yet",P262=""),B262+2/24,IF(Q262="",B262+4/24,""))))</f>
        <v/>
      </c>
      <c r="G262" s="15" t="inlineStr">
        <is>
          <t>Chetan</t>
        </is>
      </c>
      <c r="H262" s="15" t="inlineStr">
        <is>
          <t>Google</t>
        </is>
      </c>
      <c r="I262" s="15" t="inlineStr">
        <is>
          <t>Round1</t>
        </is>
      </c>
      <c r="J262" s="18" t="inlineStr">
        <is>
          <t>+91 9920264452</t>
        </is>
      </c>
      <c r="K262" s="15" t="inlineStr">
        <is>
          <t>chetan@weekday.works</t>
        </is>
      </c>
      <c r="L262" s="15" t="inlineStr">
        <is>
          <t>&lt;calendly_link&gt;</t>
        </is>
      </c>
      <c r="M262" s="15" t="inlineStr">
        <is>
          <t>Yes</t>
        </is>
      </c>
      <c r="N262" s="15" t="n"/>
      <c r="O262" s="15" t="n"/>
      <c r="P262" s="15" t="n"/>
      <c r="Q262" s="15" t="n"/>
      <c r="R262" s="15">
        <f>IF(OR(O262="Scheduled",Q262="Scheduled"),"SCHEDULED",IF(Q262="Escalate to call","ESCALATED TO CALL",IF(N262="Bad contact","BAD CONTACT",IF(N262="","NOT STARTED","IN PROGRESS"))))</f>
        <v/>
      </c>
      <c r="S262" s="15" t="n"/>
    </row>
    <row r="263">
      <c r="A263" s="15" t="inlineStr">
        <is>
          <t>REQ-0262</t>
        </is>
      </c>
      <c r="B263" s="16" t="n">
        <v>44867.82708333333</v>
      </c>
      <c r="C263" s="16">
        <f>B263+1</f>
        <v/>
      </c>
      <c r="D263" s="17">
        <f>(C263-NOW())*24</f>
        <v/>
      </c>
      <c r="E263" s="15">
        <f>IF(N263="","STEP 1: Send WhatsApp + Email blast now (Playbook M1)",IF(N263="Bad contact","STOP: report bad contact to lead (Playbook)",IF(O263="Scheduled","DONE: scheduled via Calendly",IF(O263="","STEP 2: Check Calendly now",IF(P263="","STEP 3: Send WhatsApp nudge (Playbook M2)",IF(Q263="Scheduled","DONE: scheduled via Calendly",IF(Q263="Escalate to call","HANDED to Shyam (call queue)","STEP 4: Final Calendly check")))))))</f>
        <v/>
      </c>
      <c r="F263" s="16">
        <f>IF(N263="",B263,IF(O263="",B263+2/24,IF(AND(O263="Not yet",P263=""),B263+2/24,IF(Q263="",B263+4/24,""))))</f>
        <v/>
      </c>
      <c r="G263" s="15" t="inlineStr">
        <is>
          <t>Chetan</t>
        </is>
      </c>
      <c r="H263" s="15" t="inlineStr">
        <is>
          <t>Google</t>
        </is>
      </c>
      <c r="I263" s="15" t="inlineStr">
        <is>
          <t>Round1</t>
        </is>
      </c>
      <c r="J263" s="18" t="inlineStr">
        <is>
          <t>+91 9920264452</t>
        </is>
      </c>
      <c r="K263" s="15" t="inlineStr">
        <is>
          <t>chetan@weekday.works</t>
        </is>
      </c>
      <c r="L263" s="15" t="inlineStr">
        <is>
          <t>&lt;calendly_link&gt;</t>
        </is>
      </c>
      <c r="M263" s="15" t="inlineStr">
        <is>
          <t>Yes</t>
        </is>
      </c>
      <c r="N263" s="15" t="n"/>
      <c r="O263" s="15" t="n"/>
      <c r="P263" s="15" t="n"/>
      <c r="Q263" s="15" t="n"/>
      <c r="R263" s="15">
        <f>IF(OR(O263="Scheduled",Q263="Scheduled"),"SCHEDULED",IF(Q263="Escalate to call","ESCALATED TO CALL",IF(N263="Bad contact","BAD CONTACT",IF(N263="","NOT STARTED","IN PROGRESS"))))</f>
        <v/>
      </c>
      <c r="S263" s="15" t="n"/>
    </row>
    <row r="264">
      <c r="A264" s="15" t="inlineStr">
        <is>
          <t>REQ-0263</t>
        </is>
      </c>
      <c r="B264" s="16" t="n">
        <v>44867.82708333333</v>
      </c>
      <c r="C264" s="16">
        <f>B264+1</f>
        <v/>
      </c>
      <c r="D264" s="17">
        <f>(C264-NOW())*24</f>
        <v/>
      </c>
      <c r="E264" s="15">
        <f>IF(N264="","STEP 1: Send WhatsApp + Email blast now (Playbook M1)",IF(N264="Bad contact","STOP: report bad contact to lead (Playbook)",IF(O264="Scheduled","DONE: scheduled via Calendly",IF(O264="","STEP 2: Check Calendly now",IF(P264="","STEP 3: Send WhatsApp nudge (Playbook M2)",IF(Q264="Scheduled","DONE: scheduled via Calendly",IF(Q264="Escalate to call","HANDED to Shyam (call queue)","STEP 4: Final Calendly check")))))))</f>
        <v/>
      </c>
      <c r="F264" s="16">
        <f>IF(N264="",B264,IF(O264="",B264+2/24,IF(AND(O264="Not yet",P264=""),B264+2/24,IF(Q264="",B264+4/24,""))))</f>
        <v/>
      </c>
      <c r="G264" s="15" t="inlineStr">
        <is>
          <t>Chetan</t>
        </is>
      </c>
      <c r="H264" s="15" t="inlineStr">
        <is>
          <t>Google</t>
        </is>
      </c>
      <c r="I264" s="15" t="inlineStr">
        <is>
          <t>Round1</t>
        </is>
      </c>
      <c r="J264" s="18" t="inlineStr">
        <is>
          <t>+91 9920264452</t>
        </is>
      </c>
      <c r="K264" s="15" t="inlineStr">
        <is>
          <t>chetan@weekday.works</t>
        </is>
      </c>
      <c r="L264" s="15" t="inlineStr">
        <is>
          <t>&lt;calendly_link&gt;</t>
        </is>
      </c>
      <c r="M264" s="15" t="inlineStr">
        <is>
          <t>Yes</t>
        </is>
      </c>
      <c r="N264" s="15" t="n"/>
      <c r="O264" s="15" t="n"/>
      <c r="P264" s="15" t="n"/>
      <c r="Q264" s="15" t="n"/>
      <c r="R264" s="15">
        <f>IF(OR(O264="Scheduled",Q264="Scheduled"),"SCHEDULED",IF(Q264="Escalate to call","ESCALATED TO CALL",IF(N264="Bad contact","BAD CONTACT",IF(N264="","NOT STARTED","IN PROGRESS"))))</f>
        <v/>
      </c>
      <c r="S264" s="15" t="n"/>
    </row>
    <row r="265">
      <c r="A265" s="15" t="inlineStr">
        <is>
          <t>REQ-0264</t>
        </is>
      </c>
      <c r="B265" s="16" t="n">
        <v>44867.82708333333</v>
      </c>
      <c r="C265" s="16">
        <f>B265+1</f>
        <v/>
      </c>
      <c r="D265" s="17">
        <f>(C265-NOW())*24</f>
        <v/>
      </c>
      <c r="E265" s="15">
        <f>IF(N265="","STEP 1: Send WhatsApp + Email blast now (Playbook M1)",IF(N265="Bad contact","STOP: report bad contact to lead (Playbook)",IF(O265="Scheduled","DONE: scheduled via Calendly",IF(O265="","STEP 2: Check Calendly now",IF(P265="","STEP 3: Send WhatsApp nudge (Playbook M2)",IF(Q265="Scheduled","DONE: scheduled via Calendly",IF(Q265="Escalate to call","HANDED to Shyam (call queue)","STEP 4: Final Calendly check")))))))</f>
        <v/>
      </c>
      <c r="F265" s="16">
        <f>IF(N265="",B265,IF(O265="",B265+2/24,IF(AND(O265="Not yet",P265=""),B265+2/24,IF(Q265="",B265+4/24,""))))</f>
        <v/>
      </c>
      <c r="G265" s="15" t="inlineStr">
        <is>
          <t>Chetan</t>
        </is>
      </c>
      <c r="H265" s="15" t="inlineStr">
        <is>
          <t>Google</t>
        </is>
      </c>
      <c r="I265" s="15" t="inlineStr">
        <is>
          <t>Round1</t>
        </is>
      </c>
      <c r="J265" s="18" t="inlineStr">
        <is>
          <t>+91 9920264452</t>
        </is>
      </c>
      <c r="K265" s="15" t="inlineStr">
        <is>
          <t>chetan@weekday.works</t>
        </is>
      </c>
      <c r="L265" s="15" t="inlineStr">
        <is>
          <t>&lt;calendly_link&gt;</t>
        </is>
      </c>
      <c r="M265" s="15" t="inlineStr">
        <is>
          <t>Yes</t>
        </is>
      </c>
      <c r="N265" s="15" t="n"/>
      <c r="O265" s="15" t="n"/>
      <c r="P265" s="15" t="n"/>
      <c r="Q265" s="15" t="n"/>
      <c r="R265" s="15">
        <f>IF(OR(O265="Scheduled",Q265="Scheduled"),"SCHEDULED",IF(Q265="Escalate to call","ESCALATED TO CALL",IF(N265="Bad contact","BAD CONTACT",IF(N265="","NOT STARTED","IN PROGRESS"))))</f>
        <v/>
      </c>
      <c r="S265" s="15" t="n"/>
    </row>
    <row r="266">
      <c r="A266" s="15" t="inlineStr">
        <is>
          <t>REQ-0265</t>
        </is>
      </c>
      <c r="B266" s="16" t="n">
        <v>44867.82708333333</v>
      </c>
      <c r="C266" s="16">
        <f>B266+1</f>
        <v/>
      </c>
      <c r="D266" s="17">
        <f>(C266-NOW())*24</f>
        <v/>
      </c>
      <c r="E266" s="15">
        <f>IF(N266="","STEP 1: Send WhatsApp + Email blast now (Playbook M1)",IF(N266="Bad contact","STOP: report bad contact to lead (Playbook)",IF(O266="Scheduled","DONE: scheduled via Calendly",IF(O266="","STEP 2: Check Calendly now",IF(P266="","STEP 3: Send WhatsApp nudge (Playbook M2)",IF(Q266="Scheduled","DONE: scheduled via Calendly",IF(Q266="Escalate to call","HANDED to Shyam (call queue)","STEP 4: Final Calendly check")))))))</f>
        <v/>
      </c>
      <c r="F266" s="16">
        <f>IF(N266="",B266,IF(O266="",B266+2/24,IF(AND(O266="Not yet",P266=""),B266+2/24,IF(Q266="",B266+4/24,""))))</f>
        <v/>
      </c>
      <c r="G266" s="15" t="inlineStr">
        <is>
          <t>Chetan</t>
        </is>
      </c>
      <c r="H266" s="15" t="inlineStr">
        <is>
          <t>Google</t>
        </is>
      </c>
      <c r="I266" s="15" t="inlineStr">
        <is>
          <t>Round1</t>
        </is>
      </c>
      <c r="J266" s="18" t="inlineStr">
        <is>
          <t>+91 9920264452</t>
        </is>
      </c>
      <c r="K266" s="15" t="inlineStr">
        <is>
          <t>chetan@weekday.works</t>
        </is>
      </c>
      <c r="L266" s="15" t="inlineStr">
        <is>
          <t>&lt;calendly_link&gt;</t>
        </is>
      </c>
      <c r="M266" s="15" t="inlineStr">
        <is>
          <t>Yes</t>
        </is>
      </c>
      <c r="N266" s="15" t="n"/>
      <c r="O266" s="15" t="n"/>
      <c r="P266" s="15" t="n"/>
      <c r="Q266" s="15" t="n"/>
      <c r="R266" s="15">
        <f>IF(OR(O266="Scheduled",Q266="Scheduled"),"SCHEDULED",IF(Q266="Escalate to call","ESCALATED TO CALL",IF(N266="Bad contact","BAD CONTACT",IF(N266="","NOT STARTED","IN PROGRESS"))))</f>
        <v/>
      </c>
      <c r="S266" s="15" t="n"/>
    </row>
    <row r="267">
      <c r="A267" s="15" t="inlineStr">
        <is>
          <t>REQ-0266</t>
        </is>
      </c>
      <c r="B267" s="16" t="n">
        <v>44867.82708333333</v>
      </c>
      <c r="C267" s="16">
        <f>B267+1</f>
        <v/>
      </c>
      <c r="D267" s="17">
        <f>(C267-NOW())*24</f>
        <v/>
      </c>
      <c r="E267" s="15">
        <f>IF(N267="","STEP 1: Send WhatsApp + Email blast now (Playbook M1)",IF(N267="Bad contact","STOP: report bad contact to lead (Playbook)",IF(O267="Scheduled","DONE: scheduled via Calendly",IF(O267="","STEP 2: Check Calendly now",IF(P267="","STEP 3: Send WhatsApp nudge (Playbook M2)",IF(Q267="Scheduled","DONE: scheduled via Calendly",IF(Q267="Escalate to call","HANDED to Shyam (call queue)","STEP 4: Final Calendly check")))))))</f>
        <v/>
      </c>
      <c r="F267" s="16">
        <f>IF(N267="",B267,IF(O267="",B267+2/24,IF(AND(O267="Not yet",P267=""),B267+2/24,IF(Q267="",B267+4/24,""))))</f>
        <v/>
      </c>
      <c r="G267" s="15" t="inlineStr">
        <is>
          <t>Chetan</t>
        </is>
      </c>
      <c r="H267" s="15" t="inlineStr">
        <is>
          <t>Google</t>
        </is>
      </c>
      <c r="I267" s="15" t="inlineStr">
        <is>
          <t>Round1</t>
        </is>
      </c>
      <c r="J267" s="18" t="inlineStr">
        <is>
          <t>+91 9920264452</t>
        </is>
      </c>
      <c r="K267" s="15" t="inlineStr">
        <is>
          <t>chetan@weekday.works</t>
        </is>
      </c>
      <c r="L267" s="15" t="inlineStr">
        <is>
          <t>&lt;calendly_link&gt;</t>
        </is>
      </c>
      <c r="M267" s="15" t="inlineStr">
        <is>
          <t>Yes</t>
        </is>
      </c>
      <c r="N267" s="15" t="n"/>
      <c r="O267" s="15" t="n"/>
      <c r="P267" s="15" t="n"/>
      <c r="Q267" s="15" t="n"/>
      <c r="R267" s="15">
        <f>IF(OR(O267="Scheduled",Q267="Scheduled"),"SCHEDULED",IF(Q267="Escalate to call","ESCALATED TO CALL",IF(N267="Bad contact","BAD CONTACT",IF(N267="","NOT STARTED","IN PROGRESS"))))</f>
        <v/>
      </c>
      <c r="S267" s="15" t="n"/>
    </row>
    <row r="268">
      <c r="A268" s="15" t="inlineStr">
        <is>
          <t>REQ-0267</t>
        </is>
      </c>
      <c r="B268" s="16" t="n">
        <v>44867.82708333333</v>
      </c>
      <c r="C268" s="16">
        <f>B268+1</f>
        <v/>
      </c>
      <c r="D268" s="17">
        <f>(C268-NOW())*24</f>
        <v/>
      </c>
      <c r="E268" s="15">
        <f>IF(N268="","STEP 1: Send WhatsApp + Email blast now (Playbook M1)",IF(N268="Bad contact","STOP: report bad contact to lead (Playbook)",IF(O268="Scheduled","DONE: scheduled via Calendly",IF(O268="","STEP 2: Check Calendly now",IF(P268="","STEP 3: Send WhatsApp nudge (Playbook M2)",IF(Q268="Scheduled","DONE: scheduled via Calendly",IF(Q268="Escalate to call","HANDED to Shyam (call queue)","STEP 4: Final Calendly check")))))))</f>
        <v/>
      </c>
      <c r="F268" s="16">
        <f>IF(N268="",B268,IF(O268="",B268+2/24,IF(AND(O268="Not yet",P268=""),B268+2/24,IF(Q268="",B268+4/24,""))))</f>
        <v/>
      </c>
      <c r="G268" s="15" t="inlineStr">
        <is>
          <t>Chetan</t>
        </is>
      </c>
      <c r="H268" s="15" t="inlineStr">
        <is>
          <t>Google</t>
        </is>
      </c>
      <c r="I268" s="15" t="inlineStr">
        <is>
          <t>Round1</t>
        </is>
      </c>
      <c r="J268" s="18" t="inlineStr">
        <is>
          <t>+91 9920264452</t>
        </is>
      </c>
      <c r="K268" s="15" t="inlineStr">
        <is>
          <t>chetan@weekday.works</t>
        </is>
      </c>
      <c r="L268" s="15" t="inlineStr">
        <is>
          <t>&lt;calendly_link&gt;</t>
        </is>
      </c>
      <c r="M268" s="15" t="inlineStr">
        <is>
          <t>Yes</t>
        </is>
      </c>
      <c r="N268" s="15" t="n"/>
      <c r="O268" s="15" t="n"/>
      <c r="P268" s="15" t="n"/>
      <c r="Q268" s="15" t="n"/>
      <c r="R268" s="15">
        <f>IF(OR(O268="Scheduled",Q268="Scheduled"),"SCHEDULED",IF(Q268="Escalate to call","ESCALATED TO CALL",IF(N268="Bad contact","BAD CONTACT",IF(N268="","NOT STARTED","IN PROGRESS"))))</f>
        <v/>
      </c>
      <c r="S268" s="15" t="n"/>
    </row>
    <row r="269">
      <c r="A269" s="15" t="inlineStr">
        <is>
          <t>REQ-0268</t>
        </is>
      </c>
      <c r="B269" s="16" t="n">
        <v>44867.82708333333</v>
      </c>
      <c r="C269" s="16">
        <f>B269+1</f>
        <v/>
      </c>
      <c r="D269" s="17">
        <f>(C269-NOW())*24</f>
        <v/>
      </c>
      <c r="E269" s="15">
        <f>IF(N269="","STEP 1: Send WhatsApp + Email blast now (Playbook M1)",IF(N269="Bad contact","STOP: report bad contact to lead (Playbook)",IF(O269="Scheduled","DONE: scheduled via Calendly",IF(O269="","STEP 2: Check Calendly now",IF(P269="","STEP 3: Send WhatsApp nudge (Playbook M2)",IF(Q269="Scheduled","DONE: scheduled via Calendly",IF(Q269="Escalate to call","HANDED to Shyam (call queue)","STEP 4: Final Calendly check")))))))</f>
        <v/>
      </c>
      <c r="F269" s="16">
        <f>IF(N269="",B269,IF(O269="",B269+2/24,IF(AND(O269="Not yet",P269=""),B269+2/24,IF(Q269="",B269+4/24,""))))</f>
        <v/>
      </c>
      <c r="G269" s="15" t="inlineStr">
        <is>
          <t>Chetan</t>
        </is>
      </c>
      <c r="H269" s="15" t="inlineStr">
        <is>
          <t>Google</t>
        </is>
      </c>
      <c r="I269" s="15" t="inlineStr">
        <is>
          <t>Round1</t>
        </is>
      </c>
      <c r="J269" s="18" t="inlineStr">
        <is>
          <t>+91 9920264452</t>
        </is>
      </c>
      <c r="K269" s="15" t="inlineStr">
        <is>
          <t>chetan@weekday.works</t>
        </is>
      </c>
      <c r="L269" s="15" t="inlineStr">
        <is>
          <t>&lt;calendly_link&gt;</t>
        </is>
      </c>
      <c r="M269" s="15" t="inlineStr">
        <is>
          <t>Yes</t>
        </is>
      </c>
      <c r="N269" s="15" t="n"/>
      <c r="O269" s="15" t="n"/>
      <c r="P269" s="15" t="n"/>
      <c r="Q269" s="15" t="n"/>
      <c r="R269" s="15">
        <f>IF(OR(O269="Scheduled",Q269="Scheduled"),"SCHEDULED",IF(Q269="Escalate to call","ESCALATED TO CALL",IF(N269="Bad contact","BAD CONTACT",IF(N269="","NOT STARTED","IN PROGRESS"))))</f>
        <v/>
      </c>
      <c r="S269" s="15" t="n"/>
    </row>
    <row r="270">
      <c r="A270" s="15" t="inlineStr">
        <is>
          <t>REQ-0269</t>
        </is>
      </c>
      <c r="B270" s="16" t="n">
        <v>44867.82708333333</v>
      </c>
      <c r="C270" s="16">
        <f>B270+1</f>
        <v/>
      </c>
      <c r="D270" s="17">
        <f>(C270-NOW())*24</f>
        <v/>
      </c>
      <c r="E270" s="15">
        <f>IF(N270="","STEP 1: Send WhatsApp + Email blast now (Playbook M1)",IF(N270="Bad contact","STOP: report bad contact to lead (Playbook)",IF(O270="Scheduled","DONE: scheduled via Calendly",IF(O270="","STEP 2: Check Calendly now",IF(P270="","STEP 3: Send WhatsApp nudge (Playbook M2)",IF(Q270="Scheduled","DONE: scheduled via Calendly",IF(Q270="Escalate to call","HANDED to Shyam (call queue)","STEP 4: Final Calendly check")))))))</f>
        <v/>
      </c>
      <c r="F270" s="16">
        <f>IF(N270="",B270,IF(O270="",B270+2/24,IF(AND(O270="Not yet",P270=""),B270+2/24,IF(Q270="",B270+4/24,""))))</f>
        <v/>
      </c>
      <c r="G270" s="15" t="inlineStr">
        <is>
          <t>Chetan</t>
        </is>
      </c>
      <c r="H270" s="15" t="inlineStr">
        <is>
          <t>Google</t>
        </is>
      </c>
      <c r="I270" s="15" t="inlineStr">
        <is>
          <t>Round1</t>
        </is>
      </c>
      <c r="J270" s="18" t="inlineStr">
        <is>
          <t>+91 9920264452</t>
        </is>
      </c>
      <c r="K270" s="15" t="inlineStr">
        <is>
          <t>chetan@weekday.works</t>
        </is>
      </c>
      <c r="L270" s="15" t="inlineStr">
        <is>
          <t>&lt;calendly_link&gt;</t>
        </is>
      </c>
      <c r="M270" s="15" t="inlineStr">
        <is>
          <t>Yes</t>
        </is>
      </c>
      <c r="N270" s="15" t="n"/>
      <c r="O270" s="15" t="n"/>
      <c r="P270" s="15" t="n"/>
      <c r="Q270" s="15" t="n"/>
      <c r="R270" s="15">
        <f>IF(OR(O270="Scheduled",Q270="Scheduled"),"SCHEDULED",IF(Q270="Escalate to call","ESCALATED TO CALL",IF(N270="Bad contact","BAD CONTACT",IF(N270="","NOT STARTED","IN PROGRESS"))))</f>
        <v/>
      </c>
      <c r="S270" s="15" t="n"/>
    </row>
    <row r="271">
      <c r="A271" s="15" t="inlineStr">
        <is>
          <t>REQ-0270</t>
        </is>
      </c>
      <c r="B271" s="16" t="n">
        <v>44867.82708333333</v>
      </c>
      <c r="C271" s="16">
        <f>B271+1</f>
        <v/>
      </c>
      <c r="D271" s="17">
        <f>(C271-NOW())*24</f>
        <v/>
      </c>
      <c r="E271" s="15">
        <f>IF(N271="","STEP 1: Send WhatsApp + Email blast now (Playbook M1)",IF(N271="Bad contact","STOP: report bad contact to lead (Playbook)",IF(O271="Scheduled","DONE: scheduled via Calendly",IF(O271="","STEP 2: Check Calendly now",IF(P271="","STEP 3: Send WhatsApp nudge (Playbook M2)",IF(Q271="Scheduled","DONE: scheduled via Calendly",IF(Q271="Escalate to call","HANDED to Shyam (call queue)","STEP 4: Final Calendly check")))))))</f>
        <v/>
      </c>
      <c r="F271" s="16">
        <f>IF(N271="",B271,IF(O271="",B271+2/24,IF(AND(O271="Not yet",P271=""),B271+2/24,IF(Q271="",B271+4/24,""))))</f>
        <v/>
      </c>
      <c r="G271" s="15" t="inlineStr">
        <is>
          <t>Chetan</t>
        </is>
      </c>
      <c r="H271" s="15" t="inlineStr">
        <is>
          <t>Google</t>
        </is>
      </c>
      <c r="I271" s="15" t="inlineStr">
        <is>
          <t>Round1</t>
        </is>
      </c>
      <c r="J271" s="18" t="inlineStr">
        <is>
          <t>+91 9920264452</t>
        </is>
      </c>
      <c r="K271" s="15" t="inlineStr">
        <is>
          <t>chetan@weekday.works</t>
        </is>
      </c>
      <c r="L271" s="15" t="inlineStr">
        <is>
          <t>&lt;calendly_link&gt;</t>
        </is>
      </c>
      <c r="M271" s="15" t="inlineStr">
        <is>
          <t>Yes</t>
        </is>
      </c>
      <c r="N271" s="15" t="n"/>
      <c r="O271" s="15" t="n"/>
      <c r="P271" s="15" t="n"/>
      <c r="Q271" s="15" t="n"/>
      <c r="R271" s="15">
        <f>IF(OR(O271="Scheduled",Q271="Scheduled"),"SCHEDULED",IF(Q271="Escalate to call","ESCALATED TO CALL",IF(N271="Bad contact","BAD CONTACT",IF(N271="","NOT STARTED","IN PROGRESS"))))</f>
        <v/>
      </c>
      <c r="S271" s="15" t="n"/>
    </row>
    <row r="272">
      <c r="A272" s="15" t="inlineStr">
        <is>
          <t>REQ-0271</t>
        </is>
      </c>
      <c r="B272" s="16" t="n">
        <v>44867.82708333333</v>
      </c>
      <c r="C272" s="16">
        <f>B272+1</f>
        <v/>
      </c>
      <c r="D272" s="17">
        <f>(C272-NOW())*24</f>
        <v/>
      </c>
      <c r="E272" s="15">
        <f>IF(N272="","STEP 1: Send WhatsApp + Email blast now (Playbook M1)",IF(N272="Bad contact","STOP: report bad contact to lead (Playbook)",IF(O272="Scheduled","DONE: scheduled via Calendly",IF(O272="","STEP 2: Check Calendly now",IF(P272="","STEP 3: Send WhatsApp nudge (Playbook M2)",IF(Q272="Scheduled","DONE: scheduled via Calendly",IF(Q272="Escalate to call","HANDED to Shyam (call queue)","STEP 4: Final Calendly check")))))))</f>
        <v/>
      </c>
      <c r="F272" s="16">
        <f>IF(N272="",B272,IF(O272="",B272+2/24,IF(AND(O272="Not yet",P272=""),B272+2/24,IF(Q272="",B272+4/24,""))))</f>
        <v/>
      </c>
      <c r="G272" s="15" t="inlineStr">
        <is>
          <t>Chetan</t>
        </is>
      </c>
      <c r="H272" s="15" t="inlineStr">
        <is>
          <t>Google</t>
        </is>
      </c>
      <c r="I272" s="15" t="inlineStr">
        <is>
          <t>Round1</t>
        </is>
      </c>
      <c r="J272" s="18" t="inlineStr">
        <is>
          <t>+91 9920264452</t>
        </is>
      </c>
      <c r="K272" s="15" t="inlineStr">
        <is>
          <t>chetan@weekday.works</t>
        </is>
      </c>
      <c r="L272" s="15" t="inlineStr">
        <is>
          <t>&lt;calendly_link&gt;</t>
        </is>
      </c>
      <c r="M272" s="15" t="inlineStr">
        <is>
          <t>Yes</t>
        </is>
      </c>
      <c r="N272" s="15" t="n"/>
      <c r="O272" s="15" t="n"/>
      <c r="P272" s="15" t="n"/>
      <c r="Q272" s="15" t="n"/>
      <c r="R272" s="15">
        <f>IF(OR(O272="Scheduled",Q272="Scheduled"),"SCHEDULED",IF(Q272="Escalate to call","ESCALATED TO CALL",IF(N272="Bad contact","BAD CONTACT",IF(N272="","NOT STARTED","IN PROGRESS"))))</f>
        <v/>
      </c>
      <c r="S272" s="15" t="n"/>
    </row>
    <row r="273">
      <c r="A273" s="15" t="inlineStr">
        <is>
          <t>REQ-0272</t>
        </is>
      </c>
      <c r="B273" s="16" t="n">
        <v>44867.82708333333</v>
      </c>
      <c r="C273" s="16">
        <f>B273+1</f>
        <v/>
      </c>
      <c r="D273" s="17">
        <f>(C273-NOW())*24</f>
        <v/>
      </c>
      <c r="E273" s="15">
        <f>IF(N273="","STEP 1: Send WhatsApp + Email blast now (Playbook M1)",IF(N273="Bad contact","STOP: report bad contact to lead (Playbook)",IF(O273="Scheduled","DONE: scheduled via Calendly",IF(O273="","STEP 2: Check Calendly now",IF(P273="","STEP 3: Send WhatsApp nudge (Playbook M2)",IF(Q273="Scheduled","DONE: scheduled via Calendly",IF(Q273="Escalate to call","HANDED to Shyam (call queue)","STEP 4: Final Calendly check")))))))</f>
        <v/>
      </c>
      <c r="F273" s="16">
        <f>IF(N273="",B273,IF(O273="",B273+2/24,IF(AND(O273="Not yet",P273=""),B273+2/24,IF(Q273="",B273+4/24,""))))</f>
        <v/>
      </c>
      <c r="G273" s="15" t="inlineStr">
        <is>
          <t>Chetan</t>
        </is>
      </c>
      <c r="H273" s="15" t="inlineStr">
        <is>
          <t>Google</t>
        </is>
      </c>
      <c r="I273" s="15" t="inlineStr">
        <is>
          <t>Round1</t>
        </is>
      </c>
      <c r="J273" s="18" t="inlineStr">
        <is>
          <t>+91 9920264452</t>
        </is>
      </c>
      <c r="K273" s="15" t="inlineStr">
        <is>
          <t>chetan@weekday.works</t>
        </is>
      </c>
      <c r="L273" s="15" t="inlineStr">
        <is>
          <t>&lt;calendly_link&gt;</t>
        </is>
      </c>
      <c r="M273" s="15" t="inlineStr">
        <is>
          <t>Yes</t>
        </is>
      </c>
      <c r="N273" s="15" t="n"/>
      <c r="O273" s="15" t="n"/>
      <c r="P273" s="15" t="n"/>
      <c r="Q273" s="15" t="n"/>
      <c r="R273" s="15">
        <f>IF(OR(O273="Scheduled",Q273="Scheduled"),"SCHEDULED",IF(Q273="Escalate to call","ESCALATED TO CALL",IF(N273="Bad contact","BAD CONTACT",IF(N273="","NOT STARTED","IN PROGRESS"))))</f>
        <v/>
      </c>
      <c r="S273" s="15" t="n"/>
    </row>
    <row r="274">
      <c r="A274" s="15" t="inlineStr">
        <is>
          <t>REQ-0273</t>
        </is>
      </c>
      <c r="B274" s="16" t="n">
        <v>44867.82708333333</v>
      </c>
      <c r="C274" s="16">
        <f>B274+1</f>
        <v/>
      </c>
      <c r="D274" s="17">
        <f>(C274-NOW())*24</f>
        <v/>
      </c>
      <c r="E274" s="15">
        <f>IF(N274="","STEP 1: Send WhatsApp + Email blast now (Playbook M1)",IF(N274="Bad contact","STOP: report bad contact to lead (Playbook)",IF(O274="Scheduled","DONE: scheduled via Calendly",IF(O274="","STEP 2: Check Calendly now",IF(P274="","STEP 3: Send WhatsApp nudge (Playbook M2)",IF(Q274="Scheduled","DONE: scheduled via Calendly",IF(Q274="Escalate to call","HANDED to Shyam (call queue)","STEP 4: Final Calendly check")))))))</f>
        <v/>
      </c>
      <c r="F274" s="16">
        <f>IF(N274="",B274,IF(O274="",B274+2/24,IF(AND(O274="Not yet",P274=""),B274+2/24,IF(Q274="",B274+4/24,""))))</f>
        <v/>
      </c>
      <c r="G274" s="15" t="inlineStr">
        <is>
          <t>Chetan</t>
        </is>
      </c>
      <c r="H274" s="15" t="inlineStr">
        <is>
          <t>Google</t>
        </is>
      </c>
      <c r="I274" s="15" t="inlineStr">
        <is>
          <t>Round1</t>
        </is>
      </c>
      <c r="J274" s="18" t="inlineStr">
        <is>
          <t>+91 9920264452</t>
        </is>
      </c>
      <c r="K274" s="15" t="inlineStr">
        <is>
          <t>chetan@weekday.works</t>
        </is>
      </c>
      <c r="L274" s="15" t="inlineStr">
        <is>
          <t>&lt;calendly_link&gt;</t>
        </is>
      </c>
      <c r="M274" s="15" t="inlineStr">
        <is>
          <t>Yes</t>
        </is>
      </c>
      <c r="N274" s="15" t="n"/>
      <c r="O274" s="15" t="n"/>
      <c r="P274" s="15" t="n"/>
      <c r="Q274" s="15" t="n"/>
      <c r="R274" s="15">
        <f>IF(OR(O274="Scheduled",Q274="Scheduled"),"SCHEDULED",IF(Q274="Escalate to call","ESCALATED TO CALL",IF(N274="Bad contact","BAD CONTACT",IF(N274="","NOT STARTED","IN PROGRESS"))))</f>
        <v/>
      </c>
      <c r="S274" s="15" t="n"/>
    </row>
    <row r="275">
      <c r="A275" s="15" t="inlineStr">
        <is>
          <t>REQ-0274</t>
        </is>
      </c>
      <c r="B275" s="16" t="n">
        <v>44867.82708333333</v>
      </c>
      <c r="C275" s="16">
        <f>B275+1</f>
        <v/>
      </c>
      <c r="D275" s="17">
        <f>(C275-NOW())*24</f>
        <v/>
      </c>
      <c r="E275" s="15">
        <f>IF(N275="","STEP 1: Send WhatsApp + Email blast now (Playbook M1)",IF(N275="Bad contact","STOP: report bad contact to lead (Playbook)",IF(O275="Scheduled","DONE: scheduled via Calendly",IF(O275="","STEP 2: Check Calendly now",IF(P275="","STEP 3: Send WhatsApp nudge (Playbook M2)",IF(Q275="Scheduled","DONE: scheduled via Calendly",IF(Q275="Escalate to call","HANDED to Shyam (call queue)","STEP 4: Final Calendly check")))))))</f>
        <v/>
      </c>
      <c r="F275" s="16">
        <f>IF(N275="",B275,IF(O275="",B275+2/24,IF(AND(O275="Not yet",P275=""),B275+2/24,IF(Q275="",B275+4/24,""))))</f>
        <v/>
      </c>
      <c r="G275" s="15" t="inlineStr">
        <is>
          <t>Chetan</t>
        </is>
      </c>
      <c r="H275" s="15" t="inlineStr">
        <is>
          <t>Google</t>
        </is>
      </c>
      <c r="I275" s="15" t="inlineStr">
        <is>
          <t>Round1</t>
        </is>
      </c>
      <c r="J275" s="18" t="inlineStr">
        <is>
          <t>+91 9920264452</t>
        </is>
      </c>
      <c r="K275" s="15" t="inlineStr">
        <is>
          <t>chetan@weekday.works</t>
        </is>
      </c>
      <c r="L275" s="15" t="inlineStr">
        <is>
          <t>&lt;calendly_link&gt;</t>
        </is>
      </c>
      <c r="M275" s="15" t="inlineStr">
        <is>
          <t>Yes</t>
        </is>
      </c>
      <c r="N275" s="15" t="n"/>
      <c r="O275" s="15" t="n"/>
      <c r="P275" s="15" t="n"/>
      <c r="Q275" s="15" t="n"/>
      <c r="R275" s="15">
        <f>IF(OR(O275="Scheduled",Q275="Scheduled"),"SCHEDULED",IF(Q275="Escalate to call","ESCALATED TO CALL",IF(N275="Bad contact","BAD CONTACT",IF(N275="","NOT STARTED","IN PROGRESS"))))</f>
        <v/>
      </c>
      <c r="S275" s="15" t="n"/>
    </row>
    <row r="276">
      <c r="A276" s="15" t="inlineStr">
        <is>
          <t>REQ-0275</t>
        </is>
      </c>
      <c r="B276" s="16" t="n">
        <v>44867.82708333333</v>
      </c>
      <c r="C276" s="16">
        <f>B276+1</f>
        <v/>
      </c>
      <c r="D276" s="17">
        <f>(C276-NOW())*24</f>
        <v/>
      </c>
      <c r="E276" s="15">
        <f>IF(N276="","STEP 1: Send WhatsApp + Email blast now (Playbook M1)",IF(N276="Bad contact","STOP: report bad contact to lead (Playbook)",IF(O276="Scheduled","DONE: scheduled via Calendly",IF(O276="","STEP 2: Check Calendly now",IF(P276="","STEP 3: Send WhatsApp nudge (Playbook M2)",IF(Q276="Scheduled","DONE: scheduled via Calendly",IF(Q276="Escalate to call","HANDED to Shyam (call queue)","STEP 4: Final Calendly check")))))))</f>
        <v/>
      </c>
      <c r="F276" s="16">
        <f>IF(N276="",B276,IF(O276="",B276+2/24,IF(AND(O276="Not yet",P276=""),B276+2/24,IF(Q276="",B276+4/24,""))))</f>
        <v/>
      </c>
      <c r="G276" s="15" t="inlineStr">
        <is>
          <t>Chetan</t>
        </is>
      </c>
      <c r="H276" s="15" t="inlineStr">
        <is>
          <t>Google</t>
        </is>
      </c>
      <c r="I276" s="15" t="inlineStr">
        <is>
          <t>Round1</t>
        </is>
      </c>
      <c r="J276" s="18" t="inlineStr">
        <is>
          <t>+91 9920264452</t>
        </is>
      </c>
      <c r="K276" s="15" t="inlineStr">
        <is>
          <t>chetan@weekday.works</t>
        </is>
      </c>
      <c r="L276" s="15" t="inlineStr">
        <is>
          <t>&lt;calendly_link&gt;</t>
        </is>
      </c>
      <c r="M276" s="15" t="inlineStr">
        <is>
          <t>Yes</t>
        </is>
      </c>
      <c r="N276" s="15" t="n"/>
      <c r="O276" s="15" t="n"/>
      <c r="P276" s="15" t="n"/>
      <c r="Q276" s="15" t="n"/>
      <c r="R276" s="15">
        <f>IF(OR(O276="Scheduled",Q276="Scheduled"),"SCHEDULED",IF(Q276="Escalate to call","ESCALATED TO CALL",IF(N276="Bad contact","BAD CONTACT",IF(N276="","NOT STARTED","IN PROGRESS"))))</f>
        <v/>
      </c>
      <c r="S276" s="15" t="n"/>
    </row>
    <row r="277">
      <c r="A277" s="15" t="inlineStr">
        <is>
          <t>REQ-0276</t>
        </is>
      </c>
      <c r="B277" s="16" t="n">
        <v>44867.82708333333</v>
      </c>
      <c r="C277" s="16">
        <f>B277+1</f>
        <v/>
      </c>
      <c r="D277" s="17">
        <f>(C277-NOW())*24</f>
        <v/>
      </c>
      <c r="E277" s="15">
        <f>IF(N277="","STEP 1: Send WhatsApp + Email blast now (Playbook M1)",IF(N277="Bad contact","STOP: report bad contact to lead (Playbook)",IF(O277="Scheduled","DONE: scheduled via Calendly",IF(O277="","STEP 2: Check Calendly now",IF(P277="","STEP 3: Send WhatsApp nudge (Playbook M2)",IF(Q277="Scheduled","DONE: scheduled via Calendly",IF(Q277="Escalate to call","HANDED to Shyam (call queue)","STEP 4: Final Calendly check")))))))</f>
        <v/>
      </c>
      <c r="F277" s="16">
        <f>IF(N277="",B277,IF(O277="",B277+2/24,IF(AND(O277="Not yet",P277=""),B277+2/24,IF(Q277="",B277+4/24,""))))</f>
        <v/>
      </c>
      <c r="G277" s="15" t="inlineStr">
        <is>
          <t>Chetan</t>
        </is>
      </c>
      <c r="H277" s="15" t="inlineStr">
        <is>
          <t>Google</t>
        </is>
      </c>
      <c r="I277" s="15" t="inlineStr">
        <is>
          <t>Round1</t>
        </is>
      </c>
      <c r="J277" s="18" t="inlineStr">
        <is>
          <t>+91 9920264452</t>
        </is>
      </c>
      <c r="K277" s="15" t="inlineStr">
        <is>
          <t>chetan@weekday.works</t>
        </is>
      </c>
      <c r="L277" s="15" t="inlineStr">
        <is>
          <t>&lt;calendly_link&gt;</t>
        </is>
      </c>
      <c r="M277" s="15" t="inlineStr">
        <is>
          <t>Yes</t>
        </is>
      </c>
      <c r="N277" s="15" t="n"/>
      <c r="O277" s="15" t="n"/>
      <c r="P277" s="15" t="n"/>
      <c r="Q277" s="15" t="n"/>
      <c r="R277" s="15">
        <f>IF(OR(O277="Scheduled",Q277="Scheduled"),"SCHEDULED",IF(Q277="Escalate to call","ESCALATED TO CALL",IF(N277="Bad contact","BAD CONTACT",IF(N277="","NOT STARTED","IN PROGRESS"))))</f>
        <v/>
      </c>
      <c r="S277" s="15" t="n"/>
    </row>
    <row r="278">
      <c r="A278" s="15" t="inlineStr">
        <is>
          <t>REQ-0277</t>
        </is>
      </c>
      <c r="B278" s="16" t="n">
        <v>44867.82708333333</v>
      </c>
      <c r="C278" s="16">
        <f>B278+1</f>
        <v/>
      </c>
      <c r="D278" s="17">
        <f>(C278-NOW())*24</f>
        <v/>
      </c>
      <c r="E278" s="15">
        <f>IF(N278="","STEP 1: Send WhatsApp + Email blast now (Playbook M1)",IF(N278="Bad contact","STOP: report bad contact to lead (Playbook)",IF(O278="Scheduled","DONE: scheduled via Calendly",IF(O278="","STEP 2: Check Calendly now",IF(P278="","STEP 3: Send WhatsApp nudge (Playbook M2)",IF(Q278="Scheduled","DONE: scheduled via Calendly",IF(Q278="Escalate to call","HANDED to Shyam (call queue)","STEP 4: Final Calendly check")))))))</f>
        <v/>
      </c>
      <c r="F278" s="16">
        <f>IF(N278="",B278,IF(O278="",B278+2/24,IF(AND(O278="Not yet",P278=""),B278+2/24,IF(Q278="",B278+4/24,""))))</f>
        <v/>
      </c>
      <c r="G278" s="15" t="inlineStr">
        <is>
          <t>Chetan</t>
        </is>
      </c>
      <c r="H278" s="15" t="inlineStr">
        <is>
          <t>Google</t>
        </is>
      </c>
      <c r="I278" s="15" t="inlineStr">
        <is>
          <t>Round1</t>
        </is>
      </c>
      <c r="J278" s="18" t="inlineStr">
        <is>
          <t>+91 9920264452</t>
        </is>
      </c>
      <c r="K278" s="15" t="inlineStr">
        <is>
          <t>chetan@weekday.works</t>
        </is>
      </c>
      <c r="L278" s="15" t="inlineStr">
        <is>
          <t>&lt;calendly_link&gt;</t>
        </is>
      </c>
      <c r="M278" s="15" t="inlineStr">
        <is>
          <t>Yes</t>
        </is>
      </c>
      <c r="N278" s="15" t="n"/>
      <c r="O278" s="15" t="n"/>
      <c r="P278" s="15" t="n"/>
      <c r="Q278" s="15" t="n"/>
      <c r="R278" s="15">
        <f>IF(OR(O278="Scheduled",Q278="Scheduled"),"SCHEDULED",IF(Q278="Escalate to call","ESCALATED TO CALL",IF(N278="Bad contact","BAD CONTACT",IF(N278="","NOT STARTED","IN PROGRESS"))))</f>
        <v/>
      </c>
      <c r="S278" s="15" t="n"/>
    </row>
    <row r="279">
      <c r="A279" s="15" t="inlineStr">
        <is>
          <t>REQ-0278</t>
        </is>
      </c>
      <c r="B279" s="16" t="n">
        <v>44867.82708333333</v>
      </c>
      <c r="C279" s="16">
        <f>B279+1</f>
        <v/>
      </c>
      <c r="D279" s="17">
        <f>(C279-NOW())*24</f>
        <v/>
      </c>
      <c r="E279" s="15">
        <f>IF(N279="","STEP 1: Send WhatsApp + Email blast now (Playbook M1)",IF(N279="Bad contact","STOP: report bad contact to lead (Playbook)",IF(O279="Scheduled","DONE: scheduled via Calendly",IF(O279="","STEP 2: Check Calendly now",IF(P279="","STEP 3: Send WhatsApp nudge (Playbook M2)",IF(Q279="Scheduled","DONE: scheduled via Calendly",IF(Q279="Escalate to call","HANDED to Shyam (call queue)","STEP 4: Final Calendly check")))))))</f>
        <v/>
      </c>
      <c r="F279" s="16">
        <f>IF(N279="",B279,IF(O279="",B279+2/24,IF(AND(O279="Not yet",P279=""),B279+2/24,IF(Q279="",B279+4/24,""))))</f>
        <v/>
      </c>
      <c r="G279" s="15" t="inlineStr">
        <is>
          <t>Chetan</t>
        </is>
      </c>
      <c r="H279" s="15" t="inlineStr">
        <is>
          <t>Google</t>
        </is>
      </c>
      <c r="I279" s="15" t="inlineStr">
        <is>
          <t>Round1</t>
        </is>
      </c>
      <c r="J279" s="18" t="inlineStr">
        <is>
          <t>+91 9920264452</t>
        </is>
      </c>
      <c r="K279" s="15" t="inlineStr">
        <is>
          <t>chetan@weekday.works</t>
        </is>
      </c>
      <c r="L279" s="15" t="inlineStr">
        <is>
          <t>&lt;calendly_link&gt;</t>
        </is>
      </c>
      <c r="M279" s="15" t="inlineStr">
        <is>
          <t>Yes</t>
        </is>
      </c>
      <c r="N279" s="15" t="n"/>
      <c r="O279" s="15" t="n"/>
      <c r="P279" s="15" t="n"/>
      <c r="Q279" s="15" t="n"/>
      <c r="R279" s="15">
        <f>IF(OR(O279="Scheduled",Q279="Scheduled"),"SCHEDULED",IF(Q279="Escalate to call","ESCALATED TO CALL",IF(N279="Bad contact","BAD CONTACT",IF(N279="","NOT STARTED","IN PROGRESS"))))</f>
        <v/>
      </c>
      <c r="S279" s="15" t="n"/>
    </row>
    <row r="280">
      <c r="A280" s="15" t="inlineStr">
        <is>
          <t>REQ-0279</t>
        </is>
      </c>
      <c r="B280" s="16" t="n">
        <v>44867.82708333333</v>
      </c>
      <c r="C280" s="16">
        <f>B280+1</f>
        <v/>
      </c>
      <c r="D280" s="17">
        <f>(C280-NOW())*24</f>
        <v/>
      </c>
      <c r="E280" s="15">
        <f>IF(N280="","STEP 1: Send WhatsApp + Email blast now (Playbook M1)",IF(N280="Bad contact","STOP: report bad contact to lead (Playbook)",IF(O280="Scheduled","DONE: scheduled via Calendly",IF(O280="","STEP 2: Check Calendly now",IF(P280="","STEP 3: Send WhatsApp nudge (Playbook M2)",IF(Q280="Scheduled","DONE: scheduled via Calendly",IF(Q280="Escalate to call","HANDED to Shyam (call queue)","STEP 4: Final Calendly check")))))))</f>
        <v/>
      </c>
      <c r="F280" s="16">
        <f>IF(N280="",B280,IF(O280="",B280+2/24,IF(AND(O280="Not yet",P280=""),B280+2/24,IF(Q280="",B280+4/24,""))))</f>
        <v/>
      </c>
      <c r="G280" s="15" t="inlineStr">
        <is>
          <t>Chetan</t>
        </is>
      </c>
      <c r="H280" s="15" t="inlineStr">
        <is>
          <t>Google</t>
        </is>
      </c>
      <c r="I280" s="15" t="inlineStr">
        <is>
          <t>Round1</t>
        </is>
      </c>
      <c r="J280" s="18" t="inlineStr">
        <is>
          <t>+91 9920264452</t>
        </is>
      </c>
      <c r="K280" s="15" t="inlineStr">
        <is>
          <t>chetan@weekday.works</t>
        </is>
      </c>
      <c r="L280" s="15" t="inlineStr">
        <is>
          <t>&lt;calendly_link&gt;</t>
        </is>
      </c>
      <c r="M280" s="15" t="inlineStr">
        <is>
          <t>Yes</t>
        </is>
      </c>
      <c r="N280" s="15" t="n"/>
      <c r="O280" s="15" t="n"/>
      <c r="P280" s="15" t="n"/>
      <c r="Q280" s="15" t="n"/>
      <c r="R280" s="15">
        <f>IF(OR(O280="Scheduled",Q280="Scheduled"),"SCHEDULED",IF(Q280="Escalate to call","ESCALATED TO CALL",IF(N280="Bad contact","BAD CONTACT",IF(N280="","NOT STARTED","IN PROGRESS"))))</f>
        <v/>
      </c>
      <c r="S280" s="15" t="n"/>
    </row>
    <row r="281">
      <c r="A281" s="15" t="inlineStr">
        <is>
          <t>REQ-0280</t>
        </is>
      </c>
      <c r="B281" s="16" t="n">
        <v>44867.82708333333</v>
      </c>
      <c r="C281" s="16">
        <f>B281+1</f>
        <v/>
      </c>
      <c r="D281" s="17">
        <f>(C281-NOW())*24</f>
        <v/>
      </c>
      <c r="E281" s="15">
        <f>IF(N281="","STEP 1: Send WhatsApp + Email blast now (Playbook M1)",IF(N281="Bad contact","STOP: report bad contact to lead (Playbook)",IF(O281="Scheduled","DONE: scheduled via Calendly",IF(O281="","STEP 2: Check Calendly now",IF(P281="","STEP 3: Send WhatsApp nudge (Playbook M2)",IF(Q281="Scheduled","DONE: scheduled via Calendly",IF(Q281="Escalate to call","HANDED to Shyam (call queue)","STEP 4: Final Calendly check")))))))</f>
        <v/>
      </c>
      <c r="F281" s="16">
        <f>IF(N281="",B281,IF(O281="",B281+2/24,IF(AND(O281="Not yet",P281=""),B281+2/24,IF(Q281="",B281+4/24,""))))</f>
        <v/>
      </c>
      <c r="G281" s="15" t="inlineStr">
        <is>
          <t>Chetan</t>
        </is>
      </c>
      <c r="H281" s="15" t="inlineStr">
        <is>
          <t>Google</t>
        </is>
      </c>
      <c r="I281" s="15" t="inlineStr">
        <is>
          <t>Round1</t>
        </is>
      </c>
      <c r="J281" s="18" t="inlineStr">
        <is>
          <t>+91 9920264452</t>
        </is>
      </c>
      <c r="K281" s="15" t="inlineStr">
        <is>
          <t>chetan@weekday.works</t>
        </is>
      </c>
      <c r="L281" s="15" t="inlineStr">
        <is>
          <t>&lt;calendly_link&gt;</t>
        </is>
      </c>
      <c r="M281" s="15" t="inlineStr">
        <is>
          <t>Yes</t>
        </is>
      </c>
      <c r="N281" s="15" t="n"/>
      <c r="O281" s="15" t="n"/>
      <c r="P281" s="15" t="n"/>
      <c r="Q281" s="15" t="n"/>
      <c r="R281" s="15">
        <f>IF(OR(O281="Scheduled",Q281="Scheduled"),"SCHEDULED",IF(Q281="Escalate to call","ESCALATED TO CALL",IF(N281="Bad contact","BAD CONTACT",IF(N281="","NOT STARTED","IN PROGRESS"))))</f>
        <v/>
      </c>
      <c r="S281" s="15" t="n"/>
    </row>
    <row r="282">
      <c r="A282" s="15" t="inlineStr">
        <is>
          <t>REQ-0281</t>
        </is>
      </c>
      <c r="B282" s="16" t="n">
        <v>44867.82708333333</v>
      </c>
      <c r="C282" s="16">
        <f>B282+1</f>
        <v/>
      </c>
      <c r="D282" s="17">
        <f>(C282-NOW())*24</f>
        <v/>
      </c>
      <c r="E282" s="15">
        <f>IF(N282="","STEP 1: Send WhatsApp + Email blast now (Playbook M1)",IF(N282="Bad contact","STOP: report bad contact to lead (Playbook)",IF(O282="Scheduled","DONE: scheduled via Calendly",IF(O282="","STEP 2: Check Calendly now",IF(P282="","STEP 3: Send WhatsApp nudge (Playbook M2)",IF(Q282="Scheduled","DONE: scheduled via Calendly",IF(Q282="Escalate to call","HANDED to Shyam (call queue)","STEP 4: Final Calendly check")))))))</f>
        <v/>
      </c>
      <c r="F282" s="16">
        <f>IF(N282="",B282,IF(O282="",B282+2/24,IF(AND(O282="Not yet",P282=""),B282+2/24,IF(Q282="",B282+4/24,""))))</f>
        <v/>
      </c>
      <c r="G282" s="15" t="inlineStr">
        <is>
          <t>Chetan</t>
        </is>
      </c>
      <c r="H282" s="15" t="inlineStr">
        <is>
          <t>Google</t>
        </is>
      </c>
      <c r="I282" s="15" t="inlineStr">
        <is>
          <t>Round1</t>
        </is>
      </c>
      <c r="J282" s="18" t="inlineStr">
        <is>
          <t>+91 9920264452</t>
        </is>
      </c>
      <c r="K282" s="15" t="inlineStr">
        <is>
          <t>chetan@weekday.works</t>
        </is>
      </c>
      <c r="L282" s="15" t="inlineStr">
        <is>
          <t>&lt;calendly_link&gt;</t>
        </is>
      </c>
      <c r="M282" s="15" t="inlineStr">
        <is>
          <t>Yes</t>
        </is>
      </c>
      <c r="N282" s="15" t="n"/>
      <c r="O282" s="15" t="n"/>
      <c r="P282" s="15" t="n"/>
      <c r="Q282" s="15" t="n"/>
      <c r="R282" s="15">
        <f>IF(OR(O282="Scheduled",Q282="Scheduled"),"SCHEDULED",IF(Q282="Escalate to call","ESCALATED TO CALL",IF(N282="Bad contact","BAD CONTACT",IF(N282="","NOT STARTED","IN PROGRESS"))))</f>
        <v/>
      </c>
      <c r="S282" s="15" t="n"/>
    </row>
    <row r="283">
      <c r="A283" s="15" t="inlineStr">
        <is>
          <t>REQ-0282</t>
        </is>
      </c>
      <c r="B283" s="16" t="n">
        <v>44867.82708333333</v>
      </c>
      <c r="C283" s="16">
        <f>B283+1</f>
        <v/>
      </c>
      <c r="D283" s="17">
        <f>(C283-NOW())*24</f>
        <v/>
      </c>
      <c r="E283" s="15">
        <f>IF(N283="","STEP 1: Send WhatsApp + Email blast now (Playbook M1)",IF(N283="Bad contact","STOP: report bad contact to lead (Playbook)",IF(O283="Scheduled","DONE: scheduled via Calendly",IF(O283="","STEP 2: Check Calendly now",IF(P283="","STEP 3: Send WhatsApp nudge (Playbook M2)",IF(Q283="Scheduled","DONE: scheduled via Calendly",IF(Q283="Escalate to call","HANDED to Shyam (call queue)","STEP 4: Final Calendly check")))))))</f>
        <v/>
      </c>
      <c r="F283" s="16">
        <f>IF(N283="",B283,IF(O283="",B283+2/24,IF(AND(O283="Not yet",P283=""),B283+2/24,IF(Q283="",B283+4/24,""))))</f>
        <v/>
      </c>
      <c r="G283" s="15" t="inlineStr">
        <is>
          <t>Chetan</t>
        </is>
      </c>
      <c r="H283" s="15" t="inlineStr">
        <is>
          <t>Google</t>
        </is>
      </c>
      <c r="I283" s="15" t="inlineStr">
        <is>
          <t>Round1</t>
        </is>
      </c>
      <c r="J283" s="18" t="inlineStr">
        <is>
          <t>+91 9920264452</t>
        </is>
      </c>
      <c r="K283" s="15" t="inlineStr">
        <is>
          <t>chetan@weekday.works</t>
        </is>
      </c>
      <c r="L283" s="15" t="inlineStr">
        <is>
          <t>&lt;calendly_link&gt;</t>
        </is>
      </c>
      <c r="M283" s="15" t="inlineStr">
        <is>
          <t>Yes</t>
        </is>
      </c>
      <c r="N283" s="15" t="n"/>
      <c r="O283" s="15" t="n"/>
      <c r="P283" s="15" t="n"/>
      <c r="Q283" s="15" t="n"/>
      <c r="R283" s="15">
        <f>IF(OR(O283="Scheduled",Q283="Scheduled"),"SCHEDULED",IF(Q283="Escalate to call","ESCALATED TO CALL",IF(N283="Bad contact","BAD CONTACT",IF(N283="","NOT STARTED","IN PROGRESS"))))</f>
        <v/>
      </c>
      <c r="S283" s="15" t="n"/>
    </row>
    <row r="284">
      <c r="A284" s="15" t="inlineStr">
        <is>
          <t>REQ-0283</t>
        </is>
      </c>
      <c r="B284" s="16" t="n">
        <v>44867.82708333333</v>
      </c>
      <c r="C284" s="16">
        <f>B284+1</f>
        <v/>
      </c>
      <c r="D284" s="17">
        <f>(C284-NOW())*24</f>
        <v/>
      </c>
      <c r="E284" s="15">
        <f>IF(N284="","STEP 1: Send WhatsApp + Email blast now (Playbook M1)",IF(N284="Bad contact","STOP: report bad contact to lead (Playbook)",IF(O284="Scheduled","DONE: scheduled via Calendly",IF(O284="","STEP 2: Check Calendly now",IF(P284="","STEP 3: Send WhatsApp nudge (Playbook M2)",IF(Q284="Scheduled","DONE: scheduled via Calendly",IF(Q284="Escalate to call","HANDED to Shyam (call queue)","STEP 4: Final Calendly check")))))))</f>
        <v/>
      </c>
      <c r="F284" s="16">
        <f>IF(N284="",B284,IF(O284="",B284+2/24,IF(AND(O284="Not yet",P284=""),B284+2/24,IF(Q284="",B284+4/24,""))))</f>
        <v/>
      </c>
      <c r="G284" s="15" t="inlineStr">
        <is>
          <t>Chetan</t>
        </is>
      </c>
      <c r="H284" s="15" t="inlineStr">
        <is>
          <t>Google</t>
        </is>
      </c>
      <c r="I284" s="15" t="inlineStr">
        <is>
          <t>Round1</t>
        </is>
      </c>
      <c r="J284" s="18" t="inlineStr">
        <is>
          <t>+91 9920264452</t>
        </is>
      </c>
      <c r="K284" s="15" t="inlineStr">
        <is>
          <t>chetan@weekday.works</t>
        </is>
      </c>
      <c r="L284" s="15" t="inlineStr">
        <is>
          <t>&lt;calendly_link&gt;</t>
        </is>
      </c>
      <c r="M284" s="15" t="inlineStr">
        <is>
          <t>Yes</t>
        </is>
      </c>
      <c r="N284" s="15" t="n"/>
      <c r="O284" s="15" t="n"/>
      <c r="P284" s="15" t="n"/>
      <c r="Q284" s="15" t="n"/>
      <c r="R284" s="15">
        <f>IF(OR(O284="Scheduled",Q284="Scheduled"),"SCHEDULED",IF(Q284="Escalate to call","ESCALATED TO CALL",IF(N284="Bad contact","BAD CONTACT",IF(N284="","NOT STARTED","IN PROGRESS"))))</f>
        <v/>
      </c>
      <c r="S284" s="15" t="n"/>
    </row>
    <row r="285">
      <c r="A285" s="15" t="inlineStr">
        <is>
          <t>REQ-0284</t>
        </is>
      </c>
      <c r="B285" s="16" t="n">
        <v>44867.82708333333</v>
      </c>
      <c r="C285" s="16">
        <f>B285+1</f>
        <v/>
      </c>
      <c r="D285" s="17">
        <f>(C285-NOW())*24</f>
        <v/>
      </c>
      <c r="E285" s="15">
        <f>IF(N285="","STEP 1: Send WhatsApp + Email blast now (Playbook M1)",IF(N285="Bad contact","STOP: report bad contact to lead (Playbook)",IF(O285="Scheduled","DONE: scheduled via Calendly",IF(O285="","STEP 2: Check Calendly now",IF(P285="","STEP 3: Send WhatsApp nudge (Playbook M2)",IF(Q285="Scheduled","DONE: scheduled via Calendly",IF(Q285="Escalate to call","HANDED to Shyam (call queue)","STEP 4: Final Calendly check")))))))</f>
        <v/>
      </c>
      <c r="F285" s="16">
        <f>IF(N285="",B285,IF(O285="",B285+2/24,IF(AND(O285="Not yet",P285=""),B285+2/24,IF(Q285="",B285+4/24,""))))</f>
        <v/>
      </c>
      <c r="G285" s="15" t="inlineStr">
        <is>
          <t>Chetan</t>
        </is>
      </c>
      <c r="H285" s="15" t="inlineStr">
        <is>
          <t>Google</t>
        </is>
      </c>
      <c r="I285" s="15" t="inlineStr">
        <is>
          <t>Round1</t>
        </is>
      </c>
      <c r="J285" s="18" t="inlineStr">
        <is>
          <t>+91 9920264452</t>
        </is>
      </c>
      <c r="K285" s="15" t="inlineStr">
        <is>
          <t>chetan@weekday.works</t>
        </is>
      </c>
      <c r="L285" s="15" t="inlineStr">
        <is>
          <t>&lt;calendly_link&gt;</t>
        </is>
      </c>
      <c r="M285" s="15" t="inlineStr">
        <is>
          <t>Yes</t>
        </is>
      </c>
      <c r="N285" s="15" t="n"/>
      <c r="O285" s="15" t="n"/>
      <c r="P285" s="15" t="n"/>
      <c r="Q285" s="15" t="n"/>
      <c r="R285" s="15">
        <f>IF(OR(O285="Scheduled",Q285="Scheduled"),"SCHEDULED",IF(Q285="Escalate to call","ESCALATED TO CALL",IF(N285="Bad contact","BAD CONTACT",IF(N285="","NOT STARTED","IN PROGRESS"))))</f>
        <v/>
      </c>
      <c r="S285" s="15" t="n"/>
    </row>
    <row r="286">
      <c r="A286" s="15" t="inlineStr">
        <is>
          <t>REQ-0285</t>
        </is>
      </c>
      <c r="B286" s="16" t="n">
        <v>44867.82708333333</v>
      </c>
      <c r="C286" s="16">
        <f>B286+1</f>
        <v/>
      </c>
      <c r="D286" s="17">
        <f>(C286-NOW())*24</f>
        <v/>
      </c>
      <c r="E286" s="15">
        <f>IF(N286="","STEP 1: Send WhatsApp + Email blast now (Playbook M1)",IF(N286="Bad contact","STOP: report bad contact to lead (Playbook)",IF(O286="Scheduled","DONE: scheduled via Calendly",IF(O286="","STEP 2: Check Calendly now",IF(P286="","STEP 3: Send WhatsApp nudge (Playbook M2)",IF(Q286="Scheduled","DONE: scheduled via Calendly",IF(Q286="Escalate to call","HANDED to Shyam (call queue)","STEP 4: Final Calendly check")))))))</f>
        <v/>
      </c>
      <c r="F286" s="16">
        <f>IF(N286="",B286,IF(O286="",B286+2/24,IF(AND(O286="Not yet",P286=""),B286+2/24,IF(Q286="",B286+4/24,""))))</f>
        <v/>
      </c>
      <c r="G286" s="15" t="inlineStr">
        <is>
          <t>Chetan</t>
        </is>
      </c>
      <c r="H286" s="15" t="inlineStr">
        <is>
          <t>Google</t>
        </is>
      </c>
      <c r="I286" s="15" t="inlineStr">
        <is>
          <t>Round1</t>
        </is>
      </c>
      <c r="J286" s="18" t="inlineStr">
        <is>
          <t>+91 9920264452</t>
        </is>
      </c>
      <c r="K286" s="15" t="inlineStr">
        <is>
          <t>chetan@weekday.works</t>
        </is>
      </c>
      <c r="L286" s="15" t="inlineStr">
        <is>
          <t>&lt;calendly_link&gt;</t>
        </is>
      </c>
      <c r="M286" s="15" t="inlineStr">
        <is>
          <t>Yes</t>
        </is>
      </c>
      <c r="N286" s="15" t="n"/>
      <c r="O286" s="15" t="n"/>
      <c r="P286" s="15" t="n"/>
      <c r="Q286" s="15" t="n"/>
      <c r="R286" s="15">
        <f>IF(OR(O286="Scheduled",Q286="Scheduled"),"SCHEDULED",IF(Q286="Escalate to call","ESCALATED TO CALL",IF(N286="Bad contact","BAD CONTACT",IF(N286="","NOT STARTED","IN PROGRESS"))))</f>
        <v/>
      </c>
      <c r="S286" s="15" t="n"/>
    </row>
    <row r="287">
      <c r="A287" s="15" t="inlineStr">
        <is>
          <t>REQ-0286</t>
        </is>
      </c>
      <c r="B287" s="16" t="n">
        <v>44867.82708333333</v>
      </c>
      <c r="C287" s="16">
        <f>B287+1</f>
        <v/>
      </c>
      <c r="D287" s="17">
        <f>(C287-NOW())*24</f>
        <v/>
      </c>
      <c r="E287" s="15">
        <f>IF(N287="","STEP 1: Send WhatsApp + Email blast now (Playbook M1)",IF(N287="Bad contact","STOP: report bad contact to lead (Playbook)",IF(O287="Scheduled","DONE: scheduled via Calendly",IF(O287="","STEP 2: Check Calendly now",IF(P287="","STEP 3: Send WhatsApp nudge (Playbook M2)",IF(Q287="Scheduled","DONE: scheduled via Calendly",IF(Q287="Escalate to call","HANDED to Shyam (call queue)","STEP 4: Final Calendly check")))))))</f>
        <v/>
      </c>
      <c r="F287" s="16">
        <f>IF(N287="",B287,IF(O287="",B287+2/24,IF(AND(O287="Not yet",P287=""),B287+2/24,IF(Q287="",B287+4/24,""))))</f>
        <v/>
      </c>
      <c r="G287" s="15" t="inlineStr">
        <is>
          <t>Chetan</t>
        </is>
      </c>
      <c r="H287" s="15" t="inlineStr">
        <is>
          <t>Google</t>
        </is>
      </c>
      <c r="I287" s="15" t="inlineStr">
        <is>
          <t>Round1</t>
        </is>
      </c>
      <c r="J287" s="18" t="inlineStr">
        <is>
          <t>+91 9920264452</t>
        </is>
      </c>
      <c r="K287" s="15" t="inlineStr">
        <is>
          <t>chetan@weekday.works</t>
        </is>
      </c>
      <c r="L287" s="15" t="inlineStr">
        <is>
          <t>&lt;calendly_link&gt;</t>
        </is>
      </c>
      <c r="M287" s="15" t="inlineStr">
        <is>
          <t>Yes</t>
        </is>
      </c>
      <c r="N287" s="15" t="n"/>
      <c r="O287" s="15" t="n"/>
      <c r="P287" s="15" t="n"/>
      <c r="Q287" s="15" t="n"/>
      <c r="R287" s="15">
        <f>IF(OR(O287="Scheduled",Q287="Scheduled"),"SCHEDULED",IF(Q287="Escalate to call","ESCALATED TO CALL",IF(N287="Bad contact","BAD CONTACT",IF(N287="","NOT STARTED","IN PROGRESS"))))</f>
        <v/>
      </c>
      <c r="S287" s="15" t="n"/>
    </row>
    <row r="288">
      <c r="A288" s="15" t="inlineStr">
        <is>
          <t>REQ-0287</t>
        </is>
      </c>
      <c r="B288" s="16" t="n">
        <v>44867.82708333333</v>
      </c>
      <c r="C288" s="16">
        <f>B288+1</f>
        <v/>
      </c>
      <c r="D288" s="17">
        <f>(C288-NOW())*24</f>
        <v/>
      </c>
      <c r="E288" s="15">
        <f>IF(N288="","STEP 1: Send WhatsApp + Email blast now (Playbook M1)",IF(N288="Bad contact","STOP: report bad contact to lead (Playbook)",IF(O288="Scheduled","DONE: scheduled via Calendly",IF(O288="","STEP 2: Check Calendly now",IF(P288="","STEP 3: Send WhatsApp nudge (Playbook M2)",IF(Q288="Scheduled","DONE: scheduled via Calendly",IF(Q288="Escalate to call","HANDED to Shyam (call queue)","STEP 4: Final Calendly check")))))))</f>
        <v/>
      </c>
      <c r="F288" s="16">
        <f>IF(N288="",B288,IF(O288="",B288+2/24,IF(AND(O288="Not yet",P288=""),B288+2/24,IF(Q288="",B288+4/24,""))))</f>
        <v/>
      </c>
      <c r="G288" s="15" t="inlineStr">
        <is>
          <t>Chetan</t>
        </is>
      </c>
      <c r="H288" s="15" t="inlineStr">
        <is>
          <t>Google</t>
        </is>
      </c>
      <c r="I288" s="15" t="inlineStr">
        <is>
          <t>Round1</t>
        </is>
      </c>
      <c r="J288" s="18" t="inlineStr">
        <is>
          <t>+91 9920264452</t>
        </is>
      </c>
      <c r="K288" s="15" t="inlineStr">
        <is>
          <t>chetan@weekday.works</t>
        </is>
      </c>
      <c r="L288" s="15" t="inlineStr">
        <is>
          <t>&lt;calendly_link&gt;</t>
        </is>
      </c>
      <c r="M288" s="15" t="inlineStr">
        <is>
          <t>Yes</t>
        </is>
      </c>
      <c r="N288" s="15" t="n"/>
      <c r="O288" s="15" t="n"/>
      <c r="P288" s="15" t="n"/>
      <c r="Q288" s="15" t="n"/>
      <c r="R288" s="15">
        <f>IF(OR(O288="Scheduled",Q288="Scheduled"),"SCHEDULED",IF(Q288="Escalate to call","ESCALATED TO CALL",IF(N288="Bad contact","BAD CONTACT",IF(N288="","NOT STARTED","IN PROGRESS"))))</f>
        <v/>
      </c>
      <c r="S288" s="15" t="n"/>
    </row>
    <row r="289">
      <c r="A289" s="15" t="inlineStr">
        <is>
          <t>REQ-0288</t>
        </is>
      </c>
      <c r="B289" s="16" t="n">
        <v>44867.82708333333</v>
      </c>
      <c r="C289" s="16">
        <f>B289+1</f>
        <v/>
      </c>
      <c r="D289" s="17">
        <f>(C289-NOW())*24</f>
        <v/>
      </c>
      <c r="E289" s="15">
        <f>IF(N289="","STEP 1: Send WhatsApp + Email blast now (Playbook M1)",IF(N289="Bad contact","STOP: report bad contact to lead (Playbook)",IF(O289="Scheduled","DONE: scheduled via Calendly",IF(O289="","STEP 2: Check Calendly now",IF(P289="","STEP 3: Send WhatsApp nudge (Playbook M2)",IF(Q289="Scheduled","DONE: scheduled via Calendly",IF(Q289="Escalate to call","HANDED to Shyam (call queue)","STEP 4: Final Calendly check")))))))</f>
        <v/>
      </c>
      <c r="F289" s="16">
        <f>IF(N289="",B289,IF(O289="",B289+2/24,IF(AND(O289="Not yet",P289=""),B289+2/24,IF(Q289="",B289+4/24,""))))</f>
        <v/>
      </c>
      <c r="G289" s="15" t="inlineStr">
        <is>
          <t>Chetan</t>
        </is>
      </c>
      <c r="H289" s="15" t="inlineStr">
        <is>
          <t>Google</t>
        </is>
      </c>
      <c r="I289" s="15" t="inlineStr">
        <is>
          <t>Round1</t>
        </is>
      </c>
      <c r="J289" s="18" t="inlineStr">
        <is>
          <t>+91 9920264452</t>
        </is>
      </c>
      <c r="K289" s="15" t="inlineStr">
        <is>
          <t>chetan@weekday.works</t>
        </is>
      </c>
      <c r="L289" s="15" t="inlineStr">
        <is>
          <t>&lt;calendly_link&gt;</t>
        </is>
      </c>
      <c r="M289" s="15" t="inlineStr">
        <is>
          <t>Yes</t>
        </is>
      </c>
      <c r="N289" s="15" t="n"/>
      <c r="O289" s="15" t="n"/>
      <c r="P289" s="15" t="n"/>
      <c r="Q289" s="15" t="n"/>
      <c r="R289" s="15">
        <f>IF(OR(O289="Scheduled",Q289="Scheduled"),"SCHEDULED",IF(Q289="Escalate to call","ESCALATED TO CALL",IF(N289="Bad contact","BAD CONTACT",IF(N289="","NOT STARTED","IN PROGRESS"))))</f>
        <v/>
      </c>
      <c r="S289" s="15" t="n"/>
    </row>
    <row r="290">
      <c r="A290" s="15" t="inlineStr">
        <is>
          <t>REQ-0289</t>
        </is>
      </c>
      <c r="B290" s="16" t="n">
        <v>44867.82708333333</v>
      </c>
      <c r="C290" s="16">
        <f>B290+1</f>
        <v/>
      </c>
      <c r="D290" s="17">
        <f>(C290-NOW())*24</f>
        <v/>
      </c>
      <c r="E290" s="15">
        <f>IF(N290="","STEP 1: Send WhatsApp + Email blast now (Playbook M1)",IF(N290="Bad contact","STOP: report bad contact to lead (Playbook)",IF(O290="Scheduled","DONE: scheduled via Calendly",IF(O290="","STEP 2: Check Calendly now",IF(P290="","STEP 3: Send WhatsApp nudge (Playbook M2)",IF(Q290="Scheduled","DONE: scheduled via Calendly",IF(Q290="Escalate to call","HANDED to Shyam (call queue)","STEP 4: Final Calendly check")))))))</f>
        <v/>
      </c>
      <c r="F290" s="16">
        <f>IF(N290="",B290,IF(O290="",B290+2/24,IF(AND(O290="Not yet",P290=""),B290+2/24,IF(Q290="",B290+4/24,""))))</f>
        <v/>
      </c>
      <c r="G290" s="15" t="inlineStr">
        <is>
          <t>Chetan</t>
        </is>
      </c>
      <c r="H290" s="15" t="inlineStr">
        <is>
          <t>Google</t>
        </is>
      </c>
      <c r="I290" s="15" t="inlineStr">
        <is>
          <t>Round1</t>
        </is>
      </c>
      <c r="J290" s="18" t="inlineStr">
        <is>
          <t>+91 9920264452</t>
        </is>
      </c>
      <c r="K290" s="15" t="inlineStr">
        <is>
          <t>chetan@weekday.works</t>
        </is>
      </c>
      <c r="L290" s="15" t="inlineStr">
        <is>
          <t>&lt;calendly_link&gt;</t>
        </is>
      </c>
      <c r="M290" s="15" t="inlineStr">
        <is>
          <t>Yes</t>
        </is>
      </c>
      <c r="N290" s="15" t="n"/>
      <c r="O290" s="15" t="n"/>
      <c r="P290" s="15" t="n"/>
      <c r="Q290" s="15" t="n"/>
      <c r="R290" s="15">
        <f>IF(OR(O290="Scheduled",Q290="Scheduled"),"SCHEDULED",IF(Q290="Escalate to call","ESCALATED TO CALL",IF(N290="Bad contact","BAD CONTACT",IF(N290="","NOT STARTED","IN PROGRESS"))))</f>
        <v/>
      </c>
      <c r="S290" s="15" t="n"/>
    </row>
    <row r="291">
      <c r="A291" s="15" t="inlineStr">
        <is>
          <t>REQ-0290</t>
        </is>
      </c>
      <c r="B291" s="16" t="n">
        <v>44867.82708333333</v>
      </c>
      <c r="C291" s="16">
        <f>B291+1</f>
        <v/>
      </c>
      <c r="D291" s="17">
        <f>(C291-NOW())*24</f>
        <v/>
      </c>
      <c r="E291" s="15">
        <f>IF(N291="","STEP 1: Send WhatsApp + Email blast now (Playbook M1)",IF(N291="Bad contact","STOP: report bad contact to lead (Playbook)",IF(O291="Scheduled","DONE: scheduled via Calendly",IF(O291="","STEP 2: Check Calendly now",IF(P291="","STEP 3: Send WhatsApp nudge (Playbook M2)",IF(Q291="Scheduled","DONE: scheduled via Calendly",IF(Q291="Escalate to call","HANDED to Shyam (call queue)","STEP 4: Final Calendly check")))))))</f>
        <v/>
      </c>
      <c r="F291" s="16">
        <f>IF(N291="",B291,IF(O291="",B291+2/24,IF(AND(O291="Not yet",P291=""),B291+2/24,IF(Q291="",B291+4/24,""))))</f>
        <v/>
      </c>
      <c r="G291" s="15" t="inlineStr">
        <is>
          <t>Chetan</t>
        </is>
      </c>
      <c r="H291" s="15" t="inlineStr">
        <is>
          <t>Google</t>
        </is>
      </c>
      <c r="I291" s="15" t="inlineStr">
        <is>
          <t>Round1</t>
        </is>
      </c>
      <c r="J291" s="18" t="inlineStr">
        <is>
          <t>+91 9920264452</t>
        </is>
      </c>
      <c r="K291" s="15" t="inlineStr">
        <is>
          <t>chetan@weekday.works</t>
        </is>
      </c>
      <c r="L291" s="15" t="inlineStr">
        <is>
          <t>&lt;calendly_link&gt;</t>
        </is>
      </c>
      <c r="M291" s="15" t="inlineStr">
        <is>
          <t>Yes</t>
        </is>
      </c>
      <c r="N291" s="15" t="n"/>
      <c r="O291" s="15" t="n"/>
      <c r="P291" s="15" t="n"/>
      <c r="Q291" s="15" t="n"/>
      <c r="R291" s="15">
        <f>IF(OR(O291="Scheduled",Q291="Scheduled"),"SCHEDULED",IF(Q291="Escalate to call","ESCALATED TO CALL",IF(N291="Bad contact","BAD CONTACT",IF(N291="","NOT STARTED","IN PROGRESS"))))</f>
        <v/>
      </c>
      <c r="S291" s="15" t="n"/>
    </row>
    <row r="292">
      <c r="A292" s="15" t="inlineStr">
        <is>
          <t>REQ-0291</t>
        </is>
      </c>
      <c r="B292" s="16" t="n">
        <v>44867.82708333333</v>
      </c>
      <c r="C292" s="16">
        <f>B292+1</f>
        <v/>
      </c>
      <c r="D292" s="17">
        <f>(C292-NOW())*24</f>
        <v/>
      </c>
      <c r="E292" s="15">
        <f>IF(N292="","STEP 1: Send WhatsApp + Email blast now (Playbook M1)",IF(N292="Bad contact","STOP: report bad contact to lead (Playbook)",IF(O292="Scheduled","DONE: scheduled via Calendly",IF(O292="","STEP 2: Check Calendly now",IF(P292="","STEP 3: Send WhatsApp nudge (Playbook M2)",IF(Q292="Scheduled","DONE: scheduled via Calendly",IF(Q292="Escalate to call","HANDED to Shyam (call queue)","STEP 4: Final Calendly check")))))))</f>
        <v/>
      </c>
      <c r="F292" s="16">
        <f>IF(N292="",B292,IF(O292="",B292+2/24,IF(AND(O292="Not yet",P292=""),B292+2/24,IF(Q292="",B292+4/24,""))))</f>
        <v/>
      </c>
      <c r="G292" s="15" t="inlineStr">
        <is>
          <t>Chetan</t>
        </is>
      </c>
      <c r="H292" s="15" t="inlineStr">
        <is>
          <t>Google</t>
        </is>
      </c>
      <c r="I292" s="15" t="inlineStr">
        <is>
          <t>Round1</t>
        </is>
      </c>
      <c r="J292" s="18" t="inlineStr">
        <is>
          <t>+91 9920264452</t>
        </is>
      </c>
      <c r="K292" s="15" t="inlineStr">
        <is>
          <t>chetan@weekday.works</t>
        </is>
      </c>
      <c r="L292" s="15" t="inlineStr">
        <is>
          <t>&lt;calendly_link&gt;</t>
        </is>
      </c>
      <c r="M292" s="15" t="inlineStr">
        <is>
          <t>Yes</t>
        </is>
      </c>
      <c r="N292" s="15" t="n"/>
      <c r="O292" s="15" t="n"/>
      <c r="P292" s="15" t="n"/>
      <c r="Q292" s="15" t="n"/>
      <c r="R292" s="15">
        <f>IF(OR(O292="Scheduled",Q292="Scheduled"),"SCHEDULED",IF(Q292="Escalate to call","ESCALATED TO CALL",IF(N292="Bad contact","BAD CONTACT",IF(N292="","NOT STARTED","IN PROGRESS"))))</f>
        <v/>
      </c>
      <c r="S292" s="15" t="n"/>
    </row>
    <row r="293">
      <c r="A293" s="15" t="inlineStr">
        <is>
          <t>REQ-0292</t>
        </is>
      </c>
      <c r="B293" s="16" t="n">
        <v>44867.82708333333</v>
      </c>
      <c r="C293" s="16">
        <f>B293+1</f>
        <v/>
      </c>
      <c r="D293" s="17">
        <f>(C293-NOW())*24</f>
        <v/>
      </c>
      <c r="E293" s="15">
        <f>IF(N293="","STEP 1: Send WhatsApp + Email blast now (Playbook M1)",IF(N293="Bad contact","STOP: report bad contact to lead (Playbook)",IF(O293="Scheduled","DONE: scheduled via Calendly",IF(O293="","STEP 2: Check Calendly now",IF(P293="","STEP 3: Send WhatsApp nudge (Playbook M2)",IF(Q293="Scheduled","DONE: scheduled via Calendly",IF(Q293="Escalate to call","HANDED to Shyam (call queue)","STEP 4: Final Calendly check")))))))</f>
        <v/>
      </c>
      <c r="F293" s="16">
        <f>IF(N293="",B293,IF(O293="",B293+2/24,IF(AND(O293="Not yet",P293=""),B293+2/24,IF(Q293="",B293+4/24,""))))</f>
        <v/>
      </c>
      <c r="G293" s="15" t="inlineStr">
        <is>
          <t>Chetan</t>
        </is>
      </c>
      <c r="H293" s="15" t="inlineStr">
        <is>
          <t>Google</t>
        </is>
      </c>
      <c r="I293" s="15" t="inlineStr">
        <is>
          <t>Round1</t>
        </is>
      </c>
      <c r="J293" s="18" t="inlineStr">
        <is>
          <t>+91 9920264452</t>
        </is>
      </c>
      <c r="K293" s="15" t="inlineStr">
        <is>
          <t>chetan@weekday.works</t>
        </is>
      </c>
      <c r="L293" s="15" t="inlineStr">
        <is>
          <t>&lt;calendly_link&gt;</t>
        </is>
      </c>
      <c r="M293" s="15" t="inlineStr">
        <is>
          <t>Yes</t>
        </is>
      </c>
      <c r="N293" s="15" t="n"/>
      <c r="O293" s="15" t="n"/>
      <c r="P293" s="15" t="n"/>
      <c r="Q293" s="15" t="n"/>
      <c r="R293" s="15">
        <f>IF(OR(O293="Scheduled",Q293="Scheduled"),"SCHEDULED",IF(Q293="Escalate to call","ESCALATED TO CALL",IF(N293="Bad contact","BAD CONTACT",IF(N293="","NOT STARTED","IN PROGRESS"))))</f>
        <v/>
      </c>
      <c r="S293" s="15" t="n"/>
    </row>
    <row r="294">
      <c r="A294" s="15" t="inlineStr">
        <is>
          <t>REQ-0293</t>
        </is>
      </c>
      <c r="B294" s="16" t="n">
        <v>44867.82708333333</v>
      </c>
      <c r="C294" s="16">
        <f>B294+1</f>
        <v/>
      </c>
      <c r="D294" s="17">
        <f>(C294-NOW())*24</f>
        <v/>
      </c>
      <c r="E294" s="15">
        <f>IF(N294="","STEP 1: Send WhatsApp + Email blast now (Playbook M1)",IF(N294="Bad contact","STOP: report bad contact to lead (Playbook)",IF(O294="Scheduled","DONE: scheduled via Calendly",IF(O294="","STEP 2: Check Calendly now",IF(P294="","STEP 3: Send WhatsApp nudge (Playbook M2)",IF(Q294="Scheduled","DONE: scheduled via Calendly",IF(Q294="Escalate to call","HANDED to Shyam (call queue)","STEP 4: Final Calendly check")))))))</f>
        <v/>
      </c>
      <c r="F294" s="16">
        <f>IF(N294="",B294,IF(O294="",B294+2/24,IF(AND(O294="Not yet",P294=""),B294+2/24,IF(Q294="",B294+4/24,""))))</f>
        <v/>
      </c>
      <c r="G294" s="15" t="inlineStr">
        <is>
          <t>Chetan</t>
        </is>
      </c>
      <c r="H294" s="15" t="inlineStr">
        <is>
          <t>Google</t>
        </is>
      </c>
      <c r="I294" s="15" t="inlineStr">
        <is>
          <t>Round1</t>
        </is>
      </c>
      <c r="J294" s="18" t="inlineStr">
        <is>
          <t>+91 9920264452</t>
        </is>
      </c>
      <c r="K294" s="15" t="inlineStr">
        <is>
          <t>chetan@weekday.works</t>
        </is>
      </c>
      <c r="L294" s="15" t="inlineStr">
        <is>
          <t>&lt;calendly_link&gt;</t>
        </is>
      </c>
      <c r="M294" s="15" t="inlineStr">
        <is>
          <t>Yes</t>
        </is>
      </c>
      <c r="N294" s="15" t="n"/>
      <c r="O294" s="15" t="n"/>
      <c r="P294" s="15" t="n"/>
      <c r="Q294" s="15" t="n"/>
      <c r="R294" s="15">
        <f>IF(OR(O294="Scheduled",Q294="Scheduled"),"SCHEDULED",IF(Q294="Escalate to call","ESCALATED TO CALL",IF(N294="Bad contact","BAD CONTACT",IF(N294="","NOT STARTED","IN PROGRESS"))))</f>
        <v/>
      </c>
      <c r="S294" s="15" t="n"/>
    </row>
    <row r="295">
      <c r="A295" s="15" t="inlineStr">
        <is>
          <t>REQ-0294</t>
        </is>
      </c>
      <c r="B295" s="16" t="n">
        <v>44867.82708333333</v>
      </c>
      <c r="C295" s="16">
        <f>B295+1</f>
        <v/>
      </c>
      <c r="D295" s="17">
        <f>(C295-NOW())*24</f>
        <v/>
      </c>
      <c r="E295" s="15">
        <f>IF(N295="","STEP 1: Send WhatsApp + Email blast now (Playbook M1)",IF(N295="Bad contact","STOP: report bad contact to lead (Playbook)",IF(O295="Scheduled","DONE: scheduled via Calendly",IF(O295="","STEP 2: Check Calendly now",IF(P295="","STEP 3: Send WhatsApp nudge (Playbook M2)",IF(Q295="Scheduled","DONE: scheduled via Calendly",IF(Q295="Escalate to call","HANDED to Shyam (call queue)","STEP 4: Final Calendly check")))))))</f>
        <v/>
      </c>
      <c r="F295" s="16">
        <f>IF(N295="",B295,IF(O295="",B295+2/24,IF(AND(O295="Not yet",P295=""),B295+2/24,IF(Q295="",B295+4/24,""))))</f>
        <v/>
      </c>
      <c r="G295" s="15" t="inlineStr">
        <is>
          <t>Chetan</t>
        </is>
      </c>
      <c r="H295" s="15" t="inlineStr">
        <is>
          <t>Google</t>
        </is>
      </c>
      <c r="I295" s="15" t="inlineStr">
        <is>
          <t>Round1</t>
        </is>
      </c>
      <c r="J295" s="18" t="inlineStr">
        <is>
          <t>+91 9920264452</t>
        </is>
      </c>
      <c r="K295" s="15" t="inlineStr">
        <is>
          <t>chetan@weekday.works</t>
        </is>
      </c>
      <c r="L295" s="15" t="inlineStr">
        <is>
          <t>&lt;calendly_link&gt;</t>
        </is>
      </c>
      <c r="M295" s="15" t="inlineStr">
        <is>
          <t>Yes</t>
        </is>
      </c>
      <c r="N295" s="15" t="n"/>
      <c r="O295" s="15" t="n"/>
      <c r="P295" s="15" t="n"/>
      <c r="Q295" s="15" t="n"/>
      <c r="R295" s="15">
        <f>IF(OR(O295="Scheduled",Q295="Scheduled"),"SCHEDULED",IF(Q295="Escalate to call","ESCALATED TO CALL",IF(N295="Bad contact","BAD CONTACT",IF(N295="","NOT STARTED","IN PROGRESS"))))</f>
        <v/>
      </c>
      <c r="S295" s="15" t="n"/>
    </row>
    <row r="296">
      <c r="A296" s="15" t="inlineStr">
        <is>
          <t>REQ-0295</t>
        </is>
      </c>
      <c r="B296" s="16" t="n">
        <v>44867.82708333333</v>
      </c>
      <c r="C296" s="16">
        <f>B296+1</f>
        <v/>
      </c>
      <c r="D296" s="17">
        <f>(C296-NOW())*24</f>
        <v/>
      </c>
      <c r="E296" s="15">
        <f>IF(N296="","STEP 1: Send WhatsApp + Email blast now (Playbook M1)",IF(N296="Bad contact","STOP: report bad contact to lead (Playbook)",IF(O296="Scheduled","DONE: scheduled via Calendly",IF(O296="","STEP 2: Check Calendly now",IF(P296="","STEP 3: Send WhatsApp nudge (Playbook M2)",IF(Q296="Scheduled","DONE: scheduled via Calendly",IF(Q296="Escalate to call","HANDED to Shyam (call queue)","STEP 4: Final Calendly check")))))))</f>
        <v/>
      </c>
      <c r="F296" s="16">
        <f>IF(N296="",B296,IF(O296="",B296+2/24,IF(AND(O296="Not yet",P296=""),B296+2/24,IF(Q296="",B296+4/24,""))))</f>
        <v/>
      </c>
      <c r="G296" s="15" t="inlineStr">
        <is>
          <t>Chetan</t>
        </is>
      </c>
      <c r="H296" s="15" t="inlineStr">
        <is>
          <t>Google</t>
        </is>
      </c>
      <c r="I296" s="15" t="inlineStr">
        <is>
          <t>Round1</t>
        </is>
      </c>
      <c r="J296" s="18" t="inlineStr">
        <is>
          <t>+91 9920264452</t>
        </is>
      </c>
      <c r="K296" s="15" t="inlineStr">
        <is>
          <t>chetan@weekday.works</t>
        </is>
      </c>
      <c r="L296" s="15" t="inlineStr">
        <is>
          <t>&lt;calendly_link&gt;</t>
        </is>
      </c>
      <c r="M296" s="15" t="inlineStr">
        <is>
          <t>Yes</t>
        </is>
      </c>
      <c r="N296" s="15" t="n"/>
      <c r="O296" s="15" t="n"/>
      <c r="P296" s="15" t="n"/>
      <c r="Q296" s="15" t="n"/>
      <c r="R296" s="15">
        <f>IF(OR(O296="Scheduled",Q296="Scheduled"),"SCHEDULED",IF(Q296="Escalate to call","ESCALATED TO CALL",IF(N296="Bad contact","BAD CONTACT",IF(N296="","NOT STARTED","IN PROGRESS"))))</f>
        <v/>
      </c>
      <c r="S296" s="15" t="n"/>
    </row>
    <row r="297">
      <c r="A297" s="15" t="inlineStr">
        <is>
          <t>REQ-0296</t>
        </is>
      </c>
      <c r="B297" s="16" t="n">
        <v>44867.82708333333</v>
      </c>
      <c r="C297" s="16">
        <f>B297+1</f>
        <v/>
      </c>
      <c r="D297" s="17">
        <f>(C297-NOW())*24</f>
        <v/>
      </c>
      <c r="E297" s="15">
        <f>IF(N297="","STEP 1: Send WhatsApp + Email blast now (Playbook M1)",IF(N297="Bad contact","STOP: report bad contact to lead (Playbook)",IF(O297="Scheduled","DONE: scheduled via Calendly",IF(O297="","STEP 2: Check Calendly now",IF(P297="","STEP 3: Send WhatsApp nudge (Playbook M2)",IF(Q297="Scheduled","DONE: scheduled via Calendly",IF(Q297="Escalate to call","HANDED to Shyam (call queue)","STEP 4: Final Calendly check")))))))</f>
        <v/>
      </c>
      <c r="F297" s="16">
        <f>IF(N297="",B297,IF(O297="",B297+2/24,IF(AND(O297="Not yet",P297=""),B297+2/24,IF(Q297="",B297+4/24,""))))</f>
        <v/>
      </c>
      <c r="G297" s="15" t="inlineStr">
        <is>
          <t>Chetan</t>
        </is>
      </c>
      <c r="H297" s="15" t="inlineStr">
        <is>
          <t>Google</t>
        </is>
      </c>
      <c r="I297" s="15" t="inlineStr">
        <is>
          <t>Round1</t>
        </is>
      </c>
      <c r="J297" s="18" t="inlineStr">
        <is>
          <t>+91 9920264452</t>
        </is>
      </c>
      <c r="K297" s="15" t="inlineStr">
        <is>
          <t>chetan@weekday.works</t>
        </is>
      </c>
      <c r="L297" s="15" t="inlineStr">
        <is>
          <t>&lt;calendly_link&gt;</t>
        </is>
      </c>
      <c r="M297" s="15" t="inlineStr">
        <is>
          <t>Yes</t>
        </is>
      </c>
      <c r="N297" s="15" t="n"/>
      <c r="O297" s="15" t="n"/>
      <c r="P297" s="15" t="n"/>
      <c r="Q297" s="15" t="n"/>
      <c r="R297" s="15">
        <f>IF(OR(O297="Scheduled",Q297="Scheduled"),"SCHEDULED",IF(Q297="Escalate to call","ESCALATED TO CALL",IF(N297="Bad contact","BAD CONTACT",IF(N297="","NOT STARTED","IN PROGRESS"))))</f>
        <v/>
      </c>
      <c r="S297" s="15" t="n"/>
    </row>
    <row r="298">
      <c r="A298" s="15" t="inlineStr">
        <is>
          <t>REQ-0297</t>
        </is>
      </c>
      <c r="B298" s="16" t="n">
        <v>44867.82708333333</v>
      </c>
      <c r="C298" s="16">
        <f>B298+1</f>
        <v/>
      </c>
      <c r="D298" s="17">
        <f>(C298-NOW())*24</f>
        <v/>
      </c>
      <c r="E298" s="15">
        <f>IF(N298="","STEP 1: Send WhatsApp + Email blast now (Playbook M1)",IF(N298="Bad contact","STOP: report bad contact to lead (Playbook)",IF(O298="Scheduled","DONE: scheduled via Calendly",IF(O298="","STEP 2: Check Calendly now",IF(P298="","STEP 3: Send WhatsApp nudge (Playbook M2)",IF(Q298="Scheduled","DONE: scheduled via Calendly",IF(Q298="Escalate to call","HANDED to Shyam (call queue)","STEP 4: Final Calendly check")))))))</f>
        <v/>
      </c>
      <c r="F298" s="16">
        <f>IF(N298="",B298,IF(O298="",B298+2/24,IF(AND(O298="Not yet",P298=""),B298+2/24,IF(Q298="",B298+4/24,""))))</f>
        <v/>
      </c>
      <c r="G298" s="15" t="inlineStr">
        <is>
          <t>Chetan</t>
        </is>
      </c>
      <c r="H298" s="15" t="inlineStr">
        <is>
          <t>Google</t>
        </is>
      </c>
      <c r="I298" s="15" t="inlineStr">
        <is>
          <t>Round1</t>
        </is>
      </c>
      <c r="J298" s="18" t="inlineStr">
        <is>
          <t>+91 9920264452</t>
        </is>
      </c>
      <c r="K298" s="15" t="inlineStr">
        <is>
          <t>chetan@weekday.works</t>
        </is>
      </c>
      <c r="L298" s="15" t="inlineStr">
        <is>
          <t>&lt;calendly_link&gt;</t>
        </is>
      </c>
      <c r="M298" s="15" t="inlineStr">
        <is>
          <t>Yes</t>
        </is>
      </c>
      <c r="N298" s="15" t="n"/>
      <c r="O298" s="15" t="n"/>
      <c r="P298" s="15" t="n"/>
      <c r="Q298" s="15" t="n"/>
      <c r="R298" s="15">
        <f>IF(OR(O298="Scheduled",Q298="Scheduled"),"SCHEDULED",IF(Q298="Escalate to call","ESCALATED TO CALL",IF(N298="Bad contact","BAD CONTACT",IF(N298="","NOT STARTED","IN PROGRESS"))))</f>
        <v/>
      </c>
      <c r="S298" s="15" t="n"/>
    </row>
    <row r="299">
      <c r="A299" s="15" t="inlineStr">
        <is>
          <t>REQ-0298</t>
        </is>
      </c>
      <c r="B299" s="16" t="n">
        <v>44867.82708333333</v>
      </c>
      <c r="C299" s="16">
        <f>B299+1</f>
        <v/>
      </c>
      <c r="D299" s="17">
        <f>(C299-NOW())*24</f>
        <v/>
      </c>
      <c r="E299" s="15">
        <f>IF(N299="","STEP 1: Send WhatsApp + Email blast now (Playbook M1)",IF(N299="Bad contact","STOP: report bad contact to lead (Playbook)",IF(O299="Scheduled","DONE: scheduled via Calendly",IF(O299="","STEP 2: Check Calendly now",IF(P299="","STEP 3: Send WhatsApp nudge (Playbook M2)",IF(Q299="Scheduled","DONE: scheduled via Calendly",IF(Q299="Escalate to call","HANDED to Shyam (call queue)","STEP 4: Final Calendly check")))))))</f>
        <v/>
      </c>
      <c r="F299" s="16">
        <f>IF(N299="",B299,IF(O299="",B299+2/24,IF(AND(O299="Not yet",P299=""),B299+2/24,IF(Q299="",B299+4/24,""))))</f>
        <v/>
      </c>
      <c r="G299" s="15" t="inlineStr">
        <is>
          <t>Chetan</t>
        </is>
      </c>
      <c r="H299" s="15" t="inlineStr">
        <is>
          <t>Google</t>
        </is>
      </c>
      <c r="I299" s="15" t="inlineStr">
        <is>
          <t>Round1</t>
        </is>
      </c>
      <c r="J299" s="18" t="inlineStr">
        <is>
          <t>+91 9920264452</t>
        </is>
      </c>
      <c r="K299" s="15" t="inlineStr">
        <is>
          <t>chetan@weekday.works</t>
        </is>
      </c>
      <c r="L299" s="15" t="inlineStr">
        <is>
          <t>&lt;calendly_link&gt;</t>
        </is>
      </c>
      <c r="M299" s="15" t="inlineStr">
        <is>
          <t>Yes</t>
        </is>
      </c>
      <c r="N299" s="15" t="n"/>
      <c r="O299" s="15" t="n"/>
      <c r="P299" s="15" t="n"/>
      <c r="Q299" s="15" t="n"/>
      <c r="R299" s="15">
        <f>IF(OR(O299="Scheduled",Q299="Scheduled"),"SCHEDULED",IF(Q299="Escalate to call","ESCALATED TO CALL",IF(N299="Bad contact","BAD CONTACT",IF(N299="","NOT STARTED","IN PROGRESS"))))</f>
        <v/>
      </c>
      <c r="S299" s="15" t="n"/>
    </row>
    <row r="300">
      <c r="A300" s="15" t="inlineStr">
        <is>
          <t>REQ-0299</t>
        </is>
      </c>
      <c r="B300" s="16" t="n">
        <v>44867.82708333333</v>
      </c>
      <c r="C300" s="16">
        <f>B300+1</f>
        <v/>
      </c>
      <c r="D300" s="17">
        <f>(C300-NOW())*24</f>
        <v/>
      </c>
      <c r="E300" s="15">
        <f>IF(N300="","STEP 1: Send WhatsApp + Email blast now (Playbook M1)",IF(N300="Bad contact","STOP: report bad contact to lead (Playbook)",IF(O300="Scheduled","DONE: scheduled via Calendly",IF(O300="","STEP 2: Check Calendly now",IF(P300="","STEP 3: Send WhatsApp nudge (Playbook M2)",IF(Q300="Scheduled","DONE: scheduled via Calendly",IF(Q300="Escalate to call","HANDED to Shyam (call queue)","STEP 4: Final Calendly check")))))))</f>
        <v/>
      </c>
      <c r="F300" s="16">
        <f>IF(N300="",B300,IF(O300="",B300+2/24,IF(AND(O300="Not yet",P300=""),B300+2/24,IF(Q300="",B300+4/24,""))))</f>
        <v/>
      </c>
      <c r="G300" s="15" t="inlineStr">
        <is>
          <t>Chetan</t>
        </is>
      </c>
      <c r="H300" s="15" t="inlineStr">
        <is>
          <t>Google</t>
        </is>
      </c>
      <c r="I300" s="15" t="inlineStr">
        <is>
          <t>Round1</t>
        </is>
      </c>
      <c r="J300" s="18" t="inlineStr">
        <is>
          <t>+91 9920264452</t>
        </is>
      </c>
      <c r="K300" s="15" t="inlineStr">
        <is>
          <t>chetan@weekday.works</t>
        </is>
      </c>
      <c r="L300" s="15" t="inlineStr">
        <is>
          <t>&lt;calendly_link&gt;</t>
        </is>
      </c>
      <c r="M300" s="15" t="inlineStr">
        <is>
          <t>Yes</t>
        </is>
      </c>
      <c r="N300" s="15" t="n"/>
      <c r="O300" s="15" t="n"/>
      <c r="P300" s="15" t="n"/>
      <c r="Q300" s="15" t="n"/>
      <c r="R300" s="15">
        <f>IF(OR(O300="Scheduled",Q300="Scheduled"),"SCHEDULED",IF(Q300="Escalate to call","ESCALATED TO CALL",IF(N300="Bad contact","BAD CONTACT",IF(N300="","NOT STARTED","IN PROGRESS"))))</f>
        <v/>
      </c>
      <c r="S300" s="15" t="n"/>
    </row>
    <row r="301">
      <c r="A301" s="15" t="inlineStr">
        <is>
          <t>REQ-0300</t>
        </is>
      </c>
      <c r="B301" s="16" t="n">
        <v>44867.82708333333</v>
      </c>
      <c r="C301" s="16">
        <f>B301+1</f>
        <v/>
      </c>
      <c r="D301" s="17">
        <f>(C301-NOW())*24</f>
        <v/>
      </c>
      <c r="E301" s="15">
        <f>IF(N301="","STEP 1: Send WhatsApp + Email blast now (Playbook M1)",IF(N301="Bad contact","STOP: report bad contact to lead (Playbook)",IF(O301="Scheduled","DONE: scheduled via Calendly",IF(O301="","STEP 2: Check Calendly now",IF(P301="","STEP 3: Send WhatsApp nudge (Playbook M2)",IF(Q301="Scheduled","DONE: scheduled via Calendly",IF(Q301="Escalate to call","HANDED to Shyam (call queue)","STEP 4: Final Calendly check")))))))</f>
        <v/>
      </c>
      <c r="F301" s="16">
        <f>IF(N301="",B301,IF(O301="",B301+2/24,IF(AND(O301="Not yet",P301=""),B301+2/24,IF(Q301="",B301+4/24,""))))</f>
        <v/>
      </c>
      <c r="G301" s="15" t="inlineStr">
        <is>
          <t>Chetan</t>
        </is>
      </c>
      <c r="H301" s="15" t="inlineStr">
        <is>
          <t>Google</t>
        </is>
      </c>
      <c r="I301" s="15" t="inlineStr">
        <is>
          <t>Round1</t>
        </is>
      </c>
      <c r="J301" s="18" t="inlineStr">
        <is>
          <t>+91 9920264452</t>
        </is>
      </c>
      <c r="K301" s="15" t="inlineStr">
        <is>
          <t>chetan@weekday.works</t>
        </is>
      </c>
      <c r="L301" s="15" t="inlineStr">
        <is>
          <t>&lt;calendly_link&gt;</t>
        </is>
      </c>
      <c r="M301" s="15" t="inlineStr">
        <is>
          <t>Yes</t>
        </is>
      </c>
      <c r="N301" s="15" t="n"/>
      <c r="O301" s="15" t="n"/>
      <c r="P301" s="15" t="n"/>
      <c r="Q301" s="15" t="n"/>
      <c r="R301" s="15">
        <f>IF(OR(O301="Scheduled",Q301="Scheduled"),"SCHEDULED",IF(Q301="Escalate to call","ESCALATED TO CALL",IF(N301="Bad contact","BAD CONTACT",IF(N301="","NOT STARTED","IN PROGRESS"))))</f>
        <v/>
      </c>
      <c r="S301" s="15" t="n"/>
    </row>
    <row r="302">
      <c r="A302" s="15" t="inlineStr">
        <is>
          <t>REQ-0301</t>
        </is>
      </c>
      <c r="B302" s="16" t="n">
        <v>44867.82708333333</v>
      </c>
      <c r="C302" s="16">
        <f>B302+1</f>
        <v/>
      </c>
      <c r="D302" s="17">
        <f>(C302-NOW())*24</f>
        <v/>
      </c>
      <c r="E302" s="15">
        <f>IF(N302="","STEP 1: Send WhatsApp + Email blast now (Playbook M1)",IF(N302="Bad contact","STOP: report bad contact to lead (Playbook)",IF(O302="Scheduled","DONE: scheduled via Calendly",IF(O302="","STEP 2: Check Calendly now",IF(P302="","STEP 3: Send WhatsApp nudge (Playbook M2)",IF(Q302="Scheduled","DONE: scheduled via Calendly",IF(Q302="Escalate to call","HANDED to Shyam (call queue)","STEP 4: Final Calendly check")))))))</f>
        <v/>
      </c>
      <c r="F302" s="16">
        <f>IF(N302="",B302,IF(O302="",B302+2/24,IF(AND(O302="Not yet",P302=""),B302+2/24,IF(Q302="",B302+4/24,""))))</f>
        <v/>
      </c>
      <c r="G302" s="15" t="inlineStr">
        <is>
          <t>Chetan</t>
        </is>
      </c>
      <c r="H302" s="15" t="inlineStr">
        <is>
          <t>Google</t>
        </is>
      </c>
      <c r="I302" s="15" t="inlineStr">
        <is>
          <t>Round1</t>
        </is>
      </c>
      <c r="J302" s="18" t="inlineStr">
        <is>
          <t>+91 9920264452</t>
        </is>
      </c>
      <c r="K302" s="15" t="inlineStr">
        <is>
          <t>chetan@weekday.works</t>
        </is>
      </c>
      <c r="L302" s="15" t="inlineStr">
        <is>
          <t>&lt;calendly_link&gt;</t>
        </is>
      </c>
      <c r="M302" s="15" t="inlineStr">
        <is>
          <t>Yes</t>
        </is>
      </c>
      <c r="N302" s="15" t="n"/>
      <c r="O302" s="15" t="n"/>
      <c r="P302" s="15" t="n"/>
      <c r="Q302" s="15" t="n"/>
      <c r="R302" s="15">
        <f>IF(OR(O302="Scheduled",Q302="Scheduled"),"SCHEDULED",IF(Q302="Escalate to call","ESCALATED TO CALL",IF(N302="Bad contact","BAD CONTACT",IF(N302="","NOT STARTED","IN PROGRESS"))))</f>
        <v/>
      </c>
      <c r="S302" s="15" t="n"/>
    </row>
    <row r="303">
      <c r="A303" s="15" t="inlineStr">
        <is>
          <t>REQ-0302</t>
        </is>
      </c>
      <c r="B303" s="16" t="n">
        <v>44867.82708333333</v>
      </c>
      <c r="C303" s="16">
        <f>B303+1</f>
        <v/>
      </c>
      <c r="D303" s="17">
        <f>(C303-NOW())*24</f>
        <v/>
      </c>
      <c r="E303" s="15">
        <f>IF(N303="","STEP 1: Send WhatsApp + Email blast now (Playbook M1)",IF(N303="Bad contact","STOP: report bad contact to lead (Playbook)",IF(O303="Scheduled","DONE: scheduled via Calendly",IF(O303="","STEP 2: Check Calendly now",IF(P303="","STEP 3: Send WhatsApp nudge (Playbook M2)",IF(Q303="Scheduled","DONE: scheduled via Calendly",IF(Q303="Escalate to call","HANDED to Shyam (call queue)","STEP 4: Final Calendly check")))))))</f>
        <v/>
      </c>
      <c r="F303" s="16">
        <f>IF(N303="",B303,IF(O303="",B303+2/24,IF(AND(O303="Not yet",P303=""),B303+2/24,IF(Q303="",B303+4/24,""))))</f>
        <v/>
      </c>
      <c r="G303" s="15" t="inlineStr">
        <is>
          <t>Chetan</t>
        </is>
      </c>
      <c r="H303" s="15" t="inlineStr">
        <is>
          <t>Google</t>
        </is>
      </c>
      <c r="I303" s="15" t="inlineStr">
        <is>
          <t>Round1</t>
        </is>
      </c>
      <c r="J303" s="18" t="inlineStr">
        <is>
          <t>+91 9920264452</t>
        </is>
      </c>
      <c r="K303" s="15" t="inlineStr">
        <is>
          <t>chetan@weekday.works</t>
        </is>
      </c>
      <c r="L303" s="15" t="inlineStr">
        <is>
          <t>&lt;calendly_link&gt;</t>
        </is>
      </c>
      <c r="M303" s="15" t="inlineStr">
        <is>
          <t>Yes</t>
        </is>
      </c>
      <c r="N303" s="15" t="n"/>
      <c r="O303" s="15" t="n"/>
      <c r="P303" s="15" t="n"/>
      <c r="Q303" s="15" t="n"/>
      <c r="R303" s="15">
        <f>IF(OR(O303="Scheduled",Q303="Scheduled"),"SCHEDULED",IF(Q303="Escalate to call","ESCALATED TO CALL",IF(N303="Bad contact","BAD CONTACT",IF(N303="","NOT STARTED","IN PROGRESS"))))</f>
        <v/>
      </c>
      <c r="S303" s="15" t="n"/>
    </row>
    <row r="304">
      <c r="A304" s="15" t="inlineStr">
        <is>
          <t>REQ-0303</t>
        </is>
      </c>
      <c r="B304" s="16" t="n">
        <v>44867.82708333333</v>
      </c>
      <c r="C304" s="16">
        <f>B304+1</f>
        <v/>
      </c>
      <c r="D304" s="17">
        <f>(C304-NOW())*24</f>
        <v/>
      </c>
      <c r="E304" s="15">
        <f>IF(N304="","STEP 1: Send WhatsApp + Email blast now (Playbook M1)",IF(N304="Bad contact","STOP: report bad contact to lead (Playbook)",IF(O304="Scheduled","DONE: scheduled via Calendly",IF(O304="","STEP 2: Check Calendly now",IF(P304="","STEP 3: Send WhatsApp nudge (Playbook M2)",IF(Q304="Scheduled","DONE: scheduled via Calendly",IF(Q304="Escalate to call","HANDED to Shyam (call queue)","STEP 4: Final Calendly check")))))))</f>
        <v/>
      </c>
      <c r="F304" s="16">
        <f>IF(N304="",B304,IF(O304="",B304+2/24,IF(AND(O304="Not yet",P304=""),B304+2/24,IF(Q304="",B304+4/24,""))))</f>
        <v/>
      </c>
      <c r="G304" s="15" t="inlineStr">
        <is>
          <t>Chetan</t>
        </is>
      </c>
      <c r="H304" s="15" t="inlineStr">
        <is>
          <t>Google</t>
        </is>
      </c>
      <c r="I304" s="15" t="inlineStr">
        <is>
          <t>Round1</t>
        </is>
      </c>
      <c r="J304" s="18" t="inlineStr">
        <is>
          <t>+91 9920264452</t>
        </is>
      </c>
      <c r="K304" s="15" t="inlineStr">
        <is>
          <t>chetan@weekday.works</t>
        </is>
      </c>
      <c r="L304" s="15" t="inlineStr">
        <is>
          <t>&lt;calendly_link&gt;</t>
        </is>
      </c>
      <c r="M304" s="15" t="inlineStr">
        <is>
          <t>Yes</t>
        </is>
      </c>
      <c r="N304" s="15" t="n"/>
      <c r="O304" s="15" t="n"/>
      <c r="P304" s="15" t="n"/>
      <c r="Q304" s="15" t="n"/>
      <c r="R304" s="15">
        <f>IF(OR(O304="Scheduled",Q304="Scheduled"),"SCHEDULED",IF(Q304="Escalate to call","ESCALATED TO CALL",IF(N304="Bad contact","BAD CONTACT",IF(N304="","NOT STARTED","IN PROGRESS"))))</f>
        <v/>
      </c>
      <c r="S304" s="15" t="n"/>
    </row>
    <row r="305">
      <c r="A305" s="15" t="inlineStr">
        <is>
          <t>REQ-0304</t>
        </is>
      </c>
      <c r="B305" s="16" t="n">
        <v>44867.82708333333</v>
      </c>
      <c r="C305" s="16">
        <f>B305+1</f>
        <v/>
      </c>
      <c r="D305" s="17">
        <f>(C305-NOW())*24</f>
        <v/>
      </c>
      <c r="E305" s="15">
        <f>IF(N305="","STEP 1: Send WhatsApp + Email blast now (Playbook M1)",IF(N305="Bad contact","STOP: report bad contact to lead (Playbook)",IF(O305="Scheduled","DONE: scheduled via Calendly",IF(O305="","STEP 2: Check Calendly now",IF(P305="","STEP 3: Send WhatsApp nudge (Playbook M2)",IF(Q305="Scheduled","DONE: scheduled via Calendly",IF(Q305="Escalate to call","HANDED to Shyam (call queue)","STEP 4: Final Calendly check")))))))</f>
        <v/>
      </c>
      <c r="F305" s="16">
        <f>IF(N305="",B305,IF(O305="",B305+2/24,IF(AND(O305="Not yet",P305=""),B305+2/24,IF(Q305="",B305+4/24,""))))</f>
        <v/>
      </c>
      <c r="G305" s="15" t="inlineStr">
        <is>
          <t>Chetan</t>
        </is>
      </c>
      <c r="H305" s="15" t="inlineStr">
        <is>
          <t>Google</t>
        </is>
      </c>
      <c r="I305" s="15" t="inlineStr">
        <is>
          <t>Round1</t>
        </is>
      </c>
      <c r="J305" s="18" t="inlineStr">
        <is>
          <t>+91 9920264452</t>
        </is>
      </c>
      <c r="K305" s="15" t="inlineStr">
        <is>
          <t>chetan@weekday.works</t>
        </is>
      </c>
      <c r="L305" s="15" t="inlineStr">
        <is>
          <t>&lt;calendly_link&gt;</t>
        </is>
      </c>
      <c r="M305" s="15" t="inlineStr">
        <is>
          <t>Yes</t>
        </is>
      </c>
      <c r="N305" s="15" t="n"/>
      <c r="O305" s="15" t="n"/>
      <c r="P305" s="15" t="n"/>
      <c r="Q305" s="15" t="n"/>
      <c r="R305" s="15">
        <f>IF(OR(O305="Scheduled",Q305="Scheduled"),"SCHEDULED",IF(Q305="Escalate to call","ESCALATED TO CALL",IF(N305="Bad contact","BAD CONTACT",IF(N305="","NOT STARTED","IN PROGRESS"))))</f>
        <v/>
      </c>
      <c r="S305" s="15" t="n"/>
    </row>
    <row r="306">
      <c r="A306" s="15" t="inlineStr">
        <is>
          <t>REQ-0305</t>
        </is>
      </c>
      <c r="B306" s="16" t="n">
        <v>44867.82708333333</v>
      </c>
      <c r="C306" s="16">
        <f>B306+1</f>
        <v/>
      </c>
      <c r="D306" s="17">
        <f>(C306-NOW())*24</f>
        <v/>
      </c>
      <c r="E306" s="15">
        <f>IF(N306="","STEP 1: Send WhatsApp + Email blast now (Playbook M1)",IF(N306="Bad contact","STOP: report bad contact to lead (Playbook)",IF(O306="Scheduled","DONE: scheduled via Calendly",IF(O306="","STEP 2: Check Calendly now",IF(P306="","STEP 3: Send WhatsApp nudge (Playbook M2)",IF(Q306="Scheduled","DONE: scheduled via Calendly",IF(Q306="Escalate to call","HANDED to Shyam (call queue)","STEP 4: Final Calendly check")))))))</f>
        <v/>
      </c>
      <c r="F306" s="16">
        <f>IF(N306="",B306,IF(O306="",B306+2/24,IF(AND(O306="Not yet",P306=""),B306+2/24,IF(Q306="",B306+4/24,""))))</f>
        <v/>
      </c>
      <c r="G306" s="15" t="inlineStr">
        <is>
          <t>Chetan</t>
        </is>
      </c>
      <c r="H306" s="15" t="inlineStr">
        <is>
          <t>Google</t>
        </is>
      </c>
      <c r="I306" s="15" t="inlineStr">
        <is>
          <t>Round1</t>
        </is>
      </c>
      <c r="J306" s="18" t="inlineStr">
        <is>
          <t>+91 9920264452</t>
        </is>
      </c>
      <c r="K306" s="15" t="inlineStr">
        <is>
          <t>chetan@weekday.works</t>
        </is>
      </c>
      <c r="L306" s="15" t="inlineStr">
        <is>
          <t>&lt;calendly_link&gt;</t>
        </is>
      </c>
      <c r="M306" s="15" t="inlineStr">
        <is>
          <t>Yes</t>
        </is>
      </c>
      <c r="N306" s="15" t="n"/>
      <c r="O306" s="15" t="n"/>
      <c r="P306" s="15" t="n"/>
      <c r="Q306" s="15" t="n"/>
      <c r="R306" s="15">
        <f>IF(OR(O306="Scheduled",Q306="Scheduled"),"SCHEDULED",IF(Q306="Escalate to call","ESCALATED TO CALL",IF(N306="Bad contact","BAD CONTACT",IF(N306="","NOT STARTED","IN PROGRESS"))))</f>
        <v/>
      </c>
      <c r="S306" s="15" t="n"/>
    </row>
    <row r="307">
      <c r="A307" s="15" t="inlineStr">
        <is>
          <t>REQ-0306</t>
        </is>
      </c>
      <c r="B307" s="16" t="n">
        <v>44867.82708333333</v>
      </c>
      <c r="C307" s="16">
        <f>B307+1</f>
        <v/>
      </c>
      <c r="D307" s="17">
        <f>(C307-NOW())*24</f>
        <v/>
      </c>
      <c r="E307" s="15">
        <f>IF(N307="","STEP 1: Send WhatsApp + Email blast now (Playbook M1)",IF(N307="Bad contact","STOP: report bad contact to lead (Playbook)",IF(O307="Scheduled","DONE: scheduled via Calendly",IF(O307="","STEP 2: Check Calendly now",IF(P307="","STEP 3: Send WhatsApp nudge (Playbook M2)",IF(Q307="Scheduled","DONE: scheduled via Calendly",IF(Q307="Escalate to call","HANDED to Shyam (call queue)","STEP 4: Final Calendly check")))))))</f>
        <v/>
      </c>
      <c r="F307" s="16">
        <f>IF(N307="",B307,IF(O307="",B307+2/24,IF(AND(O307="Not yet",P307=""),B307+2/24,IF(Q307="",B307+4/24,""))))</f>
        <v/>
      </c>
      <c r="G307" s="15" t="inlineStr">
        <is>
          <t>Chetan</t>
        </is>
      </c>
      <c r="H307" s="15" t="inlineStr">
        <is>
          <t>Google</t>
        </is>
      </c>
      <c r="I307" s="15" t="inlineStr">
        <is>
          <t>Round1</t>
        </is>
      </c>
      <c r="J307" s="18" t="inlineStr">
        <is>
          <t>+91 9920264452</t>
        </is>
      </c>
      <c r="K307" s="15" t="inlineStr">
        <is>
          <t>chetan@weekday.works</t>
        </is>
      </c>
      <c r="L307" s="15" t="inlineStr">
        <is>
          <t>&lt;calendly_link&gt;</t>
        </is>
      </c>
      <c r="M307" s="15" t="inlineStr">
        <is>
          <t>Yes</t>
        </is>
      </c>
      <c r="N307" s="15" t="n"/>
      <c r="O307" s="15" t="n"/>
      <c r="P307" s="15" t="n"/>
      <c r="Q307" s="15" t="n"/>
      <c r="R307" s="15">
        <f>IF(OR(O307="Scheduled",Q307="Scheduled"),"SCHEDULED",IF(Q307="Escalate to call","ESCALATED TO CALL",IF(N307="Bad contact","BAD CONTACT",IF(N307="","NOT STARTED","IN PROGRESS"))))</f>
        <v/>
      </c>
      <c r="S307" s="15" t="n"/>
    </row>
    <row r="308">
      <c r="A308" s="15" t="inlineStr">
        <is>
          <t>REQ-0307</t>
        </is>
      </c>
      <c r="B308" s="16" t="n">
        <v>44867.82708333333</v>
      </c>
      <c r="C308" s="16">
        <f>B308+1</f>
        <v/>
      </c>
      <c r="D308" s="17">
        <f>(C308-NOW())*24</f>
        <v/>
      </c>
      <c r="E308" s="15">
        <f>IF(N308="","STEP 1: Send WhatsApp + Email blast now (Playbook M1)",IF(N308="Bad contact","STOP: report bad contact to lead (Playbook)",IF(O308="Scheduled","DONE: scheduled via Calendly",IF(O308="","STEP 2: Check Calendly now",IF(P308="","STEP 3: Send WhatsApp nudge (Playbook M2)",IF(Q308="Scheduled","DONE: scheduled via Calendly",IF(Q308="Escalate to call","HANDED to Shyam (call queue)","STEP 4: Final Calendly check")))))))</f>
        <v/>
      </c>
      <c r="F308" s="16">
        <f>IF(N308="",B308,IF(O308="",B308+2/24,IF(AND(O308="Not yet",P308=""),B308+2/24,IF(Q308="",B308+4/24,""))))</f>
        <v/>
      </c>
      <c r="G308" s="15" t="inlineStr">
        <is>
          <t>Chetan</t>
        </is>
      </c>
      <c r="H308" s="15" t="inlineStr">
        <is>
          <t>Google</t>
        </is>
      </c>
      <c r="I308" s="15" t="inlineStr">
        <is>
          <t>Round1</t>
        </is>
      </c>
      <c r="J308" s="18" t="inlineStr">
        <is>
          <t>+91 9920264452</t>
        </is>
      </c>
      <c r="K308" s="15" t="inlineStr">
        <is>
          <t>chetan@weekday.works</t>
        </is>
      </c>
      <c r="L308" s="15" t="inlineStr">
        <is>
          <t>&lt;calendly_link&gt;</t>
        </is>
      </c>
      <c r="M308" s="15" t="inlineStr">
        <is>
          <t>Yes</t>
        </is>
      </c>
      <c r="N308" s="15" t="n"/>
      <c r="O308" s="15" t="n"/>
      <c r="P308" s="15" t="n"/>
      <c r="Q308" s="15" t="n"/>
      <c r="R308" s="15">
        <f>IF(OR(O308="Scheduled",Q308="Scheduled"),"SCHEDULED",IF(Q308="Escalate to call","ESCALATED TO CALL",IF(N308="Bad contact","BAD CONTACT",IF(N308="","NOT STARTED","IN PROGRESS"))))</f>
        <v/>
      </c>
      <c r="S308" s="15" t="n"/>
    </row>
    <row r="309">
      <c r="A309" s="15" t="inlineStr">
        <is>
          <t>REQ-0308</t>
        </is>
      </c>
      <c r="B309" s="16" t="n">
        <v>44867.82708333333</v>
      </c>
      <c r="C309" s="16">
        <f>B309+1</f>
        <v/>
      </c>
      <c r="D309" s="17">
        <f>(C309-NOW())*24</f>
        <v/>
      </c>
      <c r="E309" s="15">
        <f>IF(N309="","STEP 1: Send WhatsApp + Email blast now (Playbook M1)",IF(N309="Bad contact","STOP: report bad contact to lead (Playbook)",IF(O309="Scheduled","DONE: scheduled via Calendly",IF(O309="","STEP 2: Check Calendly now",IF(P309="","STEP 3: Send WhatsApp nudge (Playbook M2)",IF(Q309="Scheduled","DONE: scheduled via Calendly",IF(Q309="Escalate to call","HANDED to Shyam (call queue)","STEP 4: Final Calendly check")))))))</f>
        <v/>
      </c>
      <c r="F309" s="16">
        <f>IF(N309="",B309,IF(O309="",B309+2/24,IF(AND(O309="Not yet",P309=""),B309+2/24,IF(Q309="",B309+4/24,""))))</f>
        <v/>
      </c>
      <c r="G309" s="15" t="inlineStr">
        <is>
          <t>Chetan</t>
        </is>
      </c>
      <c r="H309" s="15" t="inlineStr">
        <is>
          <t>Google</t>
        </is>
      </c>
      <c r="I309" s="15" t="inlineStr">
        <is>
          <t>Round1</t>
        </is>
      </c>
      <c r="J309" s="18" t="inlineStr">
        <is>
          <t>+91 9920264452</t>
        </is>
      </c>
      <c r="K309" s="15" t="inlineStr">
        <is>
          <t>chetan@weekday.works</t>
        </is>
      </c>
      <c r="L309" s="15" t="inlineStr">
        <is>
          <t>&lt;calendly_link&gt;</t>
        </is>
      </c>
      <c r="M309" s="15" t="inlineStr">
        <is>
          <t>Yes</t>
        </is>
      </c>
      <c r="N309" s="15" t="n"/>
      <c r="O309" s="15" t="n"/>
      <c r="P309" s="15" t="n"/>
      <c r="Q309" s="15" t="n"/>
      <c r="R309" s="15">
        <f>IF(OR(O309="Scheduled",Q309="Scheduled"),"SCHEDULED",IF(Q309="Escalate to call","ESCALATED TO CALL",IF(N309="Bad contact","BAD CONTACT",IF(N309="","NOT STARTED","IN PROGRESS"))))</f>
        <v/>
      </c>
      <c r="S309" s="15" t="n"/>
    </row>
    <row r="310">
      <c r="A310" s="15" t="inlineStr">
        <is>
          <t>REQ-0309</t>
        </is>
      </c>
      <c r="B310" s="16" t="n">
        <v>44867.82708333333</v>
      </c>
      <c r="C310" s="16">
        <f>B310+1</f>
        <v/>
      </c>
      <c r="D310" s="17">
        <f>(C310-NOW())*24</f>
        <v/>
      </c>
      <c r="E310" s="15">
        <f>IF(N310="","STEP 1: Send WhatsApp + Email blast now (Playbook M1)",IF(N310="Bad contact","STOP: report bad contact to lead (Playbook)",IF(O310="Scheduled","DONE: scheduled via Calendly",IF(O310="","STEP 2: Check Calendly now",IF(P310="","STEP 3: Send WhatsApp nudge (Playbook M2)",IF(Q310="Scheduled","DONE: scheduled via Calendly",IF(Q310="Escalate to call","HANDED to Shyam (call queue)","STEP 4: Final Calendly check")))))))</f>
        <v/>
      </c>
      <c r="F310" s="16">
        <f>IF(N310="",B310,IF(O310="",B310+2/24,IF(AND(O310="Not yet",P310=""),B310+2/24,IF(Q310="",B310+4/24,""))))</f>
        <v/>
      </c>
      <c r="G310" s="15" t="inlineStr">
        <is>
          <t>Chetan</t>
        </is>
      </c>
      <c r="H310" s="15" t="inlineStr">
        <is>
          <t>Google</t>
        </is>
      </c>
      <c r="I310" s="15" t="inlineStr">
        <is>
          <t>Round1</t>
        </is>
      </c>
      <c r="J310" s="18" t="inlineStr">
        <is>
          <t>+91 9920264452</t>
        </is>
      </c>
      <c r="K310" s="15" t="inlineStr">
        <is>
          <t>chetan@weekday.works</t>
        </is>
      </c>
      <c r="L310" s="15" t="inlineStr">
        <is>
          <t>&lt;calendly_link&gt;</t>
        </is>
      </c>
      <c r="M310" s="15" t="inlineStr">
        <is>
          <t>Yes</t>
        </is>
      </c>
      <c r="N310" s="15" t="n"/>
      <c r="O310" s="15" t="n"/>
      <c r="P310" s="15" t="n"/>
      <c r="Q310" s="15" t="n"/>
      <c r="R310" s="15">
        <f>IF(OR(O310="Scheduled",Q310="Scheduled"),"SCHEDULED",IF(Q310="Escalate to call","ESCALATED TO CALL",IF(N310="Bad contact","BAD CONTACT",IF(N310="","NOT STARTED","IN PROGRESS"))))</f>
        <v/>
      </c>
      <c r="S310" s="15" t="n"/>
    </row>
    <row r="311">
      <c r="A311" s="15" t="inlineStr">
        <is>
          <t>REQ-0310</t>
        </is>
      </c>
      <c r="B311" s="16" t="n">
        <v>44867.82708333333</v>
      </c>
      <c r="C311" s="16">
        <f>B311+1</f>
        <v/>
      </c>
      <c r="D311" s="17">
        <f>(C311-NOW())*24</f>
        <v/>
      </c>
      <c r="E311" s="15">
        <f>IF(N311="","STEP 1: Send WhatsApp + Email blast now (Playbook M1)",IF(N311="Bad contact","STOP: report bad contact to lead (Playbook)",IF(O311="Scheduled","DONE: scheduled via Calendly",IF(O311="","STEP 2: Check Calendly now",IF(P311="","STEP 3: Send WhatsApp nudge (Playbook M2)",IF(Q311="Scheduled","DONE: scheduled via Calendly",IF(Q311="Escalate to call","HANDED to Shyam (call queue)","STEP 4: Final Calendly check")))))))</f>
        <v/>
      </c>
      <c r="F311" s="16">
        <f>IF(N311="",B311,IF(O311="",B311+2/24,IF(AND(O311="Not yet",P311=""),B311+2/24,IF(Q311="",B311+4/24,""))))</f>
        <v/>
      </c>
      <c r="G311" s="15" t="inlineStr">
        <is>
          <t>Chetan</t>
        </is>
      </c>
      <c r="H311" s="15" t="inlineStr">
        <is>
          <t>Google</t>
        </is>
      </c>
      <c r="I311" s="15" t="inlineStr">
        <is>
          <t>Round1</t>
        </is>
      </c>
      <c r="J311" s="18" t="inlineStr">
        <is>
          <t>+91 9920264452</t>
        </is>
      </c>
      <c r="K311" s="15" t="inlineStr">
        <is>
          <t>chetan@weekday.works</t>
        </is>
      </c>
      <c r="L311" s="15" t="inlineStr">
        <is>
          <t>&lt;calendly_link&gt;</t>
        </is>
      </c>
      <c r="M311" s="15" t="inlineStr">
        <is>
          <t>Yes</t>
        </is>
      </c>
      <c r="N311" s="15" t="n"/>
      <c r="O311" s="15" t="n"/>
      <c r="P311" s="15" t="n"/>
      <c r="Q311" s="15" t="n"/>
      <c r="R311" s="15">
        <f>IF(OR(O311="Scheduled",Q311="Scheduled"),"SCHEDULED",IF(Q311="Escalate to call","ESCALATED TO CALL",IF(N311="Bad contact","BAD CONTACT",IF(N311="","NOT STARTED","IN PROGRESS"))))</f>
        <v/>
      </c>
      <c r="S311" s="15" t="n"/>
    </row>
    <row r="312">
      <c r="A312" s="15" t="inlineStr">
        <is>
          <t>REQ-0311</t>
        </is>
      </c>
      <c r="B312" s="16" t="n">
        <v>44867.82708333333</v>
      </c>
      <c r="C312" s="16">
        <f>B312+1</f>
        <v/>
      </c>
      <c r="D312" s="17">
        <f>(C312-NOW())*24</f>
        <v/>
      </c>
      <c r="E312" s="15">
        <f>IF(N312="","STEP 1: Send WhatsApp + Email blast now (Playbook M1)",IF(N312="Bad contact","STOP: report bad contact to lead (Playbook)",IF(O312="Scheduled","DONE: scheduled via Calendly",IF(O312="","STEP 2: Check Calendly now",IF(P312="","STEP 3: Send WhatsApp nudge (Playbook M2)",IF(Q312="Scheduled","DONE: scheduled via Calendly",IF(Q312="Escalate to call","HANDED to Shyam (call queue)","STEP 4: Final Calendly check")))))))</f>
        <v/>
      </c>
      <c r="F312" s="16">
        <f>IF(N312="",B312,IF(O312="",B312+2/24,IF(AND(O312="Not yet",P312=""),B312+2/24,IF(Q312="",B312+4/24,""))))</f>
        <v/>
      </c>
      <c r="G312" s="15" t="inlineStr">
        <is>
          <t>Chetan</t>
        </is>
      </c>
      <c r="H312" s="15" t="inlineStr">
        <is>
          <t>Google</t>
        </is>
      </c>
      <c r="I312" s="15" t="inlineStr">
        <is>
          <t>Round1</t>
        </is>
      </c>
      <c r="J312" s="18" t="inlineStr">
        <is>
          <t>+91 9920264452</t>
        </is>
      </c>
      <c r="K312" s="15" t="inlineStr">
        <is>
          <t>chetan@weekday.works</t>
        </is>
      </c>
      <c r="L312" s="15" t="inlineStr">
        <is>
          <t>&lt;calendly_link&gt;</t>
        </is>
      </c>
      <c r="M312" s="15" t="inlineStr">
        <is>
          <t>Yes</t>
        </is>
      </c>
      <c r="N312" s="15" t="n"/>
      <c r="O312" s="15" t="n"/>
      <c r="P312" s="15" t="n"/>
      <c r="Q312" s="15" t="n"/>
      <c r="R312" s="15">
        <f>IF(OR(O312="Scheduled",Q312="Scheduled"),"SCHEDULED",IF(Q312="Escalate to call","ESCALATED TO CALL",IF(N312="Bad contact","BAD CONTACT",IF(N312="","NOT STARTED","IN PROGRESS"))))</f>
        <v/>
      </c>
      <c r="S312" s="15" t="n"/>
    </row>
    <row r="313">
      <c r="A313" s="15" t="inlineStr">
        <is>
          <t>REQ-0312</t>
        </is>
      </c>
      <c r="B313" s="16" t="n">
        <v>44867.82708333333</v>
      </c>
      <c r="C313" s="16">
        <f>B313+1</f>
        <v/>
      </c>
      <c r="D313" s="17">
        <f>(C313-NOW())*24</f>
        <v/>
      </c>
      <c r="E313" s="15">
        <f>IF(N313="","STEP 1: Send WhatsApp + Email blast now (Playbook M1)",IF(N313="Bad contact","STOP: report bad contact to lead (Playbook)",IF(O313="Scheduled","DONE: scheduled via Calendly",IF(O313="","STEP 2: Check Calendly now",IF(P313="","STEP 3: Send WhatsApp nudge (Playbook M2)",IF(Q313="Scheduled","DONE: scheduled via Calendly",IF(Q313="Escalate to call","HANDED to Shyam (call queue)","STEP 4: Final Calendly check")))))))</f>
        <v/>
      </c>
      <c r="F313" s="16">
        <f>IF(N313="",B313,IF(O313="",B313+2/24,IF(AND(O313="Not yet",P313=""),B313+2/24,IF(Q313="",B313+4/24,""))))</f>
        <v/>
      </c>
      <c r="G313" s="15" t="inlineStr">
        <is>
          <t>Chetan</t>
        </is>
      </c>
      <c r="H313" s="15" t="inlineStr">
        <is>
          <t>Google</t>
        </is>
      </c>
      <c r="I313" s="15" t="inlineStr">
        <is>
          <t>Round1</t>
        </is>
      </c>
      <c r="J313" s="18" t="inlineStr">
        <is>
          <t>+91 9920264452</t>
        </is>
      </c>
      <c r="K313" s="15" t="inlineStr">
        <is>
          <t>chetan@weekday.works</t>
        </is>
      </c>
      <c r="L313" s="15" t="inlineStr">
        <is>
          <t>&lt;calendly_link&gt;</t>
        </is>
      </c>
      <c r="M313" s="15" t="inlineStr">
        <is>
          <t>Yes</t>
        </is>
      </c>
      <c r="N313" s="15" t="n"/>
      <c r="O313" s="15" t="n"/>
      <c r="P313" s="15" t="n"/>
      <c r="Q313" s="15" t="n"/>
      <c r="R313" s="15">
        <f>IF(OR(O313="Scheduled",Q313="Scheduled"),"SCHEDULED",IF(Q313="Escalate to call","ESCALATED TO CALL",IF(N313="Bad contact","BAD CONTACT",IF(N313="","NOT STARTED","IN PROGRESS"))))</f>
        <v/>
      </c>
      <c r="S313" s="15" t="n"/>
    </row>
    <row r="314">
      <c r="A314" s="15" t="inlineStr">
        <is>
          <t>REQ-0313</t>
        </is>
      </c>
      <c r="B314" s="16" t="n">
        <v>44867.82708333333</v>
      </c>
      <c r="C314" s="16">
        <f>B314+1</f>
        <v/>
      </c>
      <c r="D314" s="17">
        <f>(C314-NOW())*24</f>
        <v/>
      </c>
      <c r="E314" s="15">
        <f>IF(N314="","STEP 1: Send WhatsApp + Email blast now (Playbook M1)",IF(N314="Bad contact","STOP: report bad contact to lead (Playbook)",IF(O314="Scheduled","DONE: scheduled via Calendly",IF(O314="","STEP 2: Check Calendly now",IF(P314="","STEP 3: Send WhatsApp nudge (Playbook M2)",IF(Q314="Scheduled","DONE: scheduled via Calendly",IF(Q314="Escalate to call","HANDED to Shyam (call queue)","STEP 4: Final Calendly check")))))))</f>
        <v/>
      </c>
      <c r="F314" s="16">
        <f>IF(N314="",B314,IF(O314="",B314+2/24,IF(AND(O314="Not yet",P314=""),B314+2/24,IF(Q314="",B314+4/24,""))))</f>
        <v/>
      </c>
      <c r="G314" s="15" t="inlineStr">
        <is>
          <t>Chetan</t>
        </is>
      </c>
      <c r="H314" s="15" t="inlineStr">
        <is>
          <t>Google</t>
        </is>
      </c>
      <c r="I314" s="15" t="inlineStr">
        <is>
          <t>Round1</t>
        </is>
      </c>
      <c r="J314" s="18" t="inlineStr">
        <is>
          <t>+91 9920264452</t>
        </is>
      </c>
      <c r="K314" s="15" t="inlineStr">
        <is>
          <t>chetan@weekday.works</t>
        </is>
      </c>
      <c r="L314" s="15" t="inlineStr">
        <is>
          <t>&lt;calendly_link&gt;</t>
        </is>
      </c>
      <c r="M314" s="15" t="inlineStr">
        <is>
          <t>Yes</t>
        </is>
      </c>
      <c r="N314" s="15" t="n"/>
      <c r="O314" s="15" t="n"/>
      <c r="P314" s="15" t="n"/>
      <c r="Q314" s="15" t="n"/>
      <c r="R314" s="15">
        <f>IF(OR(O314="Scheduled",Q314="Scheduled"),"SCHEDULED",IF(Q314="Escalate to call","ESCALATED TO CALL",IF(N314="Bad contact","BAD CONTACT",IF(N314="","NOT STARTED","IN PROGRESS"))))</f>
        <v/>
      </c>
      <c r="S314" s="15" t="n"/>
    </row>
    <row r="315">
      <c r="A315" s="15" t="inlineStr">
        <is>
          <t>REQ-0314</t>
        </is>
      </c>
      <c r="B315" s="16" t="n">
        <v>44867.82708333333</v>
      </c>
      <c r="C315" s="16">
        <f>B315+1</f>
        <v/>
      </c>
      <c r="D315" s="17">
        <f>(C315-NOW())*24</f>
        <v/>
      </c>
      <c r="E315" s="15">
        <f>IF(N315="","STEP 1: Send WhatsApp + Email blast now (Playbook M1)",IF(N315="Bad contact","STOP: report bad contact to lead (Playbook)",IF(O315="Scheduled","DONE: scheduled via Calendly",IF(O315="","STEP 2: Check Calendly now",IF(P315="","STEP 3: Send WhatsApp nudge (Playbook M2)",IF(Q315="Scheduled","DONE: scheduled via Calendly",IF(Q315="Escalate to call","HANDED to Shyam (call queue)","STEP 4: Final Calendly check")))))))</f>
        <v/>
      </c>
      <c r="F315" s="16">
        <f>IF(N315="",B315,IF(O315="",B315+2/24,IF(AND(O315="Not yet",P315=""),B315+2/24,IF(Q315="",B315+4/24,""))))</f>
        <v/>
      </c>
      <c r="G315" s="15" t="inlineStr">
        <is>
          <t>Chetan</t>
        </is>
      </c>
      <c r="H315" s="15" t="inlineStr">
        <is>
          <t>Google</t>
        </is>
      </c>
      <c r="I315" s="15" t="inlineStr">
        <is>
          <t>Round1</t>
        </is>
      </c>
      <c r="J315" s="18" t="inlineStr">
        <is>
          <t>+91 9920264452</t>
        </is>
      </c>
      <c r="K315" s="15" t="inlineStr">
        <is>
          <t>chetan@weekday.works</t>
        </is>
      </c>
      <c r="L315" s="15" t="inlineStr">
        <is>
          <t>&lt;calendly_link&gt;</t>
        </is>
      </c>
      <c r="M315" s="15" t="inlineStr">
        <is>
          <t>Yes</t>
        </is>
      </c>
      <c r="N315" s="15" t="n"/>
      <c r="O315" s="15" t="n"/>
      <c r="P315" s="15" t="n"/>
      <c r="Q315" s="15" t="n"/>
      <c r="R315" s="15">
        <f>IF(OR(O315="Scheduled",Q315="Scheduled"),"SCHEDULED",IF(Q315="Escalate to call","ESCALATED TO CALL",IF(N315="Bad contact","BAD CONTACT",IF(N315="","NOT STARTED","IN PROGRESS"))))</f>
        <v/>
      </c>
      <c r="S315" s="15" t="n"/>
    </row>
    <row r="316">
      <c r="A316" s="15" t="inlineStr">
        <is>
          <t>REQ-0315</t>
        </is>
      </c>
      <c r="B316" s="16" t="n">
        <v>44867.82708333333</v>
      </c>
      <c r="C316" s="16">
        <f>B316+1</f>
        <v/>
      </c>
      <c r="D316" s="17">
        <f>(C316-NOW())*24</f>
        <v/>
      </c>
      <c r="E316" s="15">
        <f>IF(N316="","STEP 1: Send WhatsApp + Email blast now (Playbook M1)",IF(N316="Bad contact","STOP: report bad contact to lead (Playbook)",IF(O316="Scheduled","DONE: scheduled via Calendly",IF(O316="","STEP 2: Check Calendly now",IF(P316="","STEP 3: Send WhatsApp nudge (Playbook M2)",IF(Q316="Scheduled","DONE: scheduled via Calendly",IF(Q316="Escalate to call","HANDED to Shyam (call queue)","STEP 4: Final Calendly check")))))))</f>
        <v/>
      </c>
      <c r="F316" s="16">
        <f>IF(N316="",B316,IF(O316="",B316+2/24,IF(AND(O316="Not yet",P316=""),B316+2/24,IF(Q316="",B316+4/24,""))))</f>
        <v/>
      </c>
      <c r="G316" s="15" t="inlineStr">
        <is>
          <t>Chetan</t>
        </is>
      </c>
      <c r="H316" s="15" t="inlineStr">
        <is>
          <t>Google</t>
        </is>
      </c>
      <c r="I316" s="15" t="inlineStr">
        <is>
          <t>Round1</t>
        </is>
      </c>
      <c r="J316" s="18" t="inlineStr">
        <is>
          <t>+91 9920264452</t>
        </is>
      </c>
      <c r="K316" s="15" t="inlineStr">
        <is>
          <t>chetan@weekday.works</t>
        </is>
      </c>
      <c r="L316" s="15" t="inlineStr">
        <is>
          <t>&lt;calendly_link&gt;</t>
        </is>
      </c>
      <c r="M316" s="15" t="inlineStr">
        <is>
          <t>Yes</t>
        </is>
      </c>
      <c r="N316" s="15" t="n"/>
      <c r="O316" s="15" t="n"/>
      <c r="P316" s="15" t="n"/>
      <c r="Q316" s="15" t="n"/>
      <c r="R316" s="15">
        <f>IF(OR(O316="Scheduled",Q316="Scheduled"),"SCHEDULED",IF(Q316="Escalate to call","ESCALATED TO CALL",IF(N316="Bad contact","BAD CONTACT",IF(N316="","NOT STARTED","IN PROGRESS"))))</f>
        <v/>
      </c>
      <c r="S316" s="15" t="n"/>
    </row>
    <row r="317">
      <c r="A317" s="15" t="inlineStr">
        <is>
          <t>REQ-0316</t>
        </is>
      </c>
      <c r="B317" s="16" t="n">
        <v>44867.82708333333</v>
      </c>
      <c r="C317" s="16">
        <f>B317+1</f>
        <v/>
      </c>
      <c r="D317" s="17">
        <f>(C317-NOW())*24</f>
        <v/>
      </c>
      <c r="E317" s="15">
        <f>IF(N317="","STEP 1: Send WhatsApp + Email blast now (Playbook M1)",IF(N317="Bad contact","STOP: report bad contact to lead (Playbook)",IF(O317="Scheduled","DONE: scheduled via Calendly",IF(O317="","STEP 2: Check Calendly now",IF(P317="","STEP 3: Send WhatsApp nudge (Playbook M2)",IF(Q317="Scheduled","DONE: scheduled via Calendly",IF(Q317="Escalate to call","HANDED to Shyam (call queue)","STEP 4: Final Calendly check")))))))</f>
        <v/>
      </c>
      <c r="F317" s="16">
        <f>IF(N317="",B317,IF(O317="",B317+2/24,IF(AND(O317="Not yet",P317=""),B317+2/24,IF(Q317="",B317+4/24,""))))</f>
        <v/>
      </c>
      <c r="G317" s="15" t="inlineStr">
        <is>
          <t>Chetan</t>
        </is>
      </c>
      <c r="H317" s="15" t="inlineStr">
        <is>
          <t>Google</t>
        </is>
      </c>
      <c r="I317" s="15" t="inlineStr">
        <is>
          <t>Round1</t>
        </is>
      </c>
      <c r="J317" s="18" t="inlineStr">
        <is>
          <t>+91 9920264452</t>
        </is>
      </c>
      <c r="K317" s="15" t="inlineStr">
        <is>
          <t>chetan@weekday.works</t>
        </is>
      </c>
      <c r="L317" s="15" t="inlineStr">
        <is>
          <t>&lt;calendly_link&gt;</t>
        </is>
      </c>
      <c r="M317" s="15" t="inlineStr">
        <is>
          <t>Yes</t>
        </is>
      </c>
      <c r="N317" s="15" t="n"/>
      <c r="O317" s="15" t="n"/>
      <c r="P317" s="15" t="n"/>
      <c r="Q317" s="15" t="n"/>
      <c r="R317" s="15">
        <f>IF(OR(O317="Scheduled",Q317="Scheduled"),"SCHEDULED",IF(Q317="Escalate to call","ESCALATED TO CALL",IF(N317="Bad contact","BAD CONTACT",IF(N317="","NOT STARTED","IN PROGRESS"))))</f>
        <v/>
      </c>
      <c r="S317" s="15" t="n"/>
    </row>
    <row r="318">
      <c r="A318" s="15" t="inlineStr">
        <is>
          <t>REQ-0317</t>
        </is>
      </c>
      <c r="B318" s="16" t="n">
        <v>44867.82708333333</v>
      </c>
      <c r="C318" s="16">
        <f>B318+1</f>
        <v/>
      </c>
      <c r="D318" s="17">
        <f>(C318-NOW())*24</f>
        <v/>
      </c>
      <c r="E318" s="15">
        <f>IF(N318="","STEP 1: Send WhatsApp + Email blast now (Playbook M1)",IF(N318="Bad contact","STOP: report bad contact to lead (Playbook)",IF(O318="Scheduled","DONE: scheduled via Calendly",IF(O318="","STEP 2: Check Calendly now",IF(P318="","STEP 3: Send WhatsApp nudge (Playbook M2)",IF(Q318="Scheduled","DONE: scheduled via Calendly",IF(Q318="Escalate to call","HANDED to Shyam (call queue)","STEP 4: Final Calendly check")))))))</f>
        <v/>
      </c>
      <c r="F318" s="16">
        <f>IF(N318="",B318,IF(O318="",B318+2/24,IF(AND(O318="Not yet",P318=""),B318+2/24,IF(Q318="",B318+4/24,""))))</f>
        <v/>
      </c>
      <c r="G318" s="15" t="inlineStr">
        <is>
          <t>Chetan</t>
        </is>
      </c>
      <c r="H318" s="15" t="inlineStr">
        <is>
          <t>Google</t>
        </is>
      </c>
      <c r="I318" s="15" t="inlineStr">
        <is>
          <t>Round1</t>
        </is>
      </c>
      <c r="J318" s="18" t="inlineStr">
        <is>
          <t>+91 9920264452</t>
        </is>
      </c>
      <c r="K318" s="15" t="inlineStr">
        <is>
          <t>chetan@weekday.works</t>
        </is>
      </c>
      <c r="L318" s="15" t="inlineStr">
        <is>
          <t>&lt;calendly_link&gt;</t>
        </is>
      </c>
      <c r="M318" s="15" t="inlineStr">
        <is>
          <t>Yes</t>
        </is>
      </c>
      <c r="N318" s="15" t="n"/>
      <c r="O318" s="15" t="n"/>
      <c r="P318" s="15" t="n"/>
      <c r="Q318" s="15" t="n"/>
      <c r="R318" s="15">
        <f>IF(OR(O318="Scheduled",Q318="Scheduled"),"SCHEDULED",IF(Q318="Escalate to call","ESCALATED TO CALL",IF(N318="Bad contact","BAD CONTACT",IF(N318="","NOT STARTED","IN PROGRESS"))))</f>
        <v/>
      </c>
      <c r="S318" s="15" t="n"/>
    </row>
    <row r="319">
      <c r="A319" s="15" t="inlineStr">
        <is>
          <t>REQ-0318</t>
        </is>
      </c>
      <c r="B319" s="16" t="n">
        <v>44867.82708333333</v>
      </c>
      <c r="C319" s="16">
        <f>B319+1</f>
        <v/>
      </c>
      <c r="D319" s="17">
        <f>(C319-NOW())*24</f>
        <v/>
      </c>
      <c r="E319" s="15">
        <f>IF(N319="","STEP 1: Send WhatsApp + Email blast now (Playbook M1)",IF(N319="Bad contact","STOP: report bad contact to lead (Playbook)",IF(O319="Scheduled","DONE: scheduled via Calendly",IF(O319="","STEP 2: Check Calendly now",IF(P319="","STEP 3: Send WhatsApp nudge (Playbook M2)",IF(Q319="Scheduled","DONE: scheduled via Calendly",IF(Q319="Escalate to call","HANDED to Shyam (call queue)","STEP 4: Final Calendly check")))))))</f>
        <v/>
      </c>
      <c r="F319" s="16">
        <f>IF(N319="",B319,IF(O319="",B319+2/24,IF(AND(O319="Not yet",P319=""),B319+2/24,IF(Q319="",B319+4/24,""))))</f>
        <v/>
      </c>
      <c r="G319" s="15" t="inlineStr">
        <is>
          <t>Chetan</t>
        </is>
      </c>
      <c r="H319" s="15" t="inlineStr">
        <is>
          <t>Google</t>
        </is>
      </c>
      <c r="I319" s="15" t="inlineStr">
        <is>
          <t>Round1</t>
        </is>
      </c>
      <c r="J319" s="18" t="inlineStr">
        <is>
          <t>+91 9920264452</t>
        </is>
      </c>
      <c r="K319" s="15" t="inlineStr">
        <is>
          <t>chetan@weekday.works</t>
        </is>
      </c>
      <c r="L319" s="15" t="inlineStr">
        <is>
          <t>&lt;calendly_link&gt;</t>
        </is>
      </c>
      <c r="M319" s="15" t="inlineStr">
        <is>
          <t>Yes</t>
        </is>
      </c>
      <c r="N319" s="15" t="n"/>
      <c r="O319" s="15" t="n"/>
      <c r="P319" s="15" t="n"/>
      <c r="Q319" s="15" t="n"/>
      <c r="R319" s="15">
        <f>IF(OR(O319="Scheduled",Q319="Scheduled"),"SCHEDULED",IF(Q319="Escalate to call","ESCALATED TO CALL",IF(N319="Bad contact","BAD CONTACT",IF(N319="","NOT STARTED","IN PROGRESS"))))</f>
        <v/>
      </c>
      <c r="S319" s="15" t="n"/>
    </row>
    <row r="320">
      <c r="A320" s="15" t="inlineStr">
        <is>
          <t>REQ-0319</t>
        </is>
      </c>
      <c r="B320" s="16" t="n">
        <v>44867.82708333333</v>
      </c>
      <c r="C320" s="16">
        <f>B320+1</f>
        <v/>
      </c>
      <c r="D320" s="17">
        <f>(C320-NOW())*24</f>
        <v/>
      </c>
      <c r="E320" s="15">
        <f>IF(N320="","STEP 1: Send WhatsApp + Email blast now (Playbook M1)",IF(N320="Bad contact","STOP: report bad contact to lead (Playbook)",IF(O320="Scheduled","DONE: scheduled via Calendly",IF(O320="","STEP 2: Check Calendly now",IF(P320="","STEP 3: Send WhatsApp nudge (Playbook M2)",IF(Q320="Scheduled","DONE: scheduled via Calendly",IF(Q320="Escalate to call","HANDED to Shyam (call queue)","STEP 4: Final Calendly check")))))))</f>
        <v/>
      </c>
      <c r="F320" s="16">
        <f>IF(N320="",B320,IF(O320="",B320+2/24,IF(AND(O320="Not yet",P320=""),B320+2/24,IF(Q320="",B320+4/24,""))))</f>
        <v/>
      </c>
      <c r="G320" s="15" t="inlineStr">
        <is>
          <t>Chetan</t>
        </is>
      </c>
      <c r="H320" s="15" t="inlineStr">
        <is>
          <t>Google</t>
        </is>
      </c>
      <c r="I320" s="15" t="inlineStr">
        <is>
          <t>Round1</t>
        </is>
      </c>
      <c r="J320" s="18" t="inlineStr">
        <is>
          <t>+91 9920264452</t>
        </is>
      </c>
      <c r="K320" s="15" t="inlineStr">
        <is>
          <t>chetan@weekday.works</t>
        </is>
      </c>
      <c r="L320" s="15" t="inlineStr">
        <is>
          <t>&lt;calendly_link&gt;</t>
        </is>
      </c>
      <c r="M320" s="15" t="inlineStr">
        <is>
          <t>Yes</t>
        </is>
      </c>
      <c r="N320" s="15" t="n"/>
      <c r="O320" s="15" t="n"/>
      <c r="P320" s="15" t="n"/>
      <c r="Q320" s="15" t="n"/>
      <c r="R320" s="15">
        <f>IF(OR(O320="Scheduled",Q320="Scheduled"),"SCHEDULED",IF(Q320="Escalate to call","ESCALATED TO CALL",IF(N320="Bad contact","BAD CONTACT",IF(N320="","NOT STARTED","IN PROGRESS"))))</f>
        <v/>
      </c>
      <c r="S320" s="15" t="n"/>
    </row>
    <row r="321">
      <c r="A321" s="15" t="inlineStr">
        <is>
          <t>REQ-0320</t>
        </is>
      </c>
      <c r="B321" s="16" t="n">
        <v>44867.82708333333</v>
      </c>
      <c r="C321" s="16">
        <f>B321+1</f>
        <v/>
      </c>
      <c r="D321" s="17">
        <f>(C321-NOW())*24</f>
        <v/>
      </c>
      <c r="E321" s="15">
        <f>IF(N321="","STEP 1: Send WhatsApp + Email blast now (Playbook M1)",IF(N321="Bad contact","STOP: report bad contact to lead (Playbook)",IF(O321="Scheduled","DONE: scheduled via Calendly",IF(O321="","STEP 2: Check Calendly now",IF(P321="","STEP 3: Send WhatsApp nudge (Playbook M2)",IF(Q321="Scheduled","DONE: scheduled via Calendly",IF(Q321="Escalate to call","HANDED to Shyam (call queue)","STEP 4: Final Calendly check")))))))</f>
        <v/>
      </c>
      <c r="F321" s="16">
        <f>IF(N321="",B321,IF(O321="",B321+2/24,IF(AND(O321="Not yet",P321=""),B321+2/24,IF(Q321="",B321+4/24,""))))</f>
        <v/>
      </c>
      <c r="G321" s="15" t="inlineStr">
        <is>
          <t>Chetan</t>
        </is>
      </c>
      <c r="H321" s="15" t="inlineStr">
        <is>
          <t>Google</t>
        </is>
      </c>
      <c r="I321" s="15" t="inlineStr">
        <is>
          <t>Round1</t>
        </is>
      </c>
      <c r="J321" s="18" t="inlineStr">
        <is>
          <t>+91 9920264452</t>
        </is>
      </c>
      <c r="K321" s="15" t="inlineStr">
        <is>
          <t>chetan@weekday.works</t>
        </is>
      </c>
      <c r="L321" s="15" t="inlineStr">
        <is>
          <t>&lt;calendly_link&gt;</t>
        </is>
      </c>
      <c r="M321" s="15" t="inlineStr">
        <is>
          <t>Yes</t>
        </is>
      </c>
      <c r="N321" s="15" t="n"/>
      <c r="O321" s="15" t="n"/>
      <c r="P321" s="15" t="n"/>
      <c r="Q321" s="15" t="n"/>
      <c r="R321" s="15">
        <f>IF(OR(O321="Scheduled",Q321="Scheduled"),"SCHEDULED",IF(Q321="Escalate to call","ESCALATED TO CALL",IF(N321="Bad contact","BAD CONTACT",IF(N321="","NOT STARTED","IN PROGRESS"))))</f>
        <v/>
      </c>
      <c r="S321" s="15" t="n"/>
    </row>
    <row r="322">
      <c r="A322" s="15" t="inlineStr">
        <is>
          <t>REQ-0321</t>
        </is>
      </c>
      <c r="B322" s="16" t="n">
        <v>44867.82708333333</v>
      </c>
      <c r="C322" s="16">
        <f>B322+1</f>
        <v/>
      </c>
      <c r="D322" s="17">
        <f>(C322-NOW())*24</f>
        <v/>
      </c>
      <c r="E322" s="15">
        <f>IF(N322="","STEP 1: Send WhatsApp + Email blast now (Playbook M1)",IF(N322="Bad contact","STOP: report bad contact to lead (Playbook)",IF(O322="Scheduled","DONE: scheduled via Calendly",IF(O322="","STEP 2: Check Calendly now",IF(P322="","STEP 3: Send WhatsApp nudge (Playbook M2)",IF(Q322="Scheduled","DONE: scheduled via Calendly",IF(Q322="Escalate to call","HANDED to Shyam (call queue)","STEP 4: Final Calendly check")))))))</f>
        <v/>
      </c>
      <c r="F322" s="16">
        <f>IF(N322="",B322,IF(O322="",B322+2/24,IF(AND(O322="Not yet",P322=""),B322+2/24,IF(Q322="",B322+4/24,""))))</f>
        <v/>
      </c>
      <c r="G322" s="15" t="inlineStr">
        <is>
          <t>Chetan</t>
        </is>
      </c>
      <c r="H322" s="15" t="inlineStr">
        <is>
          <t>Google</t>
        </is>
      </c>
      <c r="I322" s="15" t="inlineStr">
        <is>
          <t>Round1</t>
        </is>
      </c>
      <c r="J322" s="18" t="inlineStr">
        <is>
          <t>+91 9920264452</t>
        </is>
      </c>
      <c r="K322" s="15" t="inlineStr">
        <is>
          <t>chetan@weekday.works</t>
        </is>
      </c>
      <c r="L322" s="15" t="inlineStr">
        <is>
          <t>&lt;calendly_link&gt;</t>
        </is>
      </c>
      <c r="M322" s="15" t="inlineStr">
        <is>
          <t>Yes</t>
        </is>
      </c>
      <c r="N322" s="15" t="n"/>
      <c r="O322" s="15" t="n"/>
      <c r="P322" s="15" t="n"/>
      <c r="Q322" s="15" t="n"/>
      <c r="R322" s="15">
        <f>IF(OR(O322="Scheduled",Q322="Scheduled"),"SCHEDULED",IF(Q322="Escalate to call","ESCALATED TO CALL",IF(N322="Bad contact","BAD CONTACT",IF(N322="","NOT STARTED","IN PROGRESS"))))</f>
        <v/>
      </c>
      <c r="S322" s="15" t="n"/>
    </row>
    <row r="323">
      <c r="A323" s="15" t="inlineStr">
        <is>
          <t>REQ-0322</t>
        </is>
      </c>
      <c r="B323" s="16" t="n">
        <v>44867.82708333333</v>
      </c>
      <c r="C323" s="16">
        <f>B323+1</f>
        <v/>
      </c>
      <c r="D323" s="17">
        <f>(C323-NOW())*24</f>
        <v/>
      </c>
      <c r="E323" s="15">
        <f>IF(N323="","STEP 1: Send WhatsApp + Email blast now (Playbook M1)",IF(N323="Bad contact","STOP: report bad contact to lead (Playbook)",IF(O323="Scheduled","DONE: scheduled via Calendly",IF(O323="","STEP 2: Check Calendly now",IF(P323="","STEP 3: Send WhatsApp nudge (Playbook M2)",IF(Q323="Scheduled","DONE: scheduled via Calendly",IF(Q323="Escalate to call","HANDED to Shyam (call queue)","STEP 4: Final Calendly check")))))))</f>
        <v/>
      </c>
      <c r="F323" s="16">
        <f>IF(N323="",B323,IF(O323="",B323+2/24,IF(AND(O323="Not yet",P323=""),B323+2/24,IF(Q323="",B323+4/24,""))))</f>
        <v/>
      </c>
      <c r="G323" s="15" t="inlineStr">
        <is>
          <t>Chetan</t>
        </is>
      </c>
      <c r="H323" s="15" t="inlineStr">
        <is>
          <t>Google</t>
        </is>
      </c>
      <c r="I323" s="15" t="inlineStr">
        <is>
          <t>Round1</t>
        </is>
      </c>
      <c r="J323" s="18" t="inlineStr">
        <is>
          <t>+91 9920264452</t>
        </is>
      </c>
      <c r="K323" s="15" t="inlineStr">
        <is>
          <t>chetan@weekday.works</t>
        </is>
      </c>
      <c r="L323" s="15" t="inlineStr">
        <is>
          <t>&lt;calendly_link&gt;</t>
        </is>
      </c>
      <c r="M323" s="15" t="inlineStr">
        <is>
          <t>Yes</t>
        </is>
      </c>
      <c r="N323" s="15" t="n"/>
      <c r="O323" s="15" t="n"/>
      <c r="P323" s="15" t="n"/>
      <c r="Q323" s="15" t="n"/>
      <c r="R323" s="15">
        <f>IF(OR(O323="Scheduled",Q323="Scheduled"),"SCHEDULED",IF(Q323="Escalate to call","ESCALATED TO CALL",IF(N323="Bad contact","BAD CONTACT",IF(N323="","NOT STARTED","IN PROGRESS"))))</f>
        <v/>
      </c>
      <c r="S323" s="15" t="n"/>
    </row>
    <row r="324">
      <c r="A324" s="15" t="inlineStr">
        <is>
          <t>REQ-0323</t>
        </is>
      </c>
      <c r="B324" s="16" t="n">
        <v>44867.82708333333</v>
      </c>
      <c r="C324" s="16">
        <f>B324+1</f>
        <v/>
      </c>
      <c r="D324" s="17">
        <f>(C324-NOW())*24</f>
        <v/>
      </c>
      <c r="E324" s="15">
        <f>IF(N324="","STEP 1: Send WhatsApp + Email blast now (Playbook M1)",IF(N324="Bad contact","STOP: report bad contact to lead (Playbook)",IF(O324="Scheduled","DONE: scheduled via Calendly",IF(O324="","STEP 2: Check Calendly now",IF(P324="","STEP 3: Send WhatsApp nudge (Playbook M2)",IF(Q324="Scheduled","DONE: scheduled via Calendly",IF(Q324="Escalate to call","HANDED to Shyam (call queue)","STEP 4: Final Calendly check")))))))</f>
        <v/>
      </c>
      <c r="F324" s="16">
        <f>IF(N324="",B324,IF(O324="",B324+2/24,IF(AND(O324="Not yet",P324=""),B324+2/24,IF(Q324="",B324+4/24,""))))</f>
        <v/>
      </c>
      <c r="G324" s="15" t="inlineStr">
        <is>
          <t>Chetan</t>
        </is>
      </c>
      <c r="H324" s="15" t="inlineStr">
        <is>
          <t>Google</t>
        </is>
      </c>
      <c r="I324" s="15" t="inlineStr">
        <is>
          <t>Round1</t>
        </is>
      </c>
      <c r="J324" s="18" t="inlineStr">
        <is>
          <t>+91 9920264452</t>
        </is>
      </c>
      <c r="K324" s="15" t="inlineStr">
        <is>
          <t>chetan@weekday.works</t>
        </is>
      </c>
      <c r="L324" s="15" t="inlineStr">
        <is>
          <t>&lt;calendly_link&gt;</t>
        </is>
      </c>
      <c r="M324" s="15" t="inlineStr">
        <is>
          <t>Yes</t>
        </is>
      </c>
      <c r="N324" s="15" t="n"/>
      <c r="O324" s="15" t="n"/>
      <c r="P324" s="15" t="n"/>
      <c r="Q324" s="15" t="n"/>
      <c r="R324" s="15">
        <f>IF(OR(O324="Scheduled",Q324="Scheduled"),"SCHEDULED",IF(Q324="Escalate to call","ESCALATED TO CALL",IF(N324="Bad contact","BAD CONTACT",IF(N324="","NOT STARTED","IN PROGRESS"))))</f>
        <v/>
      </c>
      <c r="S324" s="15" t="n"/>
    </row>
    <row r="325">
      <c r="A325" s="15" t="inlineStr">
        <is>
          <t>REQ-0324</t>
        </is>
      </c>
      <c r="B325" s="16" t="n">
        <v>44867.82708333333</v>
      </c>
      <c r="C325" s="16">
        <f>B325+1</f>
        <v/>
      </c>
      <c r="D325" s="17">
        <f>(C325-NOW())*24</f>
        <v/>
      </c>
      <c r="E325" s="15">
        <f>IF(N325="","STEP 1: Send WhatsApp + Email blast now (Playbook M1)",IF(N325="Bad contact","STOP: report bad contact to lead (Playbook)",IF(O325="Scheduled","DONE: scheduled via Calendly",IF(O325="","STEP 2: Check Calendly now",IF(P325="","STEP 3: Send WhatsApp nudge (Playbook M2)",IF(Q325="Scheduled","DONE: scheduled via Calendly",IF(Q325="Escalate to call","HANDED to Shyam (call queue)","STEP 4: Final Calendly check")))))))</f>
        <v/>
      </c>
      <c r="F325" s="16">
        <f>IF(N325="",B325,IF(O325="",B325+2/24,IF(AND(O325="Not yet",P325=""),B325+2/24,IF(Q325="",B325+4/24,""))))</f>
        <v/>
      </c>
      <c r="G325" s="15" t="inlineStr">
        <is>
          <t>Chetan</t>
        </is>
      </c>
      <c r="H325" s="15" t="inlineStr">
        <is>
          <t>Google</t>
        </is>
      </c>
      <c r="I325" s="15" t="inlineStr">
        <is>
          <t>Round1</t>
        </is>
      </c>
      <c r="J325" s="18" t="inlineStr">
        <is>
          <t>+91 9920264452</t>
        </is>
      </c>
      <c r="K325" s="15" t="inlineStr">
        <is>
          <t>chetan@weekday.works</t>
        </is>
      </c>
      <c r="L325" s="15" t="inlineStr">
        <is>
          <t>&lt;calendly_link&gt;</t>
        </is>
      </c>
      <c r="M325" s="15" t="inlineStr">
        <is>
          <t>Yes</t>
        </is>
      </c>
      <c r="N325" s="15" t="n"/>
      <c r="O325" s="15" t="n"/>
      <c r="P325" s="15" t="n"/>
      <c r="Q325" s="15" t="n"/>
      <c r="R325" s="15">
        <f>IF(OR(O325="Scheduled",Q325="Scheduled"),"SCHEDULED",IF(Q325="Escalate to call","ESCALATED TO CALL",IF(N325="Bad contact","BAD CONTACT",IF(N325="","NOT STARTED","IN PROGRESS"))))</f>
        <v/>
      </c>
      <c r="S325" s="15" t="n"/>
    </row>
    <row r="326">
      <c r="A326" s="15" t="inlineStr">
        <is>
          <t>REQ-0325</t>
        </is>
      </c>
      <c r="B326" s="16" t="n">
        <v>44867.82708333333</v>
      </c>
      <c r="C326" s="16">
        <f>B326+1</f>
        <v/>
      </c>
      <c r="D326" s="17">
        <f>(C326-NOW())*24</f>
        <v/>
      </c>
      <c r="E326" s="15">
        <f>IF(N326="","STEP 1: Send WhatsApp + Email blast now (Playbook M1)",IF(N326="Bad contact","STOP: report bad contact to lead (Playbook)",IF(O326="Scheduled","DONE: scheduled via Calendly",IF(O326="","STEP 2: Check Calendly now",IF(P326="","STEP 3: Send WhatsApp nudge (Playbook M2)",IF(Q326="Scheduled","DONE: scheduled via Calendly",IF(Q326="Escalate to call","HANDED to Shyam (call queue)","STEP 4: Final Calendly check")))))))</f>
        <v/>
      </c>
      <c r="F326" s="16">
        <f>IF(N326="",B326,IF(O326="",B326+2/24,IF(AND(O326="Not yet",P326=""),B326+2/24,IF(Q326="",B326+4/24,""))))</f>
        <v/>
      </c>
      <c r="G326" s="15" t="inlineStr">
        <is>
          <t>Chetan</t>
        </is>
      </c>
      <c r="H326" s="15" t="inlineStr">
        <is>
          <t>Google</t>
        </is>
      </c>
      <c r="I326" s="15" t="inlineStr">
        <is>
          <t>Round1</t>
        </is>
      </c>
      <c r="J326" s="18" t="inlineStr">
        <is>
          <t>+91 9920264452</t>
        </is>
      </c>
      <c r="K326" s="15" t="inlineStr">
        <is>
          <t>chetan@weekday.works</t>
        </is>
      </c>
      <c r="L326" s="15" t="inlineStr">
        <is>
          <t>&lt;calendly_link&gt;</t>
        </is>
      </c>
      <c r="M326" s="15" t="inlineStr">
        <is>
          <t>Yes</t>
        </is>
      </c>
      <c r="N326" s="15" t="n"/>
      <c r="O326" s="15" t="n"/>
      <c r="P326" s="15" t="n"/>
      <c r="Q326" s="15" t="n"/>
      <c r="R326" s="15">
        <f>IF(OR(O326="Scheduled",Q326="Scheduled"),"SCHEDULED",IF(Q326="Escalate to call","ESCALATED TO CALL",IF(N326="Bad contact","BAD CONTACT",IF(N326="","NOT STARTED","IN PROGRESS"))))</f>
        <v/>
      </c>
      <c r="S326" s="15" t="n"/>
    </row>
    <row r="327">
      <c r="A327" s="15" t="inlineStr">
        <is>
          <t>REQ-0326</t>
        </is>
      </c>
      <c r="B327" s="16" t="n">
        <v>44867.82708333333</v>
      </c>
      <c r="C327" s="16">
        <f>B327+1</f>
        <v/>
      </c>
      <c r="D327" s="17">
        <f>(C327-NOW())*24</f>
        <v/>
      </c>
      <c r="E327" s="15">
        <f>IF(N327="","STEP 1: Send WhatsApp + Email blast now (Playbook M1)",IF(N327="Bad contact","STOP: report bad contact to lead (Playbook)",IF(O327="Scheduled","DONE: scheduled via Calendly",IF(O327="","STEP 2: Check Calendly now",IF(P327="","STEP 3: Send WhatsApp nudge (Playbook M2)",IF(Q327="Scheduled","DONE: scheduled via Calendly",IF(Q327="Escalate to call","HANDED to Shyam (call queue)","STEP 4: Final Calendly check")))))))</f>
        <v/>
      </c>
      <c r="F327" s="16">
        <f>IF(N327="",B327,IF(O327="",B327+2/24,IF(AND(O327="Not yet",P327=""),B327+2/24,IF(Q327="",B327+4/24,""))))</f>
        <v/>
      </c>
      <c r="G327" s="15" t="inlineStr">
        <is>
          <t>Chetan</t>
        </is>
      </c>
      <c r="H327" s="15" t="inlineStr">
        <is>
          <t>Google</t>
        </is>
      </c>
      <c r="I327" s="15" t="inlineStr">
        <is>
          <t>Round1</t>
        </is>
      </c>
      <c r="J327" s="18" t="inlineStr">
        <is>
          <t>+91 9920264452</t>
        </is>
      </c>
      <c r="K327" s="15" t="inlineStr">
        <is>
          <t>chetan@weekday.works</t>
        </is>
      </c>
      <c r="L327" s="15" t="inlineStr">
        <is>
          <t>&lt;calendly_link&gt;</t>
        </is>
      </c>
      <c r="M327" s="15" t="inlineStr">
        <is>
          <t>Yes</t>
        </is>
      </c>
      <c r="N327" s="15" t="n"/>
      <c r="O327" s="15" t="n"/>
      <c r="P327" s="15" t="n"/>
      <c r="Q327" s="15" t="n"/>
      <c r="R327" s="15">
        <f>IF(OR(O327="Scheduled",Q327="Scheduled"),"SCHEDULED",IF(Q327="Escalate to call","ESCALATED TO CALL",IF(N327="Bad contact","BAD CONTACT",IF(N327="","NOT STARTED","IN PROGRESS"))))</f>
        <v/>
      </c>
      <c r="S327" s="15" t="n"/>
    </row>
    <row r="328">
      <c r="A328" s="15" t="inlineStr">
        <is>
          <t>REQ-0327</t>
        </is>
      </c>
      <c r="B328" s="16" t="n">
        <v>44867.82708333333</v>
      </c>
      <c r="C328" s="16">
        <f>B328+1</f>
        <v/>
      </c>
      <c r="D328" s="17">
        <f>(C328-NOW())*24</f>
        <v/>
      </c>
      <c r="E328" s="15">
        <f>IF(N328="","STEP 1: Send WhatsApp + Email blast now (Playbook M1)",IF(N328="Bad contact","STOP: report bad contact to lead (Playbook)",IF(O328="Scheduled","DONE: scheduled via Calendly",IF(O328="","STEP 2: Check Calendly now",IF(P328="","STEP 3: Send WhatsApp nudge (Playbook M2)",IF(Q328="Scheduled","DONE: scheduled via Calendly",IF(Q328="Escalate to call","HANDED to Shyam (call queue)","STEP 4: Final Calendly check")))))))</f>
        <v/>
      </c>
      <c r="F328" s="16">
        <f>IF(N328="",B328,IF(O328="",B328+2/24,IF(AND(O328="Not yet",P328=""),B328+2/24,IF(Q328="",B328+4/24,""))))</f>
        <v/>
      </c>
      <c r="G328" s="15" t="inlineStr">
        <is>
          <t>Chetan</t>
        </is>
      </c>
      <c r="H328" s="15" t="inlineStr">
        <is>
          <t>Google</t>
        </is>
      </c>
      <c r="I328" s="15" t="inlineStr">
        <is>
          <t>Round1</t>
        </is>
      </c>
      <c r="J328" s="18" t="inlineStr">
        <is>
          <t>+91 9920264452</t>
        </is>
      </c>
      <c r="K328" s="15" t="inlineStr">
        <is>
          <t>chetan@weekday.works</t>
        </is>
      </c>
      <c r="L328" s="15" t="inlineStr">
        <is>
          <t>&lt;calendly_link&gt;</t>
        </is>
      </c>
      <c r="M328" s="15" t="inlineStr">
        <is>
          <t>Yes</t>
        </is>
      </c>
      <c r="N328" s="15" t="n"/>
      <c r="O328" s="15" t="n"/>
      <c r="P328" s="15" t="n"/>
      <c r="Q328" s="15" t="n"/>
      <c r="R328" s="15">
        <f>IF(OR(O328="Scheduled",Q328="Scheduled"),"SCHEDULED",IF(Q328="Escalate to call","ESCALATED TO CALL",IF(N328="Bad contact","BAD CONTACT",IF(N328="","NOT STARTED","IN PROGRESS"))))</f>
        <v/>
      </c>
      <c r="S328" s="15" t="n"/>
    </row>
    <row r="329">
      <c r="A329" s="15" t="inlineStr">
        <is>
          <t>REQ-0328</t>
        </is>
      </c>
      <c r="B329" s="16" t="n">
        <v>44867.82708333333</v>
      </c>
      <c r="C329" s="16">
        <f>B329+1</f>
        <v/>
      </c>
      <c r="D329" s="17">
        <f>(C329-NOW())*24</f>
        <v/>
      </c>
      <c r="E329" s="15">
        <f>IF(N329="","STEP 1: Send WhatsApp + Email blast now (Playbook M1)",IF(N329="Bad contact","STOP: report bad contact to lead (Playbook)",IF(O329="Scheduled","DONE: scheduled via Calendly",IF(O329="","STEP 2: Check Calendly now",IF(P329="","STEP 3: Send WhatsApp nudge (Playbook M2)",IF(Q329="Scheduled","DONE: scheduled via Calendly",IF(Q329="Escalate to call","HANDED to Shyam (call queue)","STEP 4: Final Calendly check")))))))</f>
        <v/>
      </c>
      <c r="F329" s="16">
        <f>IF(N329="",B329,IF(O329="",B329+2/24,IF(AND(O329="Not yet",P329=""),B329+2/24,IF(Q329="",B329+4/24,""))))</f>
        <v/>
      </c>
      <c r="G329" s="15" t="inlineStr">
        <is>
          <t>Chetan</t>
        </is>
      </c>
      <c r="H329" s="15" t="inlineStr">
        <is>
          <t>Google</t>
        </is>
      </c>
      <c r="I329" s="15" t="inlineStr">
        <is>
          <t>Round1</t>
        </is>
      </c>
      <c r="J329" s="18" t="inlineStr">
        <is>
          <t>+91 9920264452</t>
        </is>
      </c>
      <c r="K329" s="15" t="inlineStr">
        <is>
          <t>chetan@weekday.works</t>
        </is>
      </c>
      <c r="L329" s="15" t="inlineStr">
        <is>
          <t>&lt;calendly_link&gt;</t>
        </is>
      </c>
      <c r="M329" s="15" t="inlineStr">
        <is>
          <t>Yes</t>
        </is>
      </c>
      <c r="N329" s="15" t="n"/>
      <c r="O329" s="15" t="n"/>
      <c r="P329" s="15" t="n"/>
      <c r="Q329" s="15" t="n"/>
      <c r="R329" s="15">
        <f>IF(OR(O329="Scheduled",Q329="Scheduled"),"SCHEDULED",IF(Q329="Escalate to call","ESCALATED TO CALL",IF(N329="Bad contact","BAD CONTACT",IF(N329="","NOT STARTED","IN PROGRESS"))))</f>
        <v/>
      </c>
      <c r="S329" s="15" t="n"/>
    </row>
    <row r="330">
      <c r="A330" s="15" t="inlineStr">
        <is>
          <t>REQ-0329</t>
        </is>
      </c>
      <c r="B330" s="16" t="n">
        <v>44867.82708333333</v>
      </c>
      <c r="C330" s="16">
        <f>B330+1</f>
        <v/>
      </c>
      <c r="D330" s="17">
        <f>(C330-NOW())*24</f>
        <v/>
      </c>
      <c r="E330" s="15">
        <f>IF(N330="","STEP 1: Send WhatsApp + Email blast now (Playbook M1)",IF(N330="Bad contact","STOP: report bad contact to lead (Playbook)",IF(O330="Scheduled","DONE: scheduled via Calendly",IF(O330="","STEP 2: Check Calendly now",IF(P330="","STEP 3: Send WhatsApp nudge (Playbook M2)",IF(Q330="Scheduled","DONE: scheduled via Calendly",IF(Q330="Escalate to call","HANDED to Shyam (call queue)","STEP 4: Final Calendly check")))))))</f>
        <v/>
      </c>
      <c r="F330" s="16">
        <f>IF(N330="",B330,IF(O330="",B330+2/24,IF(AND(O330="Not yet",P330=""),B330+2/24,IF(Q330="",B330+4/24,""))))</f>
        <v/>
      </c>
      <c r="G330" s="15" t="inlineStr">
        <is>
          <t>Chetan</t>
        </is>
      </c>
      <c r="H330" s="15" t="inlineStr">
        <is>
          <t>Google</t>
        </is>
      </c>
      <c r="I330" s="15" t="inlineStr">
        <is>
          <t>Round1</t>
        </is>
      </c>
      <c r="J330" s="18" t="inlineStr">
        <is>
          <t>+91 9920264452</t>
        </is>
      </c>
      <c r="K330" s="15" t="inlineStr">
        <is>
          <t>chetan@weekday.works</t>
        </is>
      </c>
      <c r="L330" s="15" t="inlineStr">
        <is>
          <t>&lt;calendly_link&gt;</t>
        </is>
      </c>
      <c r="M330" s="15" t="inlineStr">
        <is>
          <t>Yes</t>
        </is>
      </c>
      <c r="N330" s="15" t="n"/>
      <c r="O330" s="15" t="n"/>
      <c r="P330" s="15" t="n"/>
      <c r="Q330" s="15" t="n"/>
      <c r="R330" s="15">
        <f>IF(OR(O330="Scheduled",Q330="Scheduled"),"SCHEDULED",IF(Q330="Escalate to call","ESCALATED TO CALL",IF(N330="Bad contact","BAD CONTACT",IF(N330="","NOT STARTED","IN PROGRESS"))))</f>
        <v/>
      </c>
      <c r="S330" s="15" t="n"/>
    </row>
    <row r="331">
      <c r="A331" s="15" t="inlineStr">
        <is>
          <t>REQ-0330</t>
        </is>
      </c>
      <c r="B331" s="16" t="n">
        <v>44867.82708333333</v>
      </c>
      <c r="C331" s="16">
        <f>B331+1</f>
        <v/>
      </c>
      <c r="D331" s="17">
        <f>(C331-NOW())*24</f>
        <v/>
      </c>
      <c r="E331" s="15">
        <f>IF(N331="","STEP 1: Send WhatsApp + Email blast now (Playbook M1)",IF(N331="Bad contact","STOP: report bad contact to lead (Playbook)",IF(O331="Scheduled","DONE: scheduled via Calendly",IF(O331="","STEP 2: Check Calendly now",IF(P331="","STEP 3: Send WhatsApp nudge (Playbook M2)",IF(Q331="Scheduled","DONE: scheduled via Calendly",IF(Q331="Escalate to call","HANDED to Shyam (call queue)","STEP 4: Final Calendly check")))))))</f>
        <v/>
      </c>
      <c r="F331" s="16">
        <f>IF(N331="",B331,IF(O331="",B331+2/24,IF(AND(O331="Not yet",P331=""),B331+2/24,IF(Q331="",B331+4/24,""))))</f>
        <v/>
      </c>
      <c r="G331" s="15" t="inlineStr">
        <is>
          <t>Chetan</t>
        </is>
      </c>
      <c r="H331" s="15" t="inlineStr">
        <is>
          <t>Google</t>
        </is>
      </c>
      <c r="I331" s="15" t="inlineStr">
        <is>
          <t>Round1</t>
        </is>
      </c>
      <c r="J331" s="18" t="inlineStr">
        <is>
          <t>+91 9920264452</t>
        </is>
      </c>
      <c r="K331" s="15" t="inlineStr">
        <is>
          <t>chetan@weekday.works</t>
        </is>
      </c>
      <c r="L331" s="15" t="inlineStr">
        <is>
          <t>&lt;calendly_link&gt;</t>
        </is>
      </c>
      <c r="M331" s="15" t="inlineStr">
        <is>
          <t>Yes</t>
        </is>
      </c>
      <c r="N331" s="15" t="n"/>
      <c r="O331" s="15" t="n"/>
      <c r="P331" s="15" t="n"/>
      <c r="Q331" s="15" t="n"/>
      <c r="R331" s="15">
        <f>IF(OR(O331="Scheduled",Q331="Scheduled"),"SCHEDULED",IF(Q331="Escalate to call","ESCALATED TO CALL",IF(N331="Bad contact","BAD CONTACT",IF(N331="","NOT STARTED","IN PROGRESS"))))</f>
        <v/>
      </c>
      <c r="S331" s="15" t="n"/>
    </row>
    <row r="332">
      <c r="A332" s="15" t="inlineStr">
        <is>
          <t>REQ-0331</t>
        </is>
      </c>
      <c r="B332" s="16" t="n">
        <v>44867.82708333333</v>
      </c>
      <c r="C332" s="16">
        <f>B332+1</f>
        <v/>
      </c>
      <c r="D332" s="17">
        <f>(C332-NOW())*24</f>
        <v/>
      </c>
      <c r="E332" s="15">
        <f>IF(N332="","STEP 1: Send WhatsApp + Email blast now (Playbook M1)",IF(N332="Bad contact","STOP: report bad contact to lead (Playbook)",IF(O332="Scheduled","DONE: scheduled via Calendly",IF(O332="","STEP 2: Check Calendly now",IF(P332="","STEP 3: Send WhatsApp nudge (Playbook M2)",IF(Q332="Scheduled","DONE: scheduled via Calendly",IF(Q332="Escalate to call","HANDED to Shyam (call queue)","STEP 4: Final Calendly check")))))))</f>
        <v/>
      </c>
      <c r="F332" s="16">
        <f>IF(N332="",B332,IF(O332="",B332+2/24,IF(AND(O332="Not yet",P332=""),B332+2/24,IF(Q332="",B332+4/24,""))))</f>
        <v/>
      </c>
      <c r="G332" s="15" t="inlineStr">
        <is>
          <t>Chetan</t>
        </is>
      </c>
      <c r="H332" s="15" t="inlineStr">
        <is>
          <t>Google</t>
        </is>
      </c>
      <c r="I332" s="15" t="inlineStr">
        <is>
          <t>Round1</t>
        </is>
      </c>
      <c r="J332" s="18" t="inlineStr">
        <is>
          <t>+91 9920264452</t>
        </is>
      </c>
      <c r="K332" s="15" t="inlineStr">
        <is>
          <t>chetan@weekday.works</t>
        </is>
      </c>
      <c r="L332" s="15" t="inlineStr">
        <is>
          <t>&lt;calendly_link&gt;</t>
        </is>
      </c>
      <c r="M332" s="15" t="inlineStr">
        <is>
          <t>Yes</t>
        </is>
      </c>
      <c r="N332" s="15" t="n"/>
      <c r="O332" s="15" t="n"/>
      <c r="P332" s="15" t="n"/>
      <c r="Q332" s="15" t="n"/>
      <c r="R332" s="15">
        <f>IF(OR(O332="Scheduled",Q332="Scheduled"),"SCHEDULED",IF(Q332="Escalate to call","ESCALATED TO CALL",IF(N332="Bad contact","BAD CONTACT",IF(N332="","NOT STARTED","IN PROGRESS"))))</f>
        <v/>
      </c>
      <c r="S332" s="15" t="n"/>
    </row>
    <row r="333">
      <c r="A333" s="15" t="inlineStr">
        <is>
          <t>REQ-0332</t>
        </is>
      </c>
      <c r="B333" s="16" t="n">
        <v>44867.82708333333</v>
      </c>
      <c r="C333" s="16">
        <f>B333+1</f>
        <v/>
      </c>
      <c r="D333" s="17">
        <f>(C333-NOW())*24</f>
        <v/>
      </c>
      <c r="E333" s="15">
        <f>IF(N333="","STEP 1: Send WhatsApp + Email blast now (Playbook M1)",IF(N333="Bad contact","STOP: report bad contact to lead (Playbook)",IF(O333="Scheduled","DONE: scheduled via Calendly",IF(O333="","STEP 2: Check Calendly now",IF(P333="","STEP 3: Send WhatsApp nudge (Playbook M2)",IF(Q333="Scheduled","DONE: scheduled via Calendly",IF(Q333="Escalate to call","HANDED to Shyam (call queue)","STEP 4: Final Calendly check")))))))</f>
        <v/>
      </c>
      <c r="F333" s="16">
        <f>IF(N333="",B333,IF(O333="",B333+2/24,IF(AND(O333="Not yet",P333=""),B333+2/24,IF(Q333="",B333+4/24,""))))</f>
        <v/>
      </c>
      <c r="G333" s="15" t="inlineStr">
        <is>
          <t>Chetan</t>
        </is>
      </c>
      <c r="H333" s="15" t="inlineStr">
        <is>
          <t>Google</t>
        </is>
      </c>
      <c r="I333" s="15" t="inlineStr">
        <is>
          <t>Round1</t>
        </is>
      </c>
      <c r="J333" s="18" t="inlineStr">
        <is>
          <t>+91 9920264452</t>
        </is>
      </c>
      <c r="K333" s="15" t="inlineStr">
        <is>
          <t>chetan@weekday.works</t>
        </is>
      </c>
      <c r="L333" s="15" t="inlineStr">
        <is>
          <t>&lt;calendly_link&gt;</t>
        </is>
      </c>
      <c r="M333" s="15" t="inlineStr">
        <is>
          <t>Yes</t>
        </is>
      </c>
      <c r="N333" s="15" t="n"/>
      <c r="O333" s="15" t="n"/>
      <c r="P333" s="15" t="n"/>
      <c r="Q333" s="15" t="n"/>
      <c r="R333" s="15">
        <f>IF(OR(O333="Scheduled",Q333="Scheduled"),"SCHEDULED",IF(Q333="Escalate to call","ESCALATED TO CALL",IF(N333="Bad contact","BAD CONTACT",IF(N333="","NOT STARTED","IN PROGRESS"))))</f>
        <v/>
      </c>
      <c r="S333" s="15" t="n"/>
    </row>
    <row r="334">
      <c r="A334" s="15" t="inlineStr">
        <is>
          <t>REQ-0333</t>
        </is>
      </c>
      <c r="B334" s="16" t="n">
        <v>44867.82708333333</v>
      </c>
      <c r="C334" s="16">
        <f>B334+1</f>
        <v/>
      </c>
      <c r="D334" s="17">
        <f>(C334-NOW())*24</f>
        <v/>
      </c>
      <c r="E334" s="15">
        <f>IF(N334="","STEP 1: Send WhatsApp + Email blast now (Playbook M1)",IF(N334="Bad contact","STOP: report bad contact to lead (Playbook)",IF(O334="Scheduled","DONE: scheduled via Calendly",IF(O334="","STEP 2: Check Calendly now",IF(P334="","STEP 3: Send WhatsApp nudge (Playbook M2)",IF(Q334="Scheduled","DONE: scheduled via Calendly",IF(Q334="Escalate to call","HANDED to Shyam (call queue)","STEP 4: Final Calendly check")))))))</f>
        <v/>
      </c>
      <c r="F334" s="16">
        <f>IF(N334="",B334,IF(O334="",B334+2/24,IF(AND(O334="Not yet",P334=""),B334+2/24,IF(Q334="",B334+4/24,""))))</f>
        <v/>
      </c>
      <c r="G334" s="15" t="inlineStr">
        <is>
          <t>Chetan</t>
        </is>
      </c>
      <c r="H334" s="15" t="inlineStr">
        <is>
          <t>Google</t>
        </is>
      </c>
      <c r="I334" s="15" t="inlineStr">
        <is>
          <t>Round1</t>
        </is>
      </c>
      <c r="J334" s="18" t="inlineStr">
        <is>
          <t>+91 9920264452</t>
        </is>
      </c>
      <c r="K334" s="15" t="inlineStr">
        <is>
          <t>chetan@weekday.works</t>
        </is>
      </c>
      <c r="L334" s="15" t="inlineStr">
        <is>
          <t>&lt;calendly_link&gt;</t>
        </is>
      </c>
      <c r="M334" s="15" t="inlineStr">
        <is>
          <t>Yes</t>
        </is>
      </c>
      <c r="N334" s="15" t="n"/>
      <c r="O334" s="15" t="n"/>
      <c r="P334" s="15" t="n"/>
      <c r="Q334" s="15" t="n"/>
      <c r="R334" s="15">
        <f>IF(OR(O334="Scheduled",Q334="Scheduled"),"SCHEDULED",IF(Q334="Escalate to call","ESCALATED TO CALL",IF(N334="Bad contact","BAD CONTACT",IF(N334="","NOT STARTED","IN PROGRESS"))))</f>
        <v/>
      </c>
      <c r="S334" s="15" t="n"/>
    </row>
    <row r="335">
      <c r="A335" s="15" t="inlineStr">
        <is>
          <t>REQ-0334</t>
        </is>
      </c>
      <c r="B335" s="16" t="n">
        <v>44867.82708333333</v>
      </c>
      <c r="C335" s="16">
        <f>B335+1</f>
        <v/>
      </c>
      <c r="D335" s="17">
        <f>(C335-NOW())*24</f>
        <v/>
      </c>
      <c r="E335" s="15">
        <f>IF(N335="","STEP 1: Send WhatsApp + Email blast now (Playbook M1)",IF(N335="Bad contact","STOP: report bad contact to lead (Playbook)",IF(O335="Scheduled","DONE: scheduled via Calendly",IF(O335="","STEP 2: Check Calendly now",IF(P335="","STEP 3: Send WhatsApp nudge (Playbook M2)",IF(Q335="Scheduled","DONE: scheduled via Calendly",IF(Q335="Escalate to call","HANDED to Shyam (call queue)","STEP 4: Final Calendly check")))))))</f>
        <v/>
      </c>
      <c r="F335" s="16">
        <f>IF(N335="",B335,IF(O335="",B335+2/24,IF(AND(O335="Not yet",P335=""),B335+2/24,IF(Q335="",B335+4/24,""))))</f>
        <v/>
      </c>
      <c r="G335" s="15" t="inlineStr">
        <is>
          <t>Chetan</t>
        </is>
      </c>
      <c r="H335" s="15" t="inlineStr">
        <is>
          <t>Google</t>
        </is>
      </c>
      <c r="I335" s="15" t="inlineStr">
        <is>
          <t>Round1</t>
        </is>
      </c>
      <c r="J335" s="18" t="inlineStr">
        <is>
          <t>+91 9920264452</t>
        </is>
      </c>
      <c r="K335" s="15" t="inlineStr">
        <is>
          <t>chetan@weekday.works</t>
        </is>
      </c>
      <c r="L335" s="15" t="inlineStr">
        <is>
          <t>&lt;calendly_link&gt;</t>
        </is>
      </c>
      <c r="M335" s="15" t="inlineStr">
        <is>
          <t>Yes</t>
        </is>
      </c>
      <c r="N335" s="15" t="n"/>
      <c r="O335" s="15" t="n"/>
      <c r="P335" s="15" t="n"/>
      <c r="Q335" s="15" t="n"/>
      <c r="R335" s="15">
        <f>IF(OR(O335="Scheduled",Q335="Scheduled"),"SCHEDULED",IF(Q335="Escalate to call","ESCALATED TO CALL",IF(N335="Bad contact","BAD CONTACT",IF(N335="","NOT STARTED","IN PROGRESS"))))</f>
        <v/>
      </c>
      <c r="S335" s="15" t="n"/>
    </row>
    <row r="336">
      <c r="A336" s="15" t="inlineStr">
        <is>
          <t>REQ-0335</t>
        </is>
      </c>
      <c r="B336" s="16" t="n">
        <v>44867.82708333333</v>
      </c>
      <c r="C336" s="16">
        <f>B336+1</f>
        <v/>
      </c>
      <c r="D336" s="17">
        <f>(C336-NOW())*24</f>
        <v/>
      </c>
      <c r="E336" s="15">
        <f>IF(N336="","STEP 1: Send WhatsApp + Email blast now (Playbook M1)",IF(N336="Bad contact","STOP: report bad contact to lead (Playbook)",IF(O336="Scheduled","DONE: scheduled via Calendly",IF(O336="","STEP 2: Check Calendly now",IF(P336="","STEP 3: Send WhatsApp nudge (Playbook M2)",IF(Q336="Scheduled","DONE: scheduled via Calendly",IF(Q336="Escalate to call","HANDED to Shyam (call queue)","STEP 4: Final Calendly check")))))))</f>
        <v/>
      </c>
      <c r="F336" s="16">
        <f>IF(N336="",B336,IF(O336="",B336+2/24,IF(AND(O336="Not yet",P336=""),B336+2/24,IF(Q336="",B336+4/24,""))))</f>
        <v/>
      </c>
      <c r="G336" s="15" t="inlineStr">
        <is>
          <t>Chetan</t>
        </is>
      </c>
      <c r="H336" s="15" t="inlineStr">
        <is>
          <t>Google</t>
        </is>
      </c>
      <c r="I336" s="15" t="inlineStr">
        <is>
          <t>Round1</t>
        </is>
      </c>
      <c r="J336" s="18" t="inlineStr">
        <is>
          <t>+91 9920264452</t>
        </is>
      </c>
      <c r="K336" s="15" t="inlineStr">
        <is>
          <t>chetan@weekday.works</t>
        </is>
      </c>
      <c r="L336" s="15" t="inlineStr">
        <is>
          <t>&lt;calendly_link&gt;</t>
        </is>
      </c>
      <c r="M336" s="15" t="inlineStr">
        <is>
          <t>Yes</t>
        </is>
      </c>
      <c r="N336" s="15" t="n"/>
      <c r="O336" s="15" t="n"/>
      <c r="P336" s="15" t="n"/>
      <c r="Q336" s="15" t="n"/>
      <c r="R336" s="15">
        <f>IF(OR(O336="Scheduled",Q336="Scheduled"),"SCHEDULED",IF(Q336="Escalate to call","ESCALATED TO CALL",IF(N336="Bad contact","BAD CONTACT",IF(N336="","NOT STARTED","IN PROGRESS"))))</f>
        <v/>
      </c>
      <c r="S336" s="15" t="n"/>
    </row>
    <row r="337">
      <c r="A337" s="15" t="inlineStr">
        <is>
          <t>REQ-0336</t>
        </is>
      </c>
      <c r="B337" s="16" t="n">
        <v>44867.82708333333</v>
      </c>
      <c r="C337" s="16">
        <f>B337+1</f>
        <v/>
      </c>
      <c r="D337" s="17">
        <f>(C337-NOW())*24</f>
        <v/>
      </c>
      <c r="E337" s="15">
        <f>IF(N337="","STEP 1: Send WhatsApp + Email blast now (Playbook M1)",IF(N337="Bad contact","STOP: report bad contact to lead (Playbook)",IF(O337="Scheduled","DONE: scheduled via Calendly",IF(O337="","STEP 2: Check Calendly now",IF(P337="","STEP 3: Send WhatsApp nudge (Playbook M2)",IF(Q337="Scheduled","DONE: scheduled via Calendly",IF(Q337="Escalate to call","HANDED to Shyam (call queue)","STEP 4: Final Calendly check")))))))</f>
        <v/>
      </c>
      <c r="F337" s="16">
        <f>IF(N337="",B337,IF(O337="",B337+2/24,IF(AND(O337="Not yet",P337=""),B337+2/24,IF(Q337="",B337+4/24,""))))</f>
        <v/>
      </c>
      <c r="G337" s="15" t="inlineStr">
        <is>
          <t>Chetan</t>
        </is>
      </c>
      <c r="H337" s="15" t="inlineStr">
        <is>
          <t>Google</t>
        </is>
      </c>
      <c r="I337" s="15" t="inlineStr">
        <is>
          <t>Round1</t>
        </is>
      </c>
      <c r="J337" s="18" t="inlineStr">
        <is>
          <t>+91 9920264452</t>
        </is>
      </c>
      <c r="K337" s="15" t="inlineStr">
        <is>
          <t>chetan@weekday.works</t>
        </is>
      </c>
      <c r="L337" s="15" t="inlineStr">
        <is>
          <t>&lt;calendly_link&gt;</t>
        </is>
      </c>
      <c r="M337" s="15" t="inlineStr">
        <is>
          <t>Yes</t>
        </is>
      </c>
      <c r="N337" s="15" t="n"/>
      <c r="O337" s="15" t="n"/>
      <c r="P337" s="15" t="n"/>
      <c r="Q337" s="15" t="n"/>
      <c r="R337" s="15">
        <f>IF(OR(O337="Scheduled",Q337="Scheduled"),"SCHEDULED",IF(Q337="Escalate to call","ESCALATED TO CALL",IF(N337="Bad contact","BAD CONTACT",IF(N337="","NOT STARTED","IN PROGRESS"))))</f>
        <v/>
      </c>
      <c r="S337" s="15" t="n"/>
    </row>
    <row r="338">
      <c r="A338" s="15" t="inlineStr">
        <is>
          <t>REQ-0337</t>
        </is>
      </c>
      <c r="B338" s="16" t="n">
        <v>44867.82708333333</v>
      </c>
      <c r="C338" s="16">
        <f>B338+1</f>
        <v/>
      </c>
      <c r="D338" s="17">
        <f>(C338-NOW())*24</f>
        <v/>
      </c>
      <c r="E338" s="15">
        <f>IF(N338="","STEP 1: Send WhatsApp + Email blast now (Playbook M1)",IF(N338="Bad contact","STOP: report bad contact to lead (Playbook)",IF(O338="Scheduled","DONE: scheduled via Calendly",IF(O338="","STEP 2: Check Calendly now",IF(P338="","STEP 3: Send WhatsApp nudge (Playbook M2)",IF(Q338="Scheduled","DONE: scheduled via Calendly",IF(Q338="Escalate to call","HANDED to Shyam (call queue)","STEP 4: Final Calendly check")))))))</f>
        <v/>
      </c>
      <c r="F338" s="16">
        <f>IF(N338="",B338,IF(O338="",B338+2/24,IF(AND(O338="Not yet",P338=""),B338+2/24,IF(Q338="",B338+4/24,""))))</f>
        <v/>
      </c>
      <c r="G338" s="15" t="inlineStr">
        <is>
          <t>Chetan</t>
        </is>
      </c>
      <c r="H338" s="15" t="inlineStr">
        <is>
          <t>Google</t>
        </is>
      </c>
      <c r="I338" s="15" t="inlineStr">
        <is>
          <t>Round1</t>
        </is>
      </c>
      <c r="J338" s="18" t="inlineStr">
        <is>
          <t>+91 9920264452</t>
        </is>
      </c>
      <c r="K338" s="15" t="inlineStr">
        <is>
          <t>chetan@weekday.works</t>
        </is>
      </c>
      <c r="L338" s="15" t="inlineStr">
        <is>
          <t>&lt;calendly_link&gt;</t>
        </is>
      </c>
      <c r="M338" s="15" t="inlineStr">
        <is>
          <t>Yes</t>
        </is>
      </c>
      <c r="N338" s="15" t="n"/>
      <c r="O338" s="15" t="n"/>
      <c r="P338" s="15" t="n"/>
      <c r="Q338" s="15" t="n"/>
      <c r="R338" s="15">
        <f>IF(OR(O338="Scheduled",Q338="Scheduled"),"SCHEDULED",IF(Q338="Escalate to call","ESCALATED TO CALL",IF(N338="Bad contact","BAD CONTACT",IF(N338="","NOT STARTED","IN PROGRESS"))))</f>
        <v/>
      </c>
      <c r="S338" s="15" t="n"/>
    </row>
    <row r="339">
      <c r="A339" s="15" t="inlineStr">
        <is>
          <t>REQ-0338</t>
        </is>
      </c>
      <c r="B339" s="16" t="n">
        <v>44867.82708333333</v>
      </c>
      <c r="C339" s="16">
        <f>B339+1</f>
        <v/>
      </c>
      <c r="D339" s="17">
        <f>(C339-NOW())*24</f>
        <v/>
      </c>
      <c r="E339" s="15">
        <f>IF(N339="","STEP 1: Send WhatsApp + Email blast now (Playbook M1)",IF(N339="Bad contact","STOP: report bad contact to lead (Playbook)",IF(O339="Scheduled","DONE: scheduled via Calendly",IF(O339="","STEP 2: Check Calendly now",IF(P339="","STEP 3: Send WhatsApp nudge (Playbook M2)",IF(Q339="Scheduled","DONE: scheduled via Calendly",IF(Q339="Escalate to call","HANDED to Shyam (call queue)","STEP 4: Final Calendly check")))))))</f>
        <v/>
      </c>
      <c r="F339" s="16">
        <f>IF(N339="",B339,IF(O339="",B339+2/24,IF(AND(O339="Not yet",P339=""),B339+2/24,IF(Q339="",B339+4/24,""))))</f>
        <v/>
      </c>
      <c r="G339" s="15" t="inlineStr">
        <is>
          <t>Chetan</t>
        </is>
      </c>
      <c r="H339" s="15" t="inlineStr">
        <is>
          <t>Google</t>
        </is>
      </c>
      <c r="I339" s="15" t="inlineStr">
        <is>
          <t>Round1</t>
        </is>
      </c>
      <c r="J339" s="18" t="inlineStr">
        <is>
          <t>+91 9920264452</t>
        </is>
      </c>
      <c r="K339" s="15" t="inlineStr">
        <is>
          <t>chetan@weekday.works</t>
        </is>
      </c>
      <c r="L339" s="15" t="inlineStr">
        <is>
          <t>&lt;calendly_link&gt;</t>
        </is>
      </c>
      <c r="M339" s="15" t="inlineStr">
        <is>
          <t>Yes</t>
        </is>
      </c>
      <c r="N339" s="15" t="n"/>
      <c r="O339" s="15" t="n"/>
      <c r="P339" s="15" t="n"/>
      <c r="Q339" s="15" t="n"/>
      <c r="R339" s="15">
        <f>IF(OR(O339="Scheduled",Q339="Scheduled"),"SCHEDULED",IF(Q339="Escalate to call","ESCALATED TO CALL",IF(N339="Bad contact","BAD CONTACT",IF(N339="","NOT STARTED","IN PROGRESS"))))</f>
        <v/>
      </c>
      <c r="S339" s="15" t="n"/>
    </row>
    <row r="340">
      <c r="A340" s="15" t="inlineStr">
        <is>
          <t>REQ-0339</t>
        </is>
      </c>
      <c r="B340" s="16" t="n">
        <v>44867.82708333333</v>
      </c>
      <c r="C340" s="16">
        <f>B340+1</f>
        <v/>
      </c>
      <c r="D340" s="17">
        <f>(C340-NOW())*24</f>
        <v/>
      </c>
      <c r="E340" s="15">
        <f>IF(N340="","STEP 1: Send WhatsApp + Email blast now (Playbook M1)",IF(N340="Bad contact","STOP: report bad contact to lead (Playbook)",IF(O340="Scheduled","DONE: scheduled via Calendly",IF(O340="","STEP 2: Check Calendly now",IF(P340="","STEP 3: Send WhatsApp nudge (Playbook M2)",IF(Q340="Scheduled","DONE: scheduled via Calendly",IF(Q340="Escalate to call","HANDED to Shyam (call queue)","STEP 4: Final Calendly check")))))))</f>
        <v/>
      </c>
      <c r="F340" s="16">
        <f>IF(N340="",B340,IF(O340="",B340+2/24,IF(AND(O340="Not yet",P340=""),B340+2/24,IF(Q340="",B340+4/24,""))))</f>
        <v/>
      </c>
      <c r="G340" s="15" t="inlineStr">
        <is>
          <t>Chetan</t>
        </is>
      </c>
      <c r="H340" s="15" t="inlineStr">
        <is>
          <t>Google</t>
        </is>
      </c>
      <c r="I340" s="15" t="inlineStr">
        <is>
          <t>Round1</t>
        </is>
      </c>
      <c r="J340" s="18" t="inlineStr">
        <is>
          <t>+91 9920264452</t>
        </is>
      </c>
      <c r="K340" s="15" t="inlineStr">
        <is>
          <t>chetan@weekday.works</t>
        </is>
      </c>
      <c r="L340" s="15" t="inlineStr">
        <is>
          <t>&lt;calendly_link&gt;</t>
        </is>
      </c>
      <c r="M340" s="15" t="inlineStr">
        <is>
          <t>Yes</t>
        </is>
      </c>
      <c r="N340" s="15" t="n"/>
      <c r="O340" s="15" t="n"/>
      <c r="P340" s="15" t="n"/>
      <c r="Q340" s="15" t="n"/>
      <c r="R340" s="15">
        <f>IF(OR(O340="Scheduled",Q340="Scheduled"),"SCHEDULED",IF(Q340="Escalate to call","ESCALATED TO CALL",IF(N340="Bad contact","BAD CONTACT",IF(N340="","NOT STARTED","IN PROGRESS"))))</f>
        <v/>
      </c>
      <c r="S340" s="15" t="n"/>
    </row>
    <row r="341">
      <c r="A341" s="15" t="inlineStr">
        <is>
          <t>REQ-0340</t>
        </is>
      </c>
      <c r="B341" s="16" t="n">
        <v>44867.82708333333</v>
      </c>
      <c r="C341" s="16">
        <f>B341+1</f>
        <v/>
      </c>
      <c r="D341" s="17">
        <f>(C341-NOW())*24</f>
        <v/>
      </c>
      <c r="E341" s="15">
        <f>IF(N341="","STEP 1: Send WhatsApp + Email blast now (Playbook M1)",IF(N341="Bad contact","STOP: report bad contact to lead (Playbook)",IF(O341="Scheduled","DONE: scheduled via Calendly",IF(O341="","STEP 2: Check Calendly now",IF(P341="","STEP 3: Send WhatsApp nudge (Playbook M2)",IF(Q341="Scheduled","DONE: scheduled via Calendly",IF(Q341="Escalate to call","HANDED to Shyam (call queue)","STEP 4: Final Calendly check")))))))</f>
        <v/>
      </c>
      <c r="F341" s="16">
        <f>IF(N341="",B341,IF(O341="",B341+2/24,IF(AND(O341="Not yet",P341=""),B341+2/24,IF(Q341="",B341+4/24,""))))</f>
        <v/>
      </c>
      <c r="G341" s="15" t="inlineStr">
        <is>
          <t>Chetan</t>
        </is>
      </c>
      <c r="H341" s="15" t="inlineStr">
        <is>
          <t>Google</t>
        </is>
      </c>
      <c r="I341" s="15" t="inlineStr">
        <is>
          <t>Round1</t>
        </is>
      </c>
      <c r="J341" s="18" t="inlineStr">
        <is>
          <t>+91 9920264452</t>
        </is>
      </c>
      <c r="K341" s="15" t="inlineStr">
        <is>
          <t>chetan@weekday.works</t>
        </is>
      </c>
      <c r="L341" s="15" t="inlineStr">
        <is>
          <t>&lt;calendly_link&gt;</t>
        </is>
      </c>
      <c r="M341" s="15" t="inlineStr">
        <is>
          <t>Yes</t>
        </is>
      </c>
      <c r="N341" s="15" t="n"/>
      <c r="O341" s="15" t="n"/>
      <c r="P341" s="15" t="n"/>
      <c r="Q341" s="15" t="n"/>
      <c r="R341" s="15">
        <f>IF(OR(O341="Scheduled",Q341="Scheduled"),"SCHEDULED",IF(Q341="Escalate to call","ESCALATED TO CALL",IF(N341="Bad contact","BAD CONTACT",IF(N341="","NOT STARTED","IN PROGRESS"))))</f>
        <v/>
      </c>
      <c r="S341" s="15" t="n"/>
    </row>
    <row r="342">
      <c r="A342" s="15" t="inlineStr">
        <is>
          <t>REQ-0341</t>
        </is>
      </c>
      <c r="B342" s="16" t="n">
        <v>44867.82708333333</v>
      </c>
      <c r="C342" s="16">
        <f>B342+1</f>
        <v/>
      </c>
      <c r="D342" s="17">
        <f>(C342-NOW())*24</f>
        <v/>
      </c>
      <c r="E342" s="15">
        <f>IF(N342="","STEP 1: Send WhatsApp + Email blast now (Playbook M1)",IF(N342="Bad contact","STOP: report bad contact to lead (Playbook)",IF(O342="Scheduled","DONE: scheduled via Calendly",IF(O342="","STEP 2: Check Calendly now",IF(P342="","STEP 3: Send WhatsApp nudge (Playbook M2)",IF(Q342="Scheduled","DONE: scheduled via Calendly",IF(Q342="Escalate to call","HANDED to Shyam (call queue)","STEP 4: Final Calendly check")))))))</f>
        <v/>
      </c>
      <c r="F342" s="16">
        <f>IF(N342="",B342,IF(O342="",B342+2/24,IF(AND(O342="Not yet",P342=""),B342+2/24,IF(Q342="",B342+4/24,""))))</f>
        <v/>
      </c>
      <c r="G342" s="15" t="inlineStr">
        <is>
          <t>Chetan</t>
        </is>
      </c>
      <c r="H342" s="15" t="inlineStr">
        <is>
          <t>Google</t>
        </is>
      </c>
      <c r="I342" s="15" t="inlineStr">
        <is>
          <t>Round1</t>
        </is>
      </c>
      <c r="J342" s="18" t="inlineStr">
        <is>
          <t>+91 9920264452</t>
        </is>
      </c>
      <c r="K342" s="15" t="inlineStr">
        <is>
          <t>chetan@weekday.works</t>
        </is>
      </c>
      <c r="L342" s="15" t="inlineStr">
        <is>
          <t>&lt;calendly_link&gt;</t>
        </is>
      </c>
      <c r="M342" s="15" t="inlineStr">
        <is>
          <t>Yes</t>
        </is>
      </c>
      <c r="N342" s="15" t="n"/>
      <c r="O342" s="15" t="n"/>
      <c r="P342" s="15" t="n"/>
      <c r="Q342" s="15" t="n"/>
      <c r="R342" s="15">
        <f>IF(OR(O342="Scheduled",Q342="Scheduled"),"SCHEDULED",IF(Q342="Escalate to call","ESCALATED TO CALL",IF(N342="Bad contact","BAD CONTACT",IF(N342="","NOT STARTED","IN PROGRESS"))))</f>
        <v/>
      </c>
      <c r="S342" s="15" t="n"/>
    </row>
    <row r="343">
      <c r="A343" s="15" t="inlineStr">
        <is>
          <t>REQ-0342</t>
        </is>
      </c>
      <c r="B343" s="16" t="n">
        <v>44867.82708333333</v>
      </c>
      <c r="C343" s="16">
        <f>B343+1</f>
        <v/>
      </c>
      <c r="D343" s="17">
        <f>(C343-NOW())*24</f>
        <v/>
      </c>
      <c r="E343" s="15">
        <f>IF(N343="","STEP 1: Send WhatsApp + Email blast now (Playbook M1)",IF(N343="Bad contact","STOP: report bad contact to lead (Playbook)",IF(O343="Scheduled","DONE: scheduled via Calendly",IF(O343="","STEP 2: Check Calendly now",IF(P343="","STEP 3: Send WhatsApp nudge (Playbook M2)",IF(Q343="Scheduled","DONE: scheduled via Calendly",IF(Q343="Escalate to call","HANDED to Shyam (call queue)","STEP 4: Final Calendly check")))))))</f>
        <v/>
      </c>
      <c r="F343" s="16">
        <f>IF(N343="",B343,IF(O343="",B343+2/24,IF(AND(O343="Not yet",P343=""),B343+2/24,IF(Q343="",B343+4/24,""))))</f>
        <v/>
      </c>
      <c r="G343" s="15" t="inlineStr">
        <is>
          <t>Chetan</t>
        </is>
      </c>
      <c r="H343" s="15" t="inlineStr">
        <is>
          <t>Google</t>
        </is>
      </c>
      <c r="I343" s="15" t="inlineStr">
        <is>
          <t>Round1</t>
        </is>
      </c>
      <c r="J343" s="18" t="inlineStr">
        <is>
          <t>+91 9920264452</t>
        </is>
      </c>
      <c r="K343" s="15" t="inlineStr">
        <is>
          <t>chetan@weekday.works</t>
        </is>
      </c>
      <c r="L343" s="15" t="inlineStr">
        <is>
          <t>&lt;calendly_link&gt;</t>
        </is>
      </c>
      <c r="M343" s="15" t="inlineStr">
        <is>
          <t>Yes</t>
        </is>
      </c>
      <c r="N343" s="15" t="n"/>
      <c r="O343" s="15" t="n"/>
      <c r="P343" s="15" t="n"/>
      <c r="Q343" s="15" t="n"/>
      <c r="R343" s="15">
        <f>IF(OR(O343="Scheduled",Q343="Scheduled"),"SCHEDULED",IF(Q343="Escalate to call","ESCALATED TO CALL",IF(N343="Bad contact","BAD CONTACT",IF(N343="","NOT STARTED","IN PROGRESS"))))</f>
        <v/>
      </c>
      <c r="S343" s="15" t="n"/>
    </row>
    <row r="344">
      <c r="A344" s="15" t="inlineStr">
        <is>
          <t>REQ-0343</t>
        </is>
      </c>
      <c r="B344" s="16" t="n">
        <v>44867.82708333333</v>
      </c>
      <c r="C344" s="16">
        <f>B344+1</f>
        <v/>
      </c>
      <c r="D344" s="17">
        <f>(C344-NOW())*24</f>
        <v/>
      </c>
      <c r="E344" s="15">
        <f>IF(N344="","STEP 1: Send WhatsApp + Email blast now (Playbook M1)",IF(N344="Bad contact","STOP: report bad contact to lead (Playbook)",IF(O344="Scheduled","DONE: scheduled via Calendly",IF(O344="","STEP 2: Check Calendly now",IF(P344="","STEP 3: Send WhatsApp nudge (Playbook M2)",IF(Q344="Scheduled","DONE: scheduled via Calendly",IF(Q344="Escalate to call","HANDED to Shyam (call queue)","STEP 4: Final Calendly check")))))))</f>
        <v/>
      </c>
      <c r="F344" s="16">
        <f>IF(N344="",B344,IF(O344="",B344+2/24,IF(AND(O344="Not yet",P344=""),B344+2/24,IF(Q344="",B344+4/24,""))))</f>
        <v/>
      </c>
      <c r="G344" s="15" t="inlineStr">
        <is>
          <t>Chetan</t>
        </is>
      </c>
      <c r="H344" s="15" t="inlineStr">
        <is>
          <t>Google</t>
        </is>
      </c>
      <c r="I344" s="15" t="inlineStr">
        <is>
          <t>Round1</t>
        </is>
      </c>
      <c r="J344" s="18" t="inlineStr">
        <is>
          <t>+91 9920264452</t>
        </is>
      </c>
      <c r="K344" s="15" t="inlineStr">
        <is>
          <t>chetan@weekday.works</t>
        </is>
      </c>
      <c r="L344" s="15" t="inlineStr">
        <is>
          <t>&lt;calendly_link&gt;</t>
        </is>
      </c>
      <c r="M344" s="15" t="inlineStr">
        <is>
          <t>Yes</t>
        </is>
      </c>
      <c r="N344" s="15" t="n"/>
      <c r="O344" s="15" t="n"/>
      <c r="P344" s="15" t="n"/>
      <c r="Q344" s="15" t="n"/>
      <c r="R344" s="15">
        <f>IF(OR(O344="Scheduled",Q344="Scheduled"),"SCHEDULED",IF(Q344="Escalate to call","ESCALATED TO CALL",IF(N344="Bad contact","BAD CONTACT",IF(N344="","NOT STARTED","IN PROGRESS"))))</f>
        <v/>
      </c>
      <c r="S344" s="15" t="n"/>
    </row>
    <row r="345">
      <c r="A345" s="15" t="inlineStr">
        <is>
          <t>REQ-0344</t>
        </is>
      </c>
      <c r="B345" s="16" t="n">
        <v>44867.82708333333</v>
      </c>
      <c r="C345" s="16">
        <f>B345+1</f>
        <v/>
      </c>
      <c r="D345" s="17">
        <f>(C345-NOW())*24</f>
        <v/>
      </c>
      <c r="E345" s="15">
        <f>IF(N345="","STEP 1: Send WhatsApp + Email blast now (Playbook M1)",IF(N345="Bad contact","STOP: report bad contact to lead (Playbook)",IF(O345="Scheduled","DONE: scheduled via Calendly",IF(O345="","STEP 2: Check Calendly now",IF(P345="","STEP 3: Send WhatsApp nudge (Playbook M2)",IF(Q345="Scheduled","DONE: scheduled via Calendly",IF(Q345="Escalate to call","HANDED to Shyam (call queue)","STEP 4: Final Calendly check")))))))</f>
        <v/>
      </c>
      <c r="F345" s="16">
        <f>IF(N345="",B345,IF(O345="",B345+2/24,IF(AND(O345="Not yet",P345=""),B345+2/24,IF(Q345="",B345+4/24,""))))</f>
        <v/>
      </c>
      <c r="G345" s="15" t="inlineStr">
        <is>
          <t>Chetan</t>
        </is>
      </c>
      <c r="H345" s="15" t="inlineStr">
        <is>
          <t>Google</t>
        </is>
      </c>
      <c r="I345" s="15" t="inlineStr">
        <is>
          <t>Round1</t>
        </is>
      </c>
      <c r="J345" s="18" t="inlineStr">
        <is>
          <t>+91 9920264452</t>
        </is>
      </c>
      <c r="K345" s="15" t="inlineStr">
        <is>
          <t>chetan@weekday.works</t>
        </is>
      </c>
      <c r="L345" s="15" t="inlineStr">
        <is>
          <t>&lt;calendly_link&gt;</t>
        </is>
      </c>
      <c r="M345" s="15" t="inlineStr">
        <is>
          <t>Yes</t>
        </is>
      </c>
      <c r="N345" s="15" t="n"/>
      <c r="O345" s="15" t="n"/>
      <c r="P345" s="15" t="n"/>
      <c r="Q345" s="15" t="n"/>
      <c r="R345" s="15">
        <f>IF(OR(O345="Scheduled",Q345="Scheduled"),"SCHEDULED",IF(Q345="Escalate to call","ESCALATED TO CALL",IF(N345="Bad contact","BAD CONTACT",IF(N345="","NOT STARTED","IN PROGRESS"))))</f>
        <v/>
      </c>
      <c r="S345" s="15" t="n"/>
    </row>
    <row r="346">
      <c r="A346" s="15" t="inlineStr">
        <is>
          <t>REQ-0345</t>
        </is>
      </c>
      <c r="B346" s="16" t="n">
        <v>44867.82708333333</v>
      </c>
      <c r="C346" s="16">
        <f>B346+1</f>
        <v/>
      </c>
      <c r="D346" s="17">
        <f>(C346-NOW())*24</f>
        <v/>
      </c>
      <c r="E346" s="15">
        <f>IF(N346="","STEP 1: Send WhatsApp + Email blast now (Playbook M1)",IF(N346="Bad contact","STOP: report bad contact to lead (Playbook)",IF(O346="Scheduled","DONE: scheduled via Calendly",IF(O346="","STEP 2: Check Calendly now",IF(P346="","STEP 3: Send WhatsApp nudge (Playbook M2)",IF(Q346="Scheduled","DONE: scheduled via Calendly",IF(Q346="Escalate to call","HANDED to Shyam (call queue)","STEP 4: Final Calendly check")))))))</f>
        <v/>
      </c>
      <c r="F346" s="16">
        <f>IF(N346="",B346,IF(O346="",B346+2/24,IF(AND(O346="Not yet",P346=""),B346+2/24,IF(Q346="",B346+4/24,""))))</f>
        <v/>
      </c>
      <c r="G346" s="15" t="inlineStr">
        <is>
          <t>Chetan</t>
        </is>
      </c>
      <c r="H346" s="15" t="inlineStr">
        <is>
          <t>Google</t>
        </is>
      </c>
      <c r="I346" s="15" t="inlineStr">
        <is>
          <t>Round1</t>
        </is>
      </c>
      <c r="J346" s="18" t="inlineStr">
        <is>
          <t>+91 9920264452</t>
        </is>
      </c>
      <c r="K346" s="15" t="inlineStr">
        <is>
          <t>chetan@weekday.works</t>
        </is>
      </c>
      <c r="L346" s="15" t="inlineStr">
        <is>
          <t>&lt;calendly_link&gt;</t>
        </is>
      </c>
      <c r="M346" s="15" t="inlineStr">
        <is>
          <t>Yes</t>
        </is>
      </c>
      <c r="N346" s="15" t="n"/>
      <c r="O346" s="15" t="n"/>
      <c r="P346" s="15" t="n"/>
      <c r="Q346" s="15" t="n"/>
      <c r="R346" s="15">
        <f>IF(OR(O346="Scheduled",Q346="Scheduled"),"SCHEDULED",IF(Q346="Escalate to call","ESCALATED TO CALL",IF(N346="Bad contact","BAD CONTACT",IF(N346="","NOT STARTED","IN PROGRESS"))))</f>
        <v/>
      </c>
      <c r="S346" s="15" t="n"/>
    </row>
    <row r="347">
      <c r="A347" s="15" t="inlineStr">
        <is>
          <t>REQ-0346</t>
        </is>
      </c>
      <c r="B347" s="16" t="n">
        <v>44867.82708333333</v>
      </c>
      <c r="C347" s="16">
        <f>B347+1</f>
        <v/>
      </c>
      <c r="D347" s="17">
        <f>(C347-NOW())*24</f>
        <v/>
      </c>
      <c r="E347" s="15">
        <f>IF(N347="","STEP 1: Send WhatsApp + Email blast now (Playbook M1)",IF(N347="Bad contact","STOP: report bad contact to lead (Playbook)",IF(O347="Scheduled","DONE: scheduled via Calendly",IF(O347="","STEP 2: Check Calendly now",IF(P347="","STEP 3: Send WhatsApp nudge (Playbook M2)",IF(Q347="Scheduled","DONE: scheduled via Calendly",IF(Q347="Escalate to call","HANDED to Shyam (call queue)","STEP 4: Final Calendly check")))))))</f>
        <v/>
      </c>
      <c r="F347" s="16">
        <f>IF(N347="",B347,IF(O347="",B347+2/24,IF(AND(O347="Not yet",P347=""),B347+2/24,IF(Q347="",B347+4/24,""))))</f>
        <v/>
      </c>
      <c r="G347" s="15" t="inlineStr">
        <is>
          <t>Chetan</t>
        </is>
      </c>
      <c r="H347" s="15" t="inlineStr">
        <is>
          <t>Google</t>
        </is>
      </c>
      <c r="I347" s="15" t="inlineStr">
        <is>
          <t>Round1</t>
        </is>
      </c>
      <c r="J347" s="18" t="inlineStr">
        <is>
          <t>+91 9920264452</t>
        </is>
      </c>
      <c r="K347" s="15" t="inlineStr">
        <is>
          <t>chetan@weekday.works</t>
        </is>
      </c>
      <c r="L347" s="15" t="inlineStr">
        <is>
          <t>&lt;calendly_link&gt;</t>
        </is>
      </c>
      <c r="M347" s="15" t="inlineStr">
        <is>
          <t>Yes</t>
        </is>
      </c>
      <c r="N347" s="15" t="n"/>
      <c r="O347" s="15" t="n"/>
      <c r="P347" s="15" t="n"/>
      <c r="Q347" s="15" t="n"/>
      <c r="R347" s="15">
        <f>IF(OR(O347="Scheduled",Q347="Scheduled"),"SCHEDULED",IF(Q347="Escalate to call","ESCALATED TO CALL",IF(N347="Bad contact","BAD CONTACT",IF(N347="","NOT STARTED","IN PROGRESS"))))</f>
        <v/>
      </c>
      <c r="S347" s="15" t="n"/>
    </row>
    <row r="348">
      <c r="A348" s="15" t="inlineStr">
        <is>
          <t>REQ-0347</t>
        </is>
      </c>
      <c r="B348" s="16" t="n">
        <v>44867.82708333333</v>
      </c>
      <c r="C348" s="16">
        <f>B348+1</f>
        <v/>
      </c>
      <c r="D348" s="17">
        <f>(C348-NOW())*24</f>
        <v/>
      </c>
      <c r="E348" s="15">
        <f>IF(N348="","STEP 1: Send WhatsApp + Email blast now (Playbook M1)",IF(N348="Bad contact","STOP: report bad contact to lead (Playbook)",IF(O348="Scheduled","DONE: scheduled via Calendly",IF(O348="","STEP 2: Check Calendly now",IF(P348="","STEP 3: Send WhatsApp nudge (Playbook M2)",IF(Q348="Scheduled","DONE: scheduled via Calendly",IF(Q348="Escalate to call","HANDED to Shyam (call queue)","STEP 4: Final Calendly check")))))))</f>
        <v/>
      </c>
      <c r="F348" s="16">
        <f>IF(N348="",B348,IF(O348="",B348+2/24,IF(AND(O348="Not yet",P348=""),B348+2/24,IF(Q348="",B348+4/24,""))))</f>
        <v/>
      </c>
      <c r="G348" s="15" t="inlineStr">
        <is>
          <t>Chetan</t>
        </is>
      </c>
      <c r="H348" s="15" t="inlineStr">
        <is>
          <t>Google</t>
        </is>
      </c>
      <c r="I348" s="15" t="inlineStr">
        <is>
          <t>Round1</t>
        </is>
      </c>
      <c r="J348" s="18" t="inlineStr">
        <is>
          <t>+91 9920264452</t>
        </is>
      </c>
      <c r="K348" s="15" t="inlineStr">
        <is>
          <t>chetan@weekday.works</t>
        </is>
      </c>
      <c r="L348" s="15" t="inlineStr">
        <is>
          <t>&lt;calendly_link&gt;</t>
        </is>
      </c>
      <c r="M348" s="15" t="inlineStr">
        <is>
          <t>Yes</t>
        </is>
      </c>
      <c r="N348" s="15" t="n"/>
      <c r="O348" s="15" t="n"/>
      <c r="P348" s="15" t="n"/>
      <c r="Q348" s="15" t="n"/>
      <c r="R348" s="15">
        <f>IF(OR(O348="Scheduled",Q348="Scheduled"),"SCHEDULED",IF(Q348="Escalate to call","ESCALATED TO CALL",IF(N348="Bad contact","BAD CONTACT",IF(N348="","NOT STARTED","IN PROGRESS"))))</f>
        <v/>
      </c>
      <c r="S348" s="15" t="n"/>
    </row>
    <row r="349">
      <c r="A349" s="15" t="inlineStr">
        <is>
          <t>REQ-0348</t>
        </is>
      </c>
      <c r="B349" s="16" t="n">
        <v>44867.82708333333</v>
      </c>
      <c r="C349" s="16">
        <f>B349+1</f>
        <v/>
      </c>
      <c r="D349" s="17">
        <f>(C349-NOW())*24</f>
        <v/>
      </c>
      <c r="E349" s="15">
        <f>IF(N349="","STEP 1: Send WhatsApp + Email blast now (Playbook M1)",IF(N349="Bad contact","STOP: report bad contact to lead (Playbook)",IF(O349="Scheduled","DONE: scheduled via Calendly",IF(O349="","STEP 2: Check Calendly now",IF(P349="","STEP 3: Send WhatsApp nudge (Playbook M2)",IF(Q349="Scheduled","DONE: scheduled via Calendly",IF(Q349="Escalate to call","HANDED to Shyam (call queue)","STEP 4: Final Calendly check")))))))</f>
        <v/>
      </c>
      <c r="F349" s="16">
        <f>IF(N349="",B349,IF(O349="",B349+2/24,IF(AND(O349="Not yet",P349=""),B349+2/24,IF(Q349="",B349+4/24,""))))</f>
        <v/>
      </c>
      <c r="G349" s="15" t="inlineStr">
        <is>
          <t>Chetan</t>
        </is>
      </c>
      <c r="H349" s="15" t="inlineStr">
        <is>
          <t>Google</t>
        </is>
      </c>
      <c r="I349" s="15" t="inlineStr">
        <is>
          <t>Round1</t>
        </is>
      </c>
      <c r="J349" s="18" t="inlineStr">
        <is>
          <t>+91 9920264452</t>
        </is>
      </c>
      <c r="K349" s="15" t="inlineStr">
        <is>
          <t>chetan@weekday.works</t>
        </is>
      </c>
      <c r="L349" s="15" t="inlineStr">
        <is>
          <t>&lt;calendly_link&gt;</t>
        </is>
      </c>
      <c r="M349" s="15" t="inlineStr">
        <is>
          <t>Yes</t>
        </is>
      </c>
      <c r="N349" s="15" t="n"/>
      <c r="O349" s="15" t="n"/>
      <c r="P349" s="15" t="n"/>
      <c r="Q349" s="15" t="n"/>
      <c r="R349" s="15">
        <f>IF(OR(O349="Scheduled",Q349="Scheduled"),"SCHEDULED",IF(Q349="Escalate to call","ESCALATED TO CALL",IF(N349="Bad contact","BAD CONTACT",IF(N349="","NOT STARTED","IN PROGRESS"))))</f>
        <v/>
      </c>
      <c r="S349" s="15" t="n"/>
    </row>
    <row r="350">
      <c r="A350" s="15" t="inlineStr">
        <is>
          <t>REQ-0349</t>
        </is>
      </c>
      <c r="B350" s="16" t="n">
        <v>44867.82708333333</v>
      </c>
      <c r="C350" s="16">
        <f>B350+1</f>
        <v/>
      </c>
      <c r="D350" s="17">
        <f>(C350-NOW())*24</f>
        <v/>
      </c>
      <c r="E350" s="15">
        <f>IF(N350="","STEP 1: Send WhatsApp + Email blast now (Playbook M1)",IF(N350="Bad contact","STOP: report bad contact to lead (Playbook)",IF(O350="Scheduled","DONE: scheduled via Calendly",IF(O350="","STEP 2: Check Calendly now",IF(P350="","STEP 3: Send WhatsApp nudge (Playbook M2)",IF(Q350="Scheduled","DONE: scheduled via Calendly",IF(Q350="Escalate to call","HANDED to Shyam (call queue)","STEP 4: Final Calendly check")))))))</f>
        <v/>
      </c>
      <c r="F350" s="16">
        <f>IF(N350="",B350,IF(O350="",B350+2/24,IF(AND(O350="Not yet",P350=""),B350+2/24,IF(Q350="",B350+4/24,""))))</f>
        <v/>
      </c>
      <c r="G350" s="15" t="inlineStr">
        <is>
          <t>Chetan</t>
        </is>
      </c>
      <c r="H350" s="15" t="inlineStr">
        <is>
          <t>Google</t>
        </is>
      </c>
      <c r="I350" s="15" t="inlineStr">
        <is>
          <t>Round1</t>
        </is>
      </c>
      <c r="J350" s="18" t="inlineStr">
        <is>
          <t>+91 9920264452</t>
        </is>
      </c>
      <c r="K350" s="15" t="inlineStr">
        <is>
          <t>chetan@weekday.works</t>
        </is>
      </c>
      <c r="L350" s="15" t="inlineStr">
        <is>
          <t>&lt;calendly_link&gt;</t>
        </is>
      </c>
      <c r="M350" s="15" t="inlineStr">
        <is>
          <t>Yes</t>
        </is>
      </c>
      <c r="N350" s="15" t="n"/>
      <c r="O350" s="15" t="n"/>
      <c r="P350" s="15" t="n"/>
      <c r="Q350" s="15" t="n"/>
      <c r="R350" s="15">
        <f>IF(OR(O350="Scheduled",Q350="Scheduled"),"SCHEDULED",IF(Q350="Escalate to call","ESCALATED TO CALL",IF(N350="Bad contact","BAD CONTACT",IF(N350="","NOT STARTED","IN PROGRESS"))))</f>
        <v/>
      </c>
      <c r="S350" s="15" t="n"/>
    </row>
    <row r="351">
      <c r="A351" s="15" t="inlineStr">
        <is>
          <t>REQ-0350</t>
        </is>
      </c>
      <c r="B351" s="16" t="n">
        <v>44867.82708333333</v>
      </c>
      <c r="C351" s="16">
        <f>B351+1</f>
        <v/>
      </c>
      <c r="D351" s="17">
        <f>(C351-NOW())*24</f>
        <v/>
      </c>
      <c r="E351" s="15">
        <f>IF(N351="","STEP 1: Send WhatsApp + Email blast now (Playbook M1)",IF(N351="Bad contact","STOP: report bad contact to lead (Playbook)",IF(O351="Scheduled","DONE: scheduled via Calendly",IF(O351="","STEP 2: Check Calendly now",IF(P351="","STEP 3: Send WhatsApp nudge (Playbook M2)",IF(Q351="Scheduled","DONE: scheduled via Calendly",IF(Q351="Escalate to call","HANDED to Shyam (call queue)","STEP 4: Final Calendly check")))))))</f>
        <v/>
      </c>
      <c r="F351" s="16">
        <f>IF(N351="",B351,IF(O351="",B351+2/24,IF(AND(O351="Not yet",P351=""),B351+2/24,IF(Q351="",B351+4/24,""))))</f>
        <v/>
      </c>
      <c r="G351" s="15" t="inlineStr">
        <is>
          <t>Chetan</t>
        </is>
      </c>
      <c r="H351" s="15" t="inlineStr">
        <is>
          <t>Google</t>
        </is>
      </c>
      <c r="I351" s="15" t="inlineStr">
        <is>
          <t>Round1</t>
        </is>
      </c>
      <c r="J351" s="18" t="inlineStr">
        <is>
          <t>+91 9920264452</t>
        </is>
      </c>
      <c r="K351" s="15" t="inlineStr">
        <is>
          <t>chetan@weekday.works</t>
        </is>
      </c>
      <c r="L351" s="15" t="inlineStr">
        <is>
          <t>&lt;calendly_link&gt;</t>
        </is>
      </c>
      <c r="M351" s="15" t="inlineStr">
        <is>
          <t>Yes</t>
        </is>
      </c>
      <c r="N351" s="15" t="n"/>
      <c r="O351" s="15" t="n"/>
      <c r="P351" s="15" t="n"/>
      <c r="Q351" s="15" t="n"/>
      <c r="R351" s="15">
        <f>IF(OR(O351="Scheduled",Q351="Scheduled"),"SCHEDULED",IF(Q351="Escalate to call","ESCALATED TO CALL",IF(N351="Bad contact","BAD CONTACT",IF(N351="","NOT STARTED","IN PROGRESS"))))</f>
        <v/>
      </c>
      <c r="S351" s="15" t="n"/>
    </row>
    <row r="352">
      <c r="A352" s="15" t="inlineStr">
        <is>
          <t>REQ-0351</t>
        </is>
      </c>
      <c r="B352" s="16" t="n">
        <v>44867.82708333333</v>
      </c>
      <c r="C352" s="16">
        <f>B352+1</f>
        <v/>
      </c>
      <c r="D352" s="17">
        <f>(C352-NOW())*24</f>
        <v/>
      </c>
      <c r="E352" s="15">
        <f>IF(N352="","STEP 1: Send WhatsApp + Email blast now (Playbook M1)",IF(N352="Bad contact","STOP: report bad contact to lead (Playbook)",IF(O352="Scheduled","DONE: scheduled via Calendly",IF(O352="","STEP 2: Check Calendly now",IF(P352="","STEP 3: Send WhatsApp nudge (Playbook M2)",IF(Q352="Scheduled","DONE: scheduled via Calendly",IF(Q352="Escalate to call","HANDED to Shyam (call queue)","STEP 4: Final Calendly check")))))))</f>
        <v/>
      </c>
      <c r="F352" s="16">
        <f>IF(N352="",B352,IF(O352="",B352+2/24,IF(AND(O352="Not yet",P352=""),B352+2/24,IF(Q352="",B352+4/24,""))))</f>
        <v/>
      </c>
      <c r="G352" s="15" t="inlineStr">
        <is>
          <t>Chetan</t>
        </is>
      </c>
      <c r="H352" s="15" t="inlineStr">
        <is>
          <t>Google</t>
        </is>
      </c>
      <c r="I352" s="15" t="inlineStr">
        <is>
          <t>Round1</t>
        </is>
      </c>
      <c r="J352" s="18" t="inlineStr">
        <is>
          <t>+91 9920264452</t>
        </is>
      </c>
      <c r="K352" s="15" t="inlineStr">
        <is>
          <t>chetan@weekday.works</t>
        </is>
      </c>
      <c r="L352" s="15" t="inlineStr">
        <is>
          <t>&lt;calendly_link&gt;</t>
        </is>
      </c>
      <c r="M352" s="15" t="inlineStr">
        <is>
          <t>Yes</t>
        </is>
      </c>
      <c r="N352" s="15" t="n"/>
      <c r="O352" s="15" t="n"/>
      <c r="P352" s="15" t="n"/>
      <c r="Q352" s="15" t="n"/>
      <c r="R352" s="15">
        <f>IF(OR(O352="Scheduled",Q352="Scheduled"),"SCHEDULED",IF(Q352="Escalate to call","ESCALATED TO CALL",IF(N352="Bad contact","BAD CONTACT",IF(N352="","NOT STARTED","IN PROGRESS"))))</f>
        <v/>
      </c>
      <c r="S352" s="15" t="n"/>
    </row>
    <row r="353">
      <c r="A353" s="15" t="inlineStr">
        <is>
          <t>REQ-0352</t>
        </is>
      </c>
      <c r="B353" s="16" t="n">
        <v>44867.82708333333</v>
      </c>
      <c r="C353" s="16">
        <f>B353+1</f>
        <v/>
      </c>
      <c r="D353" s="17">
        <f>(C353-NOW())*24</f>
        <v/>
      </c>
      <c r="E353" s="15">
        <f>IF(N353="","STEP 1: Send WhatsApp + Email blast now (Playbook M1)",IF(N353="Bad contact","STOP: report bad contact to lead (Playbook)",IF(O353="Scheduled","DONE: scheduled via Calendly",IF(O353="","STEP 2: Check Calendly now",IF(P353="","STEP 3: Send WhatsApp nudge (Playbook M2)",IF(Q353="Scheduled","DONE: scheduled via Calendly",IF(Q353="Escalate to call","HANDED to Shyam (call queue)","STEP 4: Final Calendly check")))))))</f>
        <v/>
      </c>
      <c r="F353" s="16">
        <f>IF(N353="",B353,IF(O353="",B353+2/24,IF(AND(O353="Not yet",P353=""),B353+2/24,IF(Q353="",B353+4/24,""))))</f>
        <v/>
      </c>
      <c r="G353" s="15" t="inlineStr">
        <is>
          <t>Chetan</t>
        </is>
      </c>
      <c r="H353" s="15" t="inlineStr">
        <is>
          <t>Google</t>
        </is>
      </c>
      <c r="I353" s="15" t="inlineStr">
        <is>
          <t>Round1</t>
        </is>
      </c>
      <c r="J353" s="18" t="inlineStr">
        <is>
          <t>+91 9920264452</t>
        </is>
      </c>
      <c r="K353" s="15" t="inlineStr">
        <is>
          <t>chetan@weekday.works</t>
        </is>
      </c>
      <c r="L353" s="15" t="inlineStr">
        <is>
          <t>&lt;calendly_link&gt;</t>
        </is>
      </c>
      <c r="M353" s="15" t="inlineStr">
        <is>
          <t>Yes</t>
        </is>
      </c>
      <c r="N353" s="15" t="n"/>
      <c r="O353" s="15" t="n"/>
      <c r="P353" s="15" t="n"/>
      <c r="Q353" s="15" t="n"/>
      <c r="R353" s="15">
        <f>IF(OR(O353="Scheduled",Q353="Scheduled"),"SCHEDULED",IF(Q353="Escalate to call","ESCALATED TO CALL",IF(N353="Bad contact","BAD CONTACT",IF(N353="","NOT STARTED","IN PROGRESS"))))</f>
        <v/>
      </c>
      <c r="S353" s="15" t="n"/>
    </row>
    <row r="354">
      <c r="A354" s="15" t="inlineStr">
        <is>
          <t>REQ-0353</t>
        </is>
      </c>
      <c r="B354" s="16" t="n">
        <v>44867.82708333333</v>
      </c>
      <c r="C354" s="16">
        <f>B354+1</f>
        <v/>
      </c>
      <c r="D354" s="17">
        <f>(C354-NOW())*24</f>
        <v/>
      </c>
      <c r="E354" s="15">
        <f>IF(N354="","STEP 1: Send WhatsApp + Email blast now (Playbook M1)",IF(N354="Bad contact","STOP: report bad contact to lead (Playbook)",IF(O354="Scheduled","DONE: scheduled via Calendly",IF(O354="","STEP 2: Check Calendly now",IF(P354="","STEP 3: Send WhatsApp nudge (Playbook M2)",IF(Q354="Scheduled","DONE: scheduled via Calendly",IF(Q354="Escalate to call","HANDED to Shyam (call queue)","STEP 4: Final Calendly check")))))))</f>
        <v/>
      </c>
      <c r="F354" s="16">
        <f>IF(N354="",B354,IF(O354="",B354+2/24,IF(AND(O354="Not yet",P354=""),B354+2/24,IF(Q354="",B354+4/24,""))))</f>
        <v/>
      </c>
      <c r="G354" s="15" t="inlineStr">
        <is>
          <t>Chetan</t>
        </is>
      </c>
      <c r="H354" s="15" t="inlineStr">
        <is>
          <t>Google</t>
        </is>
      </c>
      <c r="I354" s="15" t="inlineStr">
        <is>
          <t>Round1</t>
        </is>
      </c>
      <c r="J354" s="18" t="inlineStr">
        <is>
          <t>+91 9920264452</t>
        </is>
      </c>
      <c r="K354" s="15" t="inlineStr">
        <is>
          <t>chetan@weekday.works</t>
        </is>
      </c>
      <c r="L354" s="15" t="inlineStr">
        <is>
          <t>&lt;calendly_link&gt;</t>
        </is>
      </c>
      <c r="M354" s="15" t="inlineStr">
        <is>
          <t>Yes</t>
        </is>
      </c>
      <c r="N354" s="15" t="n"/>
      <c r="O354" s="15" t="n"/>
      <c r="P354" s="15" t="n"/>
      <c r="Q354" s="15" t="n"/>
      <c r="R354" s="15">
        <f>IF(OR(O354="Scheduled",Q354="Scheduled"),"SCHEDULED",IF(Q354="Escalate to call","ESCALATED TO CALL",IF(N354="Bad contact","BAD CONTACT",IF(N354="","NOT STARTED","IN PROGRESS"))))</f>
        <v/>
      </c>
      <c r="S354" s="15" t="n"/>
    </row>
    <row r="355">
      <c r="A355" s="15" t="inlineStr">
        <is>
          <t>REQ-0354</t>
        </is>
      </c>
      <c r="B355" s="16" t="n">
        <v>44867.82708333333</v>
      </c>
      <c r="C355" s="16">
        <f>B355+1</f>
        <v/>
      </c>
      <c r="D355" s="17">
        <f>(C355-NOW())*24</f>
        <v/>
      </c>
      <c r="E355" s="15">
        <f>IF(N355="","STEP 1: Send WhatsApp + Email blast now (Playbook M1)",IF(N355="Bad contact","STOP: report bad contact to lead (Playbook)",IF(O355="Scheduled","DONE: scheduled via Calendly",IF(O355="","STEP 2: Check Calendly now",IF(P355="","STEP 3: Send WhatsApp nudge (Playbook M2)",IF(Q355="Scheduled","DONE: scheduled via Calendly",IF(Q355="Escalate to call","HANDED to Shyam (call queue)","STEP 4: Final Calendly check")))))))</f>
        <v/>
      </c>
      <c r="F355" s="16">
        <f>IF(N355="",B355,IF(O355="",B355+2/24,IF(AND(O355="Not yet",P355=""),B355+2/24,IF(Q355="",B355+4/24,""))))</f>
        <v/>
      </c>
      <c r="G355" s="15" t="inlineStr">
        <is>
          <t>Chetan</t>
        </is>
      </c>
      <c r="H355" s="15" t="inlineStr">
        <is>
          <t>Google</t>
        </is>
      </c>
      <c r="I355" s="15" t="inlineStr">
        <is>
          <t>Round1</t>
        </is>
      </c>
      <c r="J355" s="18" t="inlineStr">
        <is>
          <t>+91 9920264452</t>
        </is>
      </c>
      <c r="K355" s="15" t="inlineStr">
        <is>
          <t>chetan@weekday.works</t>
        </is>
      </c>
      <c r="L355" s="15" t="inlineStr">
        <is>
          <t>&lt;calendly_link&gt;</t>
        </is>
      </c>
      <c r="M355" s="15" t="inlineStr">
        <is>
          <t>Yes</t>
        </is>
      </c>
      <c r="N355" s="15" t="n"/>
      <c r="O355" s="15" t="n"/>
      <c r="P355" s="15" t="n"/>
      <c r="Q355" s="15" t="n"/>
      <c r="R355" s="15">
        <f>IF(OR(O355="Scheduled",Q355="Scheduled"),"SCHEDULED",IF(Q355="Escalate to call","ESCALATED TO CALL",IF(N355="Bad contact","BAD CONTACT",IF(N355="","NOT STARTED","IN PROGRESS"))))</f>
        <v/>
      </c>
      <c r="S355" s="15" t="n"/>
    </row>
    <row r="356">
      <c r="A356" s="15" t="inlineStr">
        <is>
          <t>REQ-0355</t>
        </is>
      </c>
      <c r="B356" s="16" t="n">
        <v>44867.82708333333</v>
      </c>
      <c r="C356" s="16">
        <f>B356+1</f>
        <v/>
      </c>
      <c r="D356" s="17">
        <f>(C356-NOW())*24</f>
        <v/>
      </c>
      <c r="E356" s="15">
        <f>IF(N356="","STEP 1: Send WhatsApp + Email blast now (Playbook M1)",IF(N356="Bad contact","STOP: report bad contact to lead (Playbook)",IF(O356="Scheduled","DONE: scheduled via Calendly",IF(O356="","STEP 2: Check Calendly now",IF(P356="","STEP 3: Send WhatsApp nudge (Playbook M2)",IF(Q356="Scheduled","DONE: scheduled via Calendly",IF(Q356="Escalate to call","HANDED to Shyam (call queue)","STEP 4: Final Calendly check")))))))</f>
        <v/>
      </c>
      <c r="F356" s="16">
        <f>IF(N356="",B356,IF(O356="",B356+2/24,IF(AND(O356="Not yet",P356=""),B356+2/24,IF(Q356="",B356+4/24,""))))</f>
        <v/>
      </c>
      <c r="G356" s="15" t="inlineStr">
        <is>
          <t>Chetan</t>
        </is>
      </c>
      <c r="H356" s="15" t="inlineStr">
        <is>
          <t>Google</t>
        </is>
      </c>
      <c r="I356" s="15" t="inlineStr">
        <is>
          <t>Round1</t>
        </is>
      </c>
      <c r="J356" s="18" t="inlineStr">
        <is>
          <t>+91 9920264452</t>
        </is>
      </c>
      <c r="K356" s="15" t="inlineStr">
        <is>
          <t>chetan@weekday.works</t>
        </is>
      </c>
      <c r="L356" s="15" t="inlineStr">
        <is>
          <t>&lt;calendly_link&gt;</t>
        </is>
      </c>
      <c r="M356" s="15" t="inlineStr">
        <is>
          <t>Yes</t>
        </is>
      </c>
      <c r="N356" s="15" t="n"/>
      <c r="O356" s="15" t="n"/>
      <c r="P356" s="15" t="n"/>
      <c r="Q356" s="15" t="n"/>
      <c r="R356" s="15">
        <f>IF(OR(O356="Scheduled",Q356="Scheduled"),"SCHEDULED",IF(Q356="Escalate to call","ESCALATED TO CALL",IF(N356="Bad contact","BAD CONTACT",IF(N356="","NOT STARTED","IN PROGRESS"))))</f>
        <v/>
      </c>
      <c r="S356" s="15" t="n"/>
    </row>
    <row r="357">
      <c r="A357" s="15" t="inlineStr">
        <is>
          <t>REQ-0356</t>
        </is>
      </c>
      <c r="B357" s="16" t="n">
        <v>44867.82708333333</v>
      </c>
      <c r="C357" s="16">
        <f>B357+1</f>
        <v/>
      </c>
      <c r="D357" s="17">
        <f>(C357-NOW())*24</f>
        <v/>
      </c>
      <c r="E357" s="15">
        <f>IF(N357="","STEP 1: Send WhatsApp + Email blast now (Playbook M1)",IF(N357="Bad contact","STOP: report bad contact to lead (Playbook)",IF(O357="Scheduled","DONE: scheduled via Calendly",IF(O357="","STEP 2: Check Calendly now",IF(P357="","STEP 3: Send WhatsApp nudge (Playbook M2)",IF(Q357="Scheduled","DONE: scheduled via Calendly",IF(Q357="Escalate to call","HANDED to Shyam (call queue)","STEP 4: Final Calendly check")))))))</f>
        <v/>
      </c>
      <c r="F357" s="16">
        <f>IF(N357="",B357,IF(O357="",B357+2/24,IF(AND(O357="Not yet",P357=""),B357+2/24,IF(Q357="",B357+4/24,""))))</f>
        <v/>
      </c>
      <c r="G357" s="15" t="inlineStr">
        <is>
          <t>Chetan</t>
        </is>
      </c>
      <c r="H357" s="15" t="inlineStr">
        <is>
          <t>Google</t>
        </is>
      </c>
      <c r="I357" s="15" t="inlineStr">
        <is>
          <t>Round1</t>
        </is>
      </c>
      <c r="J357" s="18" t="inlineStr">
        <is>
          <t>+91 9920264452</t>
        </is>
      </c>
      <c r="K357" s="15" t="inlineStr">
        <is>
          <t>chetan@weekday.works</t>
        </is>
      </c>
      <c r="L357" s="15" t="inlineStr">
        <is>
          <t>&lt;calendly_link&gt;</t>
        </is>
      </c>
      <c r="M357" s="15" t="inlineStr">
        <is>
          <t>Yes</t>
        </is>
      </c>
      <c r="N357" s="15" t="n"/>
      <c r="O357" s="15" t="n"/>
      <c r="P357" s="15" t="n"/>
      <c r="Q357" s="15" t="n"/>
      <c r="R357" s="15">
        <f>IF(OR(O357="Scheduled",Q357="Scheduled"),"SCHEDULED",IF(Q357="Escalate to call","ESCALATED TO CALL",IF(N357="Bad contact","BAD CONTACT",IF(N357="","NOT STARTED","IN PROGRESS"))))</f>
        <v/>
      </c>
      <c r="S357" s="15" t="n"/>
    </row>
    <row r="358">
      <c r="A358" s="15" t="inlineStr">
        <is>
          <t>REQ-0357</t>
        </is>
      </c>
      <c r="B358" s="16" t="n">
        <v>44867.82708333333</v>
      </c>
      <c r="C358" s="16">
        <f>B358+1</f>
        <v/>
      </c>
      <c r="D358" s="17">
        <f>(C358-NOW())*24</f>
        <v/>
      </c>
      <c r="E358" s="15">
        <f>IF(N358="","STEP 1: Send WhatsApp + Email blast now (Playbook M1)",IF(N358="Bad contact","STOP: report bad contact to lead (Playbook)",IF(O358="Scheduled","DONE: scheduled via Calendly",IF(O358="","STEP 2: Check Calendly now",IF(P358="","STEP 3: Send WhatsApp nudge (Playbook M2)",IF(Q358="Scheduled","DONE: scheduled via Calendly",IF(Q358="Escalate to call","HANDED to Shyam (call queue)","STEP 4: Final Calendly check")))))))</f>
        <v/>
      </c>
      <c r="F358" s="16">
        <f>IF(N358="",B358,IF(O358="",B358+2/24,IF(AND(O358="Not yet",P358=""),B358+2/24,IF(Q358="",B358+4/24,""))))</f>
        <v/>
      </c>
      <c r="G358" s="15" t="inlineStr">
        <is>
          <t>Chetan</t>
        </is>
      </c>
      <c r="H358" s="15" t="inlineStr">
        <is>
          <t>Google</t>
        </is>
      </c>
      <c r="I358" s="15" t="inlineStr">
        <is>
          <t>Round1</t>
        </is>
      </c>
      <c r="J358" s="18" t="inlineStr">
        <is>
          <t>+91 9920264452</t>
        </is>
      </c>
      <c r="K358" s="15" t="inlineStr">
        <is>
          <t>chetan@weekday.works</t>
        </is>
      </c>
      <c r="L358" s="15" t="inlineStr">
        <is>
          <t>&lt;calendly_link&gt;</t>
        </is>
      </c>
      <c r="M358" s="15" t="inlineStr">
        <is>
          <t>Yes</t>
        </is>
      </c>
      <c r="N358" s="15" t="n"/>
      <c r="O358" s="15" t="n"/>
      <c r="P358" s="15" t="n"/>
      <c r="Q358" s="15" t="n"/>
      <c r="R358" s="15">
        <f>IF(OR(O358="Scheduled",Q358="Scheduled"),"SCHEDULED",IF(Q358="Escalate to call","ESCALATED TO CALL",IF(N358="Bad contact","BAD CONTACT",IF(N358="","NOT STARTED","IN PROGRESS"))))</f>
        <v/>
      </c>
      <c r="S358" s="15" t="n"/>
    </row>
    <row r="359">
      <c r="A359" s="15" t="inlineStr">
        <is>
          <t>REQ-0358</t>
        </is>
      </c>
      <c r="B359" s="16" t="n">
        <v>44867.82708333333</v>
      </c>
      <c r="C359" s="16">
        <f>B359+1</f>
        <v/>
      </c>
      <c r="D359" s="17">
        <f>(C359-NOW())*24</f>
        <v/>
      </c>
      <c r="E359" s="15">
        <f>IF(N359="","STEP 1: Send WhatsApp + Email blast now (Playbook M1)",IF(N359="Bad contact","STOP: report bad contact to lead (Playbook)",IF(O359="Scheduled","DONE: scheduled via Calendly",IF(O359="","STEP 2: Check Calendly now",IF(P359="","STEP 3: Send WhatsApp nudge (Playbook M2)",IF(Q359="Scheduled","DONE: scheduled via Calendly",IF(Q359="Escalate to call","HANDED to Shyam (call queue)","STEP 4: Final Calendly check")))))))</f>
        <v/>
      </c>
      <c r="F359" s="16">
        <f>IF(N359="",B359,IF(O359="",B359+2/24,IF(AND(O359="Not yet",P359=""),B359+2/24,IF(Q359="",B359+4/24,""))))</f>
        <v/>
      </c>
      <c r="G359" s="15" t="inlineStr">
        <is>
          <t>Chetan</t>
        </is>
      </c>
      <c r="H359" s="15" t="inlineStr">
        <is>
          <t>Google</t>
        </is>
      </c>
      <c r="I359" s="15" t="inlineStr">
        <is>
          <t>Round1</t>
        </is>
      </c>
      <c r="J359" s="18" t="inlineStr">
        <is>
          <t>+91 9920264452</t>
        </is>
      </c>
      <c r="K359" s="15" t="inlineStr">
        <is>
          <t>chetan@weekday.works</t>
        </is>
      </c>
      <c r="L359" s="15" t="inlineStr">
        <is>
          <t>&lt;calendly_link&gt;</t>
        </is>
      </c>
      <c r="M359" s="15" t="inlineStr">
        <is>
          <t>Yes</t>
        </is>
      </c>
      <c r="N359" s="15" t="n"/>
      <c r="O359" s="15" t="n"/>
      <c r="P359" s="15" t="n"/>
      <c r="Q359" s="15" t="n"/>
      <c r="R359" s="15">
        <f>IF(OR(O359="Scheduled",Q359="Scheduled"),"SCHEDULED",IF(Q359="Escalate to call","ESCALATED TO CALL",IF(N359="Bad contact","BAD CONTACT",IF(N359="","NOT STARTED","IN PROGRESS"))))</f>
        <v/>
      </c>
      <c r="S359" s="15" t="n"/>
    </row>
    <row r="360">
      <c r="A360" s="15" t="inlineStr">
        <is>
          <t>REQ-0359</t>
        </is>
      </c>
      <c r="B360" s="16" t="n">
        <v>44867.82708333333</v>
      </c>
      <c r="C360" s="16">
        <f>B360+1</f>
        <v/>
      </c>
      <c r="D360" s="17">
        <f>(C360-NOW())*24</f>
        <v/>
      </c>
      <c r="E360" s="15">
        <f>IF(N360="","STEP 1: Send WhatsApp + Email blast now (Playbook M1)",IF(N360="Bad contact","STOP: report bad contact to lead (Playbook)",IF(O360="Scheduled","DONE: scheduled via Calendly",IF(O360="","STEP 2: Check Calendly now",IF(P360="","STEP 3: Send WhatsApp nudge (Playbook M2)",IF(Q360="Scheduled","DONE: scheduled via Calendly",IF(Q360="Escalate to call","HANDED to Shyam (call queue)","STEP 4: Final Calendly check")))))))</f>
        <v/>
      </c>
      <c r="F360" s="16">
        <f>IF(N360="",B360,IF(O360="",B360+2/24,IF(AND(O360="Not yet",P360=""),B360+2/24,IF(Q360="",B360+4/24,""))))</f>
        <v/>
      </c>
      <c r="G360" s="15" t="inlineStr">
        <is>
          <t>Chetan</t>
        </is>
      </c>
      <c r="H360" s="15" t="inlineStr">
        <is>
          <t>Google</t>
        </is>
      </c>
      <c r="I360" s="15" t="inlineStr">
        <is>
          <t>Round1</t>
        </is>
      </c>
      <c r="J360" s="18" t="inlineStr">
        <is>
          <t>+91 9920264452</t>
        </is>
      </c>
      <c r="K360" s="15" t="inlineStr">
        <is>
          <t>chetan@weekday.works</t>
        </is>
      </c>
      <c r="L360" s="15" t="inlineStr">
        <is>
          <t>&lt;calendly_link&gt;</t>
        </is>
      </c>
      <c r="M360" s="15" t="inlineStr">
        <is>
          <t>Yes</t>
        </is>
      </c>
      <c r="N360" s="15" t="n"/>
      <c r="O360" s="15" t="n"/>
      <c r="P360" s="15" t="n"/>
      <c r="Q360" s="15" t="n"/>
      <c r="R360" s="15">
        <f>IF(OR(O360="Scheduled",Q360="Scheduled"),"SCHEDULED",IF(Q360="Escalate to call","ESCALATED TO CALL",IF(N360="Bad contact","BAD CONTACT",IF(N360="","NOT STARTED","IN PROGRESS"))))</f>
        <v/>
      </c>
      <c r="S360" s="15" t="n"/>
    </row>
    <row r="361">
      <c r="A361" s="15" t="inlineStr">
        <is>
          <t>REQ-0360</t>
        </is>
      </c>
      <c r="B361" s="16" t="n">
        <v>44867.82708333333</v>
      </c>
      <c r="C361" s="16">
        <f>B361+1</f>
        <v/>
      </c>
      <c r="D361" s="17">
        <f>(C361-NOW())*24</f>
        <v/>
      </c>
      <c r="E361" s="15">
        <f>IF(N361="","STEP 1: Send WhatsApp + Email blast now (Playbook M1)",IF(N361="Bad contact","STOP: report bad contact to lead (Playbook)",IF(O361="Scheduled","DONE: scheduled via Calendly",IF(O361="","STEP 2: Check Calendly now",IF(P361="","STEP 3: Send WhatsApp nudge (Playbook M2)",IF(Q361="Scheduled","DONE: scheduled via Calendly",IF(Q361="Escalate to call","HANDED to Shyam (call queue)","STEP 4: Final Calendly check")))))))</f>
        <v/>
      </c>
      <c r="F361" s="16">
        <f>IF(N361="",B361,IF(O361="",B361+2/24,IF(AND(O361="Not yet",P361=""),B361+2/24,IF(Q361="",B361+4/24,""))))</f>
        <v/>
      </c>
      <c r="G361" s="15" t="inlineStr">
        <is>
          <t>Chetan</t>
        </is>
      </c>
      <c r="H361" s="15" t="inlineStr">
        <is>
          <t>Google</t>
        </is>
      </c>
      <c r="I361" s="15" t="inlineStr">
        <is>
          <t>Round1</t>
        </is>
      </c>
      <c r="J361" s="18" t="inlineStr">
        <is>
          <t>+91 9920264452</t>
        </is>
      </c>
      <c r="K361" s="15" t="inlineStr">
        <is>
          <t>chetan@weekday.works</t>
        </is>
      </c>
      <c r="L361" s="15" t="inlineStr">
        <is>
          <t>&lt;calendly_link&gt;</t>
        </is>
      </c>
      <c r="M361" s="15" t="inlineStr">
        <is>
          <t>Yes</t>
        </is>
      </c>
      <c r="N361" s="15" t="n"/>
      <c r="O361" s="15" t="n"/>
      <c r="P361" s="15" t="n"/>
      <c r="Q361" s="15" t="n"/>
      <c r="R361" s="15">
        <f>IF(OR(O361="Scheduled",Q361="Scheduled"),"SCHEDULED",IF(Q361="Escalate to call","ESCALATED TO CALL",IF(N361="Bad contact","BAD CONTACT",IF(N361="","NOT STARTED","IN PROGRESS"))))</f>
        <v/>
      </c>
      <c r="S361" s="15" t="n"/>
    </row>
    <row r="362">
      <c r="A362" s="15" t="inlineStr">
        <is>
          <t>REQ-0361</t>
        </is>
      </c>
      <c r="B362" s="16" t="n">
        <v>44867.82708333333</v>
      </c>
      <c r="C362" s="16">
        <f>B362+1</f>
        <v/>
      </c>
      <c r="D362" s="17">
        <f>(C362-NOW())*24</f>
        <v/>
      </c>
      <c r="E362" s="15">
        <f>IF(N362="","STEP 1: Send WhatsApp + Email blast now (Playbook M1)",IF(N362="Bad contact","STOP: report bad contact to lead (Playbook)",IF(O362="Scheduled","DONE: scheduled via Calendly",IF(O362="","STEP 2: Check Calendly now",IF(P362="","STEP 3: Send WhatsApp nudge (Playbook M2)",IF(Q362="Scheduled","DONE: scheduled via Calendly",IF(Q362="Escalate to call","HANDED to Shyam (call queue)","STEP 4: Final Calendly check")))))))</f>
        <v/>
      </c>
      <c r="F362" s="16">
        <f>IF(N362="",B362,IF(O362="",B362+2/24,IF(AND(O362="Not yet",P362=""),B362+2/24,IF(Q362="",B362+4/24,""))))</f>
        <v/>
      </c>
      <c r="G362" s="15" t="inlineStr">
        <is>
          <t>Chetan</t>
        </is>
      </c>
      <c r="H362" s="15" t="inlineStr">
        <is>
          <t>Google</t>
        </is>
      </c>
      <c r="I362" s="15" t="inlineStr">
        <is>
          <t>Round1</t>
        </is>
      </c>
      <c r="J362" s="18" t="inlineStr">
        <is>
          <t>+91 9920264452</t>
        </is>
      </c>
      <c r="K362" s="15" t="inlineStr">
        <is>
          <t>chetan@weekday.works</t>
        </is>
      </c>
      <c r="L362" s="15" t="inlineStr">
        <is>
          <t>&lt;calendly_link&gt;</t>
        </is>
      </c>
      <c r="M362" s="15" t="inlineStr">
        <is>
          <t>Yes</t>
        </is>
      </c>
      <c r="N362" s="15" t="n"/>
      <c r="O362" s="15" t="n"/>
      <c r="P362" s="15" t="n"/>
      <c r="Q362" s="15" t="n"/>
      <c r="R362" s="15">
        <f>IF(OR(O362="Scheduled",Q362="Scheduled"),"SCHEDULED",IF(Q362="Escalate to call","ESCALATED TO CALL",IF(N362="Bad contact","BAD CONTACT",IF(N362="","NOT STARTED","IN PROGRESS"))))</f>
        <v/>
      </c>
      <c r="S362" s="15" t="n"/>
    </row>
    <row r="363">
      <c r="A363" s="15" t="inlineStr">
        <is>
          <t>REQ-0362</t>
        </is>
      </c>
      <c r="B363" s="16" t="n">
        <v>44867.82708333333</v>
      </c>
      <c r="C363" s="16">
        <f>B363+1</f>
        <v/>
      </c>
      <c r="D363" s="17">
        <f>(C363-NOW())*24</f>
        <v/>
      </c>
      <c r="E363" s="15">
        <f>IF(N363="","STEP 1: Send WhatsApp + Email blast now (Playbook M1)",IF(N363="Bad contact","STOP: report bad contact to lead (Playbook)",IF(O363="Scheduled","DONE: scheduled via Calendly",IF(O363="","STEP 2: Check Calendly now",IF(P363="","STEP 3: Send WhatsApp nudge (Playbook M2)",IF(Q363="Scheduled","DONE: scheduled via Calendly",IF(Q363="Escalate to call","HANDED to Shyam (call queue)","STEP 4: Final Calendly check")))))))</f>
        <v/>
      </c>
      <c r="F363" s="16">
        <f>IF(N363="",B363,IF(O363="",B363+2/24,IF(AND(O363="Not yet",P363=""),B363+2/24,IF(Q363="",B363+4/24,""))))</f>
        <v/>
      </c>
      <c r="G363" s="15" t="inlineStr">
        <is>
          <t>Chetan</t>
        </is>
      </c>
      <c r="H363" s="15" t="inlineStr">
        <is>
          <t>Google</t>
        </is>
      </c>
      <c r="I363" s="15" t="inlineStr">
        <is>
          <t>Round1</t>
        </is>
      </c>
      <c r="J363" s="18" t="inlineStr">
        <is>
          <t>+91 9920264452</t>
        </is>
      </c>
      <c r="K363" s="15" t="inlineStr">
        <is>
          <t>chetan@weekday.works</t>
        </is>
      </c>
      <c r="L363" s="15" t="inlineStr">
        <is>
          <t>&lt;calendly_link&gt;</t>
        </is>
      </c>
      <c r="M363" s="15" t="inlineStr">
        <is>
          <t>Yes</t>
        </is>
      </c>
      <c r="N363" s="15" t="n"/>
      <c r="O363" s="15" t="n"/>
      <c r="P363" s="15" t="n"/>
      <c r="Q363" s="15" t="n"/>
      <c r="R363" s="15">
        <f>IF(OR(O363="Scheduled",Q363="Scheduled"),"SCHEDULED",IF(Q363="Escalate to call","ESCALATED TO CALL",IF(N363="Bad contact","BAD CONTACT",IF(N363="","NOT STARTED","IN PROGRESS"))))</f>
        <v/>
      </c>
      <c r="S363" s="15" t="n"/>
    </row>
    <row r="364">
      <c r="A364" s="15" t="inlineStr">
        <is>
          <t>REQ-0363</t>
        </is>
      </c>
      <c r="B364" s="16" t="n">
        <v>44867.82708333333</v>
      </c>
      <c r="C364" s="16">
        <f>B364+1</f>
        <v/>
      </c>
      <c r="D364" s="17">
        <f>(C364-NOW())*24</f>
        <v/>
      </c>
      <c r="E364" s="15">
        <f>IF(N364="","STEP 1: Send WhatsApp + Email blast now (Playbook M1)",IF(N364="Bad contact","STOP: report bad contact to lead (Playbook)",IF(O364="Scheduled","DONE: scheduled via Calendly",IF(O364="","STEP 2: Check Calendly now",IF(P364="","STEP 3: Send WhatsApp nudge (Playbook M2)",IF(Q364="Scheduled","DONE: scheduled via Calendly",IF(Q364="Escalate to call","HANDED to Shyam (call queue)","STEP 4: Final Calendly check")))))))</f>
        <v/>
      </c>
      <c r="F364" s="16">
        <f>IF(N364="",B364,IF(O364="",B364+2/24,IF(AND(O364="Not yet",P364=""),B364+2/24,IF(Q364="",B364+4/24,""))))</f>
        <v/>
      </c>
      <c r="G364" s="15" t="inlineStr">
        <is>
          <t>Chetan</t>
        </is>
      </c>
      <c r="H364" s="15" t="inlineStr">
        <is>
          <t>Google</t>
        </is>
      </c>
      <c r="I364" s="15" t="inlineStr">
        <is>
          <t>Round1</t>
        </is>
      </c>
      <c r="J364" s="18" t="inlineStr">
        <is>
          <t>+91 9920264452</t>
        </is>
      </c>
      <c r="K364" s="15" t="inlineStr">
        <is>
          <t>chetan@weekday.works</t>
        </is>
      </c>
      <c r="L364" s="15" t="inlineStr">
        <is>
          <t>&lt;calendly_link&gt;</t>
        </is>
      </c>
      <c r="M364" s="15" t="inlineStr">
        <is>
          <t>Yes</t>
        </is>
      </c>
      <c r="N364" s="15" t="n"/>
      <c r="O364" s="15" t="n"/>
      <c r="P364" s="15" t="n"/>
      <c r="Q364" s="15" t="n"/>
      <c r="R364" s="15">
        <f>IF(OR(O364="Scheduled",Q364="Scheduled"),"SCHEDULED",IF(Q364="Escalate to call","ESCALATED TO CALL",IF(N364="Bad contact","BAD CONTACT",IF(N364="","NOT STARTED","IN PROGRESS"))))</f>
        <v/>
      </c>
      <c r="S364" s="15" t="n"/>
    </row>
    <row r="365">
      <c r="A365" s="15" t="inlineStr">
        <is>
          <t>REQ-0364</t>
        </is>
      </c>
      <c r="B365" s="16" t="n">
        <v>44867.82708333333</v>
      </c>
      <c r="C365" s="16">
        <f>B365+1</f>
        <v/>
      </c>
      <c r="D365" s="17">
        <f>(C365-NOW())*24</f>
        <v/>
      </c>
      <c r="E365" s="15">
        <f>IF(N365="","STEP 1: Send WhatsApp + Email blast now (Playbook M1)",IF(N365="Bad contact","STOP: report bad contact to lead (Playbook)",IF(O365="Scheduled","DONE: scheduled via Calendly",IF(O365="","STEP 2: Check Calendly now",IF(P365="","STEP 3: Send WhatsApp nudge (Playbook M2)",IF(Q365="Scheduled","DONE: scheduled via Calendly",IF(Q365="Escalate to call","HANDED to Shyam (call queue)","STEP 4: Final Calendly check")))))))</f>
        <v/>
      </c>
      <c r="F365" s="16">
        <f>IF(N365="",B365,IF(O365="",B365+2/24,IF(AND(O365="Not yet",P365=""),B365+2/24,IF(Q365="",B365+4/24,""))))</f>
        <v/>
      </c>
      <c r="G365" s="15" t="inlineStr">
        <is>
          <t>Chetan</t>
        </is>
      </c>
      <c r="H365" s="15" t="inlineStr">
        <is>
          <t>Google</t>
        </is>
      </c>
      <c r="I365" s="15" t="inlineStr">
        <is>
          <t>Round1</t>
        </is>
      </c>
      <c r="J365" s="18" t="inlineStr">
        <is>
          <t>+91 9920264452</t>
        </is>
      </c>
      <c r="K365" s="15" t="inlineStr">
        <is>
          <t>chetan@weekday.works</t>
        </is>
      </c>
      <c r="L365" s="15" t="inlineStr">
        <is>
          <t>&lt;calendly_link&gt;</t>
        </is>
      </c>
      <c r="M365" s="15" t="inlineStr">
        <is>
          <t>Yes</t>
        </is>
      </c>
      <c r="N365" s="15" t="n"/>
      <c r="O365" s="15" t="n"/>
      <c r="P365" s="15" t="n"/>
      <c r="Q365" s="15" t="n"/>
      <c r="R365" s="15">
        <f>IF(OR(O365="Scheduled",Q365="Scheduled"),"SCHEDULED",IF(Q365="Escalate to call","ESCALATED TO CALL",IF(N365="Bad contact","BAD CONTACT",IF(N365="","NOT STARTED","IN PROGRESS"))))</f>
        <v/>
      </c>
      <c r="S365" s="15" t="n"/>
    </row>
    <row r="366">
      <c r="A366" s="15" t="inlineStr">
        <is>
          <t>REQ-0365</t>
        </is>
      </c>
      <c r="B366" s="16" t="n">
        <v>44867.82708333333</v>
      </c>
      <c r="C366" s="16">
        <f>B366+1</f>
        <v/>
      </c>
      <c r="D366" s="17">
        <f>(C366-NOW())*24</f>
        <v/>
      </c>
      <c r="E366" s="15">
        <f>IF(N366="","STEP 1: Send WhatsApp + Email blast now (Playbook M1)",IF(N366="Bad contact","STOP: report bad contact to lead (Playbook)",IF(O366="Scheduled","DONE: scheduled via Calendly",IF(O366="","STEP 2: Check Calendly now",IF(P366="","STEP 3: Send WhatsApp nudge (Playbook M2)",IF(Q366="Scheduled","DONE: scheduled via Calendly",IF(Q366="Escalate to call","HANDED to Shyam (call queue)","STEP 4: Final Calendly check")))))))</f>
        <v/>
      </c>
      <c r="F366" s="16">
        <f>IF(N366="",B366,IF(O366="",B366+2/24,IF(AND(O366="Not yet",P366=""),B366+2/24,IF(Q366="",B366+4/24,""))))</f>
        <v/>
      </c>
      <c r="G366" s="15" t="inlineStr">
        <is>
          <t>Chetan</t>
        </is>
      </c>
      <c r="H366" s="15" t="inlineStr">
        <is>
          <t>Google</t>
        </is>
      </c>
      <c r="I366" s="15" t="inlineStr">
        <is>
          <t>Round1</t>
        </is>
      </c>
      <c r="J366" s="18" t="inlineStr">
        <is>
          <t>+91 9920264452</t>
        </is>
      </c>
      <c r="K366" s="15" t="inlineStr">
        <is>
          <t>chetan@weekday.works</t>
        </is>
      </c>
      <c r="L366" s="15" t="inlineStr">
        <is>
          <t>&lt;calendly_link&gt;</t>
        </is>
      </c>
      <c r="M366" s="15" t="inlineStr">
        <is>
          <t>Yes</t>
        </is>
      </c>
      <c r="N366" s="15" t="n"/>
      <c r="O366" s="15" t="n"/>
      <c r="P366" s="15" t="n"/>
      <c r="Q366" s="15" t="n"/>
      <c r="R366" s="15">
        <f>IF(OR(O366="Scheduled",Q366="Scheduled"),"SCHEDULED",IF(Q366="Escalate to call","ESCALATED TO CALL",IF(N366="Bad contact","BAD CONTACT",IF(N366="","NOT STARTED","IN PROGRESS"))))</f>
        <v/>
      </c>
      <c r="S366" s="15" t="n"/>
    </row>
    <row r="367">
      <c r="A367" s="15" t="inlineStr">
        <is>
          <t>REQ-0366</t>
        </is>
      </c>
      <c r="B367" s="16" t="n">
        <v>44867.82708333333</v>
      </c>
      <c r="C367" s="16">
        <f>B367+1</f>
        <v/>
      </c>
      <c r="D367" s="17">
        <f>(C367-NOW())*24</f>
        <v/>
      </c>
      <c r="E367" s="15">
        <f>IF(N367="","STEP 1: Send WhatsApp + Email blast now (Playbook M1)",IF(N367="Bad contact","STOP: report bad contact to lead (Playbook)",IF(O367="Scheduled","DONE: scheduled via Calendly",IF(O367="","STEP 2: Check Calendly now",IF(P367="","STEP 3: Send WhatsApp nudge (Playbook M2)",IF(Q367="Scheduled","DONE: scheduled via Calendly",IF(Q367="Escalate to call","HANDED to Shyam (call queue)","STEP 4: Final Calendly check")))))))</f>
        <v/>
      </c>
      <c r="F367" s="16">
        <f>IF(N367="",B367,IF(O367="",B367+2/24,IF(AND(O367="Not yet",P367=""),B367+2/24,IF(Q367="",B367+4/24,""))))</f>
        <v/>
      </c>
      <c r="G367" s="15" t="inlineStr">
        <is>
          <t>Chetan</t>
        </is>
      </c>
      <c r="H367" s="15" t="inlineStr">
        <is>
          <t>Google</t>
        </is>
      </c>
      <c r="I367" s="15" t="inlineStr">
        <is>
          <t>Round1</t>
        </is>
      </c>
      <c r="J367" s="18" t="inlineStr">
        <is>
          <t>+91 9920264452</t>
        </is>
      </c>
      <c r="K367" s="15" t="inlineStr">
        <is>
          <t>chetan@weekday.works</t>
        </is>
      </c>
      <c r="L367" s="15" t="inlineStr">
        <is>
          <t>&lt;calendly_link&gt;</t>
        </is>
      </c>
      <c r="M367" s="15" t="inlineStr">
        <is>
          <t>Yes</t>
        </is>
      </c>
      <c r="N367" s="15" t="n"/>
      <c r="O367" s="15" t="n"/>
      <c r="P367" s="15" t="n"/>
      <c r="Q367" s="15" t="n"/>
      <c r="R367" s="15">
        <f>IF(OR(O367="Scheduled",Q367="Scheduled"),"SCHEDULED",IF(Q367="Escalate to call","ESCALATED TO CALL",IF(N367="Bad contact","BAD CONTACT",IF(N367="","NOT STARTED","IN PROGRESS"))))</f>
        <v/>
      </c>
      <c r="S367" s="15" t="n"/>
    </row>
    <row r="368">
      <c r="A368" s="15" t="inlineStr">
        <is>
          <t>REQ-0367</t>
        </is>
      </c>
      <c r="B368" s="16" t="n">
        <v>44867.82708333333</v>
      </c>
      <c r="C368" s="16">
        <f>B368+1</f>
        <v/>
      </c>
      <c r="D368" s="17">
        <f>(C368-NOW())*24</f>
        <v/>
      </c>
      <c r="E368" s="15">
        <f>IF(N368="","STEP 1: Send WhatsApp + Email blast now (Playbook M1)",IF(N368="Bad contact","STOP: report bad contact to lead (Playbook)",IF(O368="Scheduled","DONE: scheduled via Calendly",IF(O368="","STEP 2: Check Calendly now",IF(P368="","STEP 3: Send WhatsApp nudge (Playbook M2)",IF(Q368="Scheduled","DONE: scheduled via Calendly",IF(Q368="Escalate to call","HANDED to Shyam (call queue)","STEP 4: Final Calendly check")))))))</f>
        <v/>
      </c>
      <c r="F368" s="16">
        <f>IF(N368="",B368,IF(O368="",B368+2/24,IF(AND(O368="Not yet",P368=""),B368+2/24,IF(Q368="",B368+4/24,""))))</f>
        <v/>
      </c>
      <c r="G368" s="15" t="inlineStr">
        <is>
          <t>Chetan</t>
        </is>
      </c>
      <c r="H368" s="15" t="inlineStr">
        <is>
          <t>Google</t>
        </is>
      </c>
      <c r="I368" s="15" t="inlineStr">
        <is>
          <t>Round1</t>
        </is>
      </c>
      <c r="J368" s="18" t="inlineStr">
        <is>
          <t>+91 9920264452</t>
        </is>
      </c>
      <c r="K368" s="15" t="inlineStr">
        <is>
          <t>chetan@weekday.works</t>
        </is>
      </c>
      <c r="L368" s="15" t="inlineStr">
        <is>
          <t>&lt;calendly_link&gt;</t>
        </is>
      </c>
      <c r="M368" s="15" t="inlineStr">
        <is>
          <t>Yes</t>
        </is>
      </c>
      <c r="N368" s="15" t="n"/>
      <c r="O368" s="15" t="n"/>
      <c r="P368" s="15" t="n"/>
      <c r="Q368" s="15" t="n"/>
      <c r="R368" s="15">
        <f>IF(OR(O368="Scheduled",Q368="Scheduled"),"SCHEDULED",IF(Q368="Escalate to call","ESCALATED TO CALL",IF(N368="Bad contact","BAD CONTACT",IF(N368="","NOT STARTED","IN PROGRESS"))))</f>
        <v/>
      </c>
      <c r="S368" s="15" t="n"/>
    </row>
    <row r="369">
      <c r="A369" s="15" t="inlineStr">
        <is>
          <t>REQ-0368</t>
        </is>
      </c>
      <c r="B369" s="16" t="n">
        <v>44867.82708333333</v>
      </c>
      <c r="C369" s="16">
        <f>B369+1</f>
        <v/>
      </c>
      <c r="D369" s="17">
        <f>(C369-NOW())*24</f>
        <v/>
      </c>
      <c r="E369" s="15">
        <f>IF(N369="","STEP 1: Send WhatsApp + Email blast now (Playbook M1)",IF(N369="Bad contact","STOP: report bad contact to lead (Playbook)",IF(O369="Scheduled","DONE: scheduled via Calendly",IF(O369="","STEP 2: Check Calendly now",IF(P369="","STEP 3: Send WhatsApp nudge (Playbook M2)",IF(Q369="Scheduled","DONE: scheduled via Calendly",IF(Q369="Escalate to call","HANDED to Shyam (call queue)","STEP 4: Final Calendly check")))))))</f>
        <v/>
      </c>
      <c r="F369" s="16">
        <f>IF(N369="",B369,IF(O369="",B369+2/24,IF(AND(O369="Not yet",P369=""),B369+2/24,IF(Q369="",B369+4/24,""))))</f>
        <v/>
      </c>
      <c r="G369" s="15" t="inlineStr">
        <is>
          <t>Chetan</t>
        </is>
      </c>
      <c r="H369" s="15" t="inlineStr">
        <is>
          <t>Google</t>
        </is>
      </c>
      <c r="I369" s="15" t="inlineStr">
        <is>
          <t>Round1</t>
        </is>
      </c>
      <c r="J369" s="18" t="inlineStr">
        <is>
          <t>+91 9920264452</t>
        </is>
      </c>
      <c r="K369" s="15" t="inlineStr">
        <is>
          <t>chetan@weekday.works</t>
        </is>
      </c>
      <c r="L369" s="15" t="inlineStr">
        <is>
          <t>&lt;calendly_link&gt;</t>
        </is>
      </c>
      <c r="M369" s="15" t="inlineStr">
        <is>
          <t>Yes</t>
        </is>
      </c>
      <c r="N369" s="15" t="n"/>
      <c r="O369" s="15" t="n"/>
      <c r="P369" s="15" t="n"/>
      <c r="Q369" s="15" t="n"/>
      <c r="R369" s="15">
        <f>IF(OR(O369="Scheduled",Q369="Scheduled"),"SCHEDULED",IF(Q369="Escalate to call","ESCALATED TO CALL",IF(N369="Bad contact","BAD CONTACT",IF(N369="","NOT STARTED","IN PROGRESS"))))</f>
        <v/>
      </c>
      <c r="S369" s="15" t="n"/>
    </row>
    <row r="370">
      <c r="A370" s="15" t="inlineStr">
        <is>
          <t>REQ-0369</t>
        </is>
      </c>
      <c r="B370" s="16" t="n">
        <v>44867.82708333333</v>
      </c>
      <c r="C370" s="16">
        <f>B370+1</f>
        <v/>
      </c>
      <c r="D370" s="17">
        <f>(C370-NOW())*24</f>
        <v/>
      </c>
      <c r="E370" s="15">
        <f>IF(N370="","STEP 1: Send WhatsApp + Email blast now (Playbook M1)",IF(N370="Bad contact","STOP: report bad contact to lead (Playbook)",IF(O370="Scheduled","DONE: scheduled via Calendly",IF(O370="","STEP 2: Check Calendly now",IF(P370="","STEP 3: Send WhatsApp nudge (Playbook M2)",IF(Q370="Scheduled","DONE: scheduled via Calendly",IF(Q370="Escalate to call","HANDED to Shyam (call queue)","STEP 4: Final Calendly check")))))))</f>
        <v/>
      </c>
      <c r="F370" s="16">
        <f>IF(N370="",B370,IF(O370="",B370+2/24,IF(AND(O370="Not yet",P370=""),B370+2/24,IF(Q370="",B370+4/24,""))))</f>
        <v/>
      </c>
      <c r="G370" s="15" t="inlineStr">
        <is>
          <t>Chetan</t>
        </is>
      </c>
      <c r="H370" s="15" t="inlineStr">
        <is>
          <t>Google</t>
        </is>
      </c>
      <c r="I370" s="15" t="inlineStr">
        <is>
          <t>Round1</t>
        </is>
      </c>
      <c r="J370" s="18" t="inlineStr">
        <is>
          <t>+91 9920264452</t>
        </is>
      </c>
      <c r="K370" s="15" t="inlineStr">
        <is>
          <t>chetan@weekday.works</t>
        </is>
      </c>
      <c r="L370" s="15" t="inlineStr">
        <is>
          <t>&lt;calendly_link&gt;</t>
        </is>
      </c>
      <c r="M370" s="15" t="inlineStr">
        <is>
          <t>Yes</t>
        </is>
      </c>
      <c r="N370" s="15" t="n"/>
      <c r="O370" s="15" t="n"/>
      <c r="P370" s="15" t="n"/>
      <c r="Q370" s="15" t="n"/>
      <c r="R370" s="15">
        <f>IF(OR(O370="Scheduled",Q370="Scheduled"),"SCHEDULED",IF(Q370="Escalate to call","ESCALATED TO CALL",IF(N370="Bad contact","BAD CONTACT",IF(N370="","NOT STARTED","IN PROGRESS"))))</f>
        <v/>
      </c>
      <c r="S370" s="15" t="n"/>
    </row>
    <row r="371">
      <c r="A371" s="15" t="inlineStr">
        <is>
          <t>REQ-0370</t>
        </is>
      </c>
      <c r="B371" s="16" t="n">
        <v>44867.82708333333</v>
      </c>
      <c r="C371" s="16">
        <f>B371+1</f>
        <v/>
      </c>
      <c r="D371" s="17">
        <f>(C371-NOW())*24</f>
        <v/>
      </c>
      <c r="E371" s="15">
        <f>IF(N371="","STEP 1: Send WhatsApp + Email blast now (Playbook M1)",IF(N371="Bad contact","STOP: report bad contact to lead (Playbook)",IF(O371="Scheduled","DONE: scheduled via Calendly",IF(O371="","STEP 2: Check Calendly now",IF(P371="","STEP 3: Send WhatsApp nudge (Playbook M2)",IF(Q371="Scheduled","DONE: scheduled via Calendly",IF(Q371="Escalate to call","HANDED to Shyam (call queue)","STEP 4: Final Calendly check")))))))</f>
        <v/>
      </c>
      <c r="F371" s="16">
        <f>IF(N371="",B371,IF(O371="",B371+2/24,IF(AND(O371="Not yet",P371=""),B371+2/24,IF(Q371="",B371+4/24,""))))</f>
        <v/>
      </c>
      <c r="G371" s="15" t="inlineStr">
        <is>
          <t>Chetan</t>
        </is>
      </c>
      <c r="H371" s="15" t="inlineStr">
        <is>
          <t>Google</t>
        </is>
      </c>
      <c r="I371" s="15" t="inlineStr">
        <is>
          <t>Round1</t>
        </is>
      </c>
      <c r="J371" s="18" t="inlineStr">
        <is>
          <t>+91 9920264452</t>
        </is>
      </c>
      <c r="K371" s="15" t="inlineStr">
        <is>
          <t>chetan@weekday.works</t>
        </is>
      </c>
      <c r="L371" s="15" t="inlineStr">
        <is>
          <t>&lt;calendly_link&gt;</t>
        </is>
      </c>
      <c r="M371" s="15" t="inlineStr">
        <is>
          <t>Yes</t>
        </is>
      </c>
      <c r="N371" s="15" t="n"/>
      <c r="O371" s="15" t="n"/>
      <c r="P371" s="15" t="n"/>
      <c r="Q371" s="15" t="n"/>
      <c r="R371" s="15">
        <f>IF(OR(O371="Scheduled",Q371="Scheduled"),"SCHEDULED",IF(Q371="Escalate to call","ESCALATED TO CALL",IF(N371="Bad contact","BAD CONTACT",IF(N371="","NOT STARTED","IN PROGRESS"))))</f>
        <v/>
      </c>
      <c r="S371" s="15" t="n"/>
    </row>
    <row r="372">
      <c r="A372" s="15" t="inlineStr">
        <is>
          <t>REQ-0371</t>
        </is>
      </c>
      <c r="B372" s="16" t="n">
        <v>44867.82708333333</v>
      </c>
      <c r="C372" s="16">
        <f>B372+1</f>
        <v/>
      </c>
      <c r="D372" s="17">
        <f>(C372-NOW())*24</f>
        <v/>
      </c>
      <c r="E372" s="15">
        <f>IF(N372="","STEP 1: Send WhatsApp + Email blast now (Playbook M1)",IF(N372="Bad contact","STOP: report bad contact to lead (Playbook)",IF(O372="Scheduled","DONE: scheduled via Calendly",IF(O372="","STEP 2: Check Calendly now",IF(P372="","STEP 3: Send WhatsApp nudge (Playbook M2)",IF(Q372="Scheduled","DONE: scheduled via Calendly",IF(Q372="Escalate to call","HANDED to Shyam (call queue)","STEP 4: Final Calendly check")))))))</f>
        <v/>
      </c>
      <c r="F372" s="16">
        <f>IF(N372="",B372,IF(O372="",B372+2/24,IF(AND(O372="Not yet",P372=""),B372+2/24,IF(Q372="",B372+4/24,""))))</f>
        <v/>
      </c>
      <c r="G372" s="15" t="inlineStr">
        <is>
          <t>Chetan</t>
        </is>
      </c>
      <c r="H372" s="15" t="inlineStr">
        <is>
          <t>Google</t>
        </is>
      </c>
      <c r="I372" s="15" t="inlineStr">
        <is>
          <t>Round1</t>
        </is>
      </c>
      <c r="J372" s="18" t="inlineStr">
        <is>
          <t>+91 9920264452</t>
        </is>
      </c>
      <c r="K372" s="15" t="inlineStr">
        <is>
          <t>chetan@weekday.works</t>
        </is>
      </c>
      <c r="L372" s="15" t="inlineStr">
        <is>
          <t>&lt;calendly_link&gt;</t>
        </is>
      </c>
      <c r="M372" s="15" t="inlineStr">
        <is>
          <t>Yes</t>
        </is>
      </c>
      <c r="N372" s="15" t="n"/>
      <c r="O372" s="15" t="n"/>
      <c r="P372" s="15" t="n"/>
      <c r="Q372" s="15" t="n"/>
      <c r="R372" s="15">
        <f>IF(OR(O372="Scheduled",Q372="Scheduled"),"SCHEDULED",IF(Q372="Escalate to call","ESCALATED TO CALL",IF(N372="Bad contact","BAD CONTACT",IF(N372="","NOT STARTED","IN PROGRESS"))))</f>
        <v/>
      </c>
      <c r="S372" s="15" t="n"/>
    </row>
    <row r="373">
      <c r="A373" s="15" t="inlineStr">
        <is>
          <t>REQ-0372</t>
        </is>
      </c>
      <c r="B373" s="16" t="n">
        <v>44867.82708333333</v>
      </c>
      <c r="C373" s="16">
        <f>B373+1</f>
        <v/>
      </c>
      <c r="D373" s="17">
        <f>(C373-NOW())*24</f>
        <v/>
      </c>
      <c r="E373" s="15">
        <f>IF(N373="","STEP 1: Send WhatsApp + Email blast now (Playbook M1)",IF(N373="Bad contact","STOP: report bad contact to lead (Playbook)",IF(O373="Scheduled","DONE: scheduled via Calendly",IF(O373="","STEP 2: Check Calendly now",IF(P373="","STEP 3: Send WhatsApp nudge (Playbook M2)",IF(Q373="Scheduled","DONE: scheduled via Calendly",IF(Q373="Escalate to call","HANDED to Shyam (call queue)","STEP 4: Final Calendly check")))))))</f>
        <v/>
      </c>
      <c r="F373" s="16">
        <f>IF(N373="",B373,IF(O373="",B373+2/24,IF(AND(O373="Not yet",P373=""),B373+2/24,IF(Q373="",B373+4/24,""))))</f>
        <v/>
      </c>
      <c r="G373" s="15" t="inlineStr">
        <is>
          <t>Chetan</t>
        </is>
      </c>
      <c r="H373" s="15" t="inlineStr">
        <is>
          <t>Google</t>
        </is>
      </c>
      <c r="I373" s="15" t="inlineStr">
        <is>
          <t>Round1</t>
        </is>
      </c>
      <c r="J373" s="18" t="inlineStr">
        <is>
          <t>+91 9920264452</t>
        </is>
      </c>
      <c r="K373" s="15" t="inlineStr">
        <is>
          <t>chetan@weekday.works</t>
        </is>
      </c>
      <c r="L373" s="15" t="inlineStr">
        <is>
          <t>&lt;calendly_link&gt;</t>
        </is>
      </c>
      <c r="M373" s="15" t="inlineStr">
        <is>
          <t>Yes</t>
        </is>
      </c>
      <c r="N373" s="15" t="n"/>
      <c r="O373" s="15" t="n"/>
      <c r="P373" s="15" t="n"/>
      <c r="Q373" s="15" t="n"/>
      <c r="R373" s="15">
        <f>IF(OR(O373="Scheduled",Q373="Scheduled"),"SCHEDULED",IF(Q373="Escalate to call","ESCALATED TO CALL",IF(N373="Bad contact","BAD CONTACT",IF(N373="","NOT STARTED","IN PROGRESS"))))</f>
        <v/>
      </c>
      <c r="S373" s="15" t="n"/>
    </row>
    <row r="374">
      <c r="A374" s="15" t="inlineStr">
        <is>
          <t>REQ-0373</t>
        </is>
      </c>
      <c r="B374" s="16" t="n">
        <v>44867.82708333333</v>
      </c>
      <c r="C374" s="16">
        <f>B374+1</f>
        <v/>
      </c>
      <c r="D374" s="17">
        <f>(C374-NOW())*24</f>
        <v/>
      </c>
      <c r="E374" s="15">
        <f>IF(N374="","STEP 1: Send WhatsApp + Email blast now (Playbook M1)",IF(N374="Bad contact","STOP: report bad contact to lead (Playbook)",IF(O374="Scheduled","DONE: scheduled via Calendly",IF(O374="","STEP 2: Check Calendly now",IF(P374="","STEP 3: Send WhatsApp nudge (Playbook M2)",IF(Q374="Scheduled","DONE: scheduled via Calendly",IF(Q374="Escalate to call","HANDED to Shyam (call queue)","STEP 4: Final Calendly check")))))))</f>
        <v/>
      </c>
      <c r="F374" s="16">
        <f>IF(N374="",B374,IF(O374="",B374+2/24,IF(AND(O374="Not yet",P374=""),B374+2/24,IF(Q374="",B374+4/24,""))))</f>
        <v/>
      </c>
      <c r="G374" s="15" t="inlineStr">
        <is>
          <t>Chetan</t>
        </is>
      </c>
      <c r="H374" s="15" t="inlineStr">
        <is>
          <t>Google</t>
        </is>
      </c>
      <c r="I374" s="15" t="inlineStr">
        <is>
          <t>Round1</t>
        </is>
      </c>
      <c r="J374" s="18" t="inlineStr">
        <is>
          <t>+91 9920264452</t>
        </is>
      </c>
      <c r="K374" s="15" t="inlineStr">
        <is>
          <t>chetan@weekday.works</t>
        </is>
      </c>
      <c r="L374" s="15" t="inlineStr">
        <is>
          <t>&lt;calendly_link&gt;</t>
        </is>
      </c>
      <c r="M374" s="15" t="inlineStr">
        <is>
          <t>Yes</t>
        </is>
      </c>
      <c r="N374" s="15" t="n"/>
      <c r="O374" s="15" t="n"/>
      <c r="P374" s="15" t="n"/>
      <c r="Q374" s="15" t="n"/>
      <c r="R374" s="15">
        <f>IF(OR(O374="Scheduled",Q374="Scheduled"),"SCHEDULED",IF(Q374="Escalate to call","ESCALATED TO CALL",IF(N374="Bad contact","BAD CONTACT",IF(N374="","NOT STARTED","IN PROGRESS"))))</f>
        <v/>
      </c>
      <c r="S374" s="15" t="n"/>
    </row>
    <row r="375">
      <c r="A375" s="15" t="inlineStr">
        <is>
          <t>REQ-0374</t>
        </is>
      </c>
      <c r="B375" s="16" t="n">
        <v>44867.82708333333</v>
      </c>
      <c r="C375" s="16">
        <f>B375+1</f>
        <v/>
      </c>
      <c r="D375" s="17">
        <f>(C375-NOW())*24</f>
        <v/>
      </c>
      <c r="E375" s="15">
        <f>IF(N375="","STEP 1: Send WhatsApp + Email blast now (Playbook M1)",IF(N375="Bad contact","STOP: report bad contact to lead (Playbook)",IF(O375="Scheduled","DONE: scheduled via Calendly",IF(O375="","STEP 2: Check Calendly now",IF(P375="","STEP 3: Send WhatsApp nudge (Playbook M2)",IF(Q375="Scheduled","DONE: scheduled via Calendly",IF(Q375="Escalate to call","HANDED to Shyam (call queue)","STEP 4: Final Calendly check")))))))</f>
        <v/>
      </c>
      <c r="F375" s="16">
        <f>IF(N375="",B375,IF(O375="",B375+2/24,IF(AND(O375="Not yet",P375=""),B375+2/24,IF(Q375="",B375+4/24,""))))</f>
        <v/>
      </c>
      <c r="G375" s="15" t="inlineStr">
        <is>
          <t>Chetan</t>
        </is>
      </c>
      <c r="H375" s="15" t="inlineStr">
        <is>
          <t>Google</t>
        </is>
      </c>
      <c r="I375" s="15" t="inlineStr">
        <is>
          <t>Round1</t>
        </is>
      </c>
      <c r="J375" s="18" t="inlineStr">
        <is>
          <t>+91 9920264452</t>
        </is>
      </c>
      <c r="K375" s="15" t="inlineStr">
        <is>
          <t>chetan@weekday.works</t>
        </is>
      </c>
      <c r="L375" s="15" t="inlineStr">
        <is>
          <t>&lt;calendly_link&gt;</t>
        </is>
      </c>
      <c r="M375" s="15" t="inlineStr">
        <is>
          <t>Yes</t>
        </is>
      </c>
      <c r="N375" s="15" t="n"/>
      <c r="O375" s="15" t="n"/>
      <c r="P375" s="15" t="n"/>
      <c r="Q375" s="15" t="n"/>
      <c r="R375" s="15">
        <f>IF(OR(O375="Scheduled",Q375="Scheduled"),"SCHEDULED",IF(Q375="Escalate to call","ESCALATED TO CALL",IF(N375="Bad contact","BAD CONTACT",IF(N375="","NOT STARTED","IN PROGRESS"))))</f>
        <v/>
      </c>
      <c r="S375" s="15" t="n"/>
    </row>
    <row r="376">
      <c r="A376" s="15" t="inlineStr">
        <is>
          <t>REQ-0375</t>
        </is>
      </c>
      <c r="B376" s="16" t="n">
        <v>44867.82708333333</v>
      </c>
      <c r="C376" s="16">
        <f>B376+1</f>
        <v/>
      </c>
      <c r="D376" s="17">
        <f>(C376-NOW())*24</f>
        <v/>
      </c>
      <c r="E376" s="15">
        <f>IF(N376="","STEP 1: Send WhatsApp + Email blast now (Playbook M1)",IF(N376="Bad contact","STOP: report bad contact to lead (Playbook)",IF(O376="Scheduled","DONE: scheduled via Calendly",IF(O376="","STEP 2: Check Calendly now",IF(P376="","STEP 3: Send WhatsApp nudge (Playbook M2)",IF(Q376="Scheduled","DONE: scheduled via Calendly",IF(Q376="Escalate to call","HANDED to Shyam (call queue)","STEP 4: Final Calendly check")))))))</f>
        <v/>
      </c>
      <c r="F376" s="16">
        <f>IF(N376="",B376,IF(O376="",B376+2/24,IF(AND(O376="Not yet",P376=""),B376+2/24,IF(Q376="",B376+4/24,""))))</f>
        <v/>
      </c>
      <c r="G376" s="15" t="inlineStr">
        <is>
          <t>Chetan</t>
        </is>
      </c>
      <c r="H376" s="15" t="inlineStr">
        <is>
          <t>Google</t>
        </is>
      </c>
      <c r="I376" s="15" t="inlineStr">
        <is>
          <t>Round1</t>
        </is>
      </c>
      <c r="J376" s="18" t="inlineStr">
        <is>
          <t>+91 9920264452</t>
        </is>
      </c>
      <c r="K376" s="15" t="inlineStr">
        <is>
          <t>chetan@weekday.works</t>
        </is>
      </c>
      <c r="L376" s="15" t="inlineStr">
        <is>
          <t>&lt;calendly_link&gt;</t>
        </is>
      </c>
      <c r="M376" s="15" t="inlineStr">
        <is>
          <t>Yes</t>
        </is>
      </c>
      <c r="N376" s="15" t="n"/>
      <c r="O376" s="15" t="n"/>
      <c r="P376" s="15" t="n"/>
      <c r="Q376" s="15" t="n"/>
      <c r="R376" s="15">
        <f>IF(OR(O376="Scheduled",Q376="Scheduled"),"SCHEDULED",IF(Q376="Escalate to call","ESCALATED TO CALL",IF(N376="Bad contact","BAD CONTACT",IF(N376="","NOT STARTED","IN PROGRESS"))))</f>
        <v/>
      </c>
      <c r="S376" s="15" t="n"/>
    </row>
    <row r="377">
      <c r="A377" s="15" t="inlineStr">
        <is>
          <t>REQ-0376</t>
        </is>
      </c>
      <c r="B377" s="16" t="n">
        <v>44867.82708333333</v>
      </c>
      <c r="C377" s="16">
        <f>B377+1</f>
        <v/>
      </c>
      <c r="D377" s="17">
        <f>(C377-NOW())*24</f>
        <v/>
      </c>
      <c r="E377" s="15">
        <f>IF(N377="","STEP 1: Send WhatsApp + Email blast now (Playbook M1)",IF(N377="Bad contact","STOP: report bad contact to lead (Playbook)",IF(O377="Scheduled","DONE: scheduled via Calendly",IF(O377="","STEP 2: Check Calendly now",IF(P377="","STEP 3: Send WhatsApp nudge (Playbook M2)",IF(Q377="Scheduled","DONE: scheduled via Calendly",IF(Q377="Escalate to call","HANDED to Shyam (call queue)","STEP 4: Final Calendly check")))))))</f>
        <v/>
      </c>
      <c r="F377" s="16">
        <f>IF(N377="",B377,IF(O377="",B377+2/24,IF(AND(O377="Not yet",P377=""),B377+2/24,IF(Q377="",B377+4/24,""))))</f>
        <v/>
      </c>
      <c r="G377" s="15" t="inlineStr">
        <is>
          <t>Chetan</t>
        </is>
      </c>
      <c r="H377" s="15" t="inlineStr">
        <is>
          <t>Google</t>
        </is>
      </c>
      <c r="I377" s="15" t="inlineStr">
        <is>
          <t>Round1</t>
        </is>
      </c>
      <c r="J377" s="18" t="inlineStr">
        <is>
          <t>+91 9920264452</t>
        </is>
      </c>
      <c r="K377" s="15" t="inlineStr">
        <is>
          <t>chetan@weekday.works</t>
        </is>
      </c>
      <c r="L377" s="15" t="inlineStr">
        <is>
          <t>&lt;calendly_link&gt;</t>
        </is>
      </c>
      <c r="M377" s="15" t="inlineStr">
        <is>
          <t>Yes</t>
        </is>
      </c>
      <c r="N377" s="15" t="n"/>
      <c r="O377" s="15" t="n"/>
      <c r="P377" s="15" t="n"/>
      <c r="Q377" s="15" t="n"/>
      <c r="R377" s="15">
        <f>IF(OR(O377="Scheduled",Q377="Scheduled"),"SCHEDULED",IF(Q377="Escalate to call","ESCALATED TO CALL",IF(N377="Bad contact","BAD CONTACT",IF(N377="","NOT STARTED","IN PROGRESS"))))</f>
        <v/>
      </c>
      <c r="S377" s="15" t="n"/>
    </row>
    <row r="378">
      <c r="A378" s="15" t="inlineStr">
        <is>
          <t>REQ-0377</t>
        </is>
      </c>
      <c r="B378" s="16" t="n">
        <v>44867.82708333333</v>
      </c>
      <c r="C378" s="16">
        <f>B378+1</f>
        <v/>
      </c>
      <c r="D378" s="17">
        <f>(C378-NOW())*24</f>
        <v/>
      </c>
      <c r="E378" s="15">
        <f>IF(N378="","STEP 1: Send WhatsApp + Email blast now (Playbook M1)",IF(N378="Bad contact","STOP: report bad contact to lead (Playbook)",IF(O378="Scheduled","DONE: scheduled via Calendly",IF(O378="","STEP 2: Check Calendly now",IF(P378="","STEP 3: Send WhatsApp nudge (Playbook M2)",IF(Q378="Scheduled","DONE: scheduled via Calendly",IF(Q378="Escalate to call","HANDED to Shyam (call queue)","STEP 4: Final Calendly check")))))))</f>
        <v/>
      </c>
      <c r="F378" s="16">
        <f>IF(N378="",B378,IF(O378="",B378+2/24,IF(AND(O378="Not yet",P378=""),B378+2/24,IF(Q378="",B378+4/24,""))))</f>
        <v/>
      </c>
      <c r="G378" s="15" t="inlineStr">
        <is>
          <t>Chetan</t>
        </is>
      </c>
      <c r="H378" s="15" t="inlineStr">
        <is>
          <t>Google</t>
        </is>
      </c>
      <c r="I378" s="15" t="inlineStr">
        <is>
          <t>Round1</t>
        </is>
      </c>
      <c r="J378" s="18" t="inlineStr">
        <is>
          <t>+91 9920264452</t>
        </is>
      </c>
      <c r="K378" s="15" t="inlineStr">
        <is>
          <t>chetan@weekday.works</t>
        </is>
      </c>
      <c r="L378" s="15" t="inlineStr">
        <is>
          <t>&lt;calendly_link&gt;</t>
        </is>
      </c>
      <c r="M378" s="15" t="inlineStr">
        <is>
          <t>Yes</t>
        </is>
      </c>
      <c r="N378" s="15" t="n"/>
      <c r="O378" s="15" t="n"/>
      <c r="P378" s="15" t="n"/>
      <c r="Q378" s="15" t="n"/>
      <c r="R378" s="15">
        <f>IF(OR(O378="Scheduled",Q378="Scheduled"),"SCHEDULED",IF(Q378="Escalate to call","ESCALATED TO CALL",IF(N378="Bad contact","BAD CONTACT",IF(N378="","NOT STARTED","IN PROGRESS"))))</f>
        <v/>
      </c>
      <c r="S378" s="15" t="n"/>
    </row>
    <row r="379">
      <c r="A379" s="15" t="inlineStr">
        <is>
          <t>REQ-0378</t>
        </is>
      </c>
      <c r="B379" s="16" t="n">
        <v>44867.82708333333</v>
      </c>
      <c r="C379" s="16">
        <f>B379+1</f>
        <v/>
      </c>
      <c r="D379" s="17">
        <f>(C379-NOW())*24</f>
        <v/>
      </c>
      <c r="E379" s="15">
        <f>IF(N379="","STEP 1: Send WhatsApp + Email blast now (Playbook M1)",IF(N379="Bad contact","STOP: report bad contact to lead (Playbook)",IF(O379="Scheduled","DONE: scheduled via Calendly",IF(O379="","STEP 2: Check Calendly now",IF(P379="","STEP 3: Send WhatsApp nudge (Playbook M2)",IF(Q379="Scheduled","DONE: scheduled via Calendly",IF(Q379="Escalate to call","HANDED to Shyam (call queue)","STEP 4: Final Calendly check")))))))</f>
        <v/>
      </c>
      <c r="F379" s="16">
        <f>IF(N379="",B379,IF(O379="",B379+2/24,IF(AND(O379="Not yet",P379=""),B379+2/24,IF(Q379="",B379+4/24,""))))</f>
        <v/>
      </c>
      <c r="G379" s="15" t="inlineStr">
        <is>
          <t>Chetan</t>
        </is>
      </c>
      <c r="H379" s="15" t="inlineStr">
        <is>
          <t>Google</t>
        </is>
      </c>
      <c r="I379" s="15" t="inlineStr">
        <is>
          <t>Round1</t>
        </is>
      </c>
      <c r="J379" s="18" t="inlineStr">
        <is>
          <t>+91 9920264452</t>
        </is>
      </c>
      <c r="K379" s="15" t="inlineStr">
        <is>
          <t>chetan@weekday.works</t>
        </is>
      </c>
      <c r="L379" s="15" t="inlineStr">
        <is>
          <t>&lt;calendly_link&gt;</t>
        </is>
      </c>
      <c r="M379" s="15" t="inlineStr">
        <is>
          <t>Yes</t>
        </is>
      </c>
      <c r="N379" s="15" t="n"/>
      <c r="O379" s="15" t="n"/>
      <c r="P379" s="15" t="n"/>
      <c r="Q379" s="15" t="n"/>
      <c r="R379" s="15">
        <f>IF(OR(O379="Scheduled",Q379="Scheduled"),"SCHEDULED",IF(Q379="Escalate to call","ESCALATED TO CALL",IF(N379="Bad contact","BAD CONTACT",IF(N379="","NOT STARTED","IN PROGRESS"))))</f>
        <v/>
      </c>
      <c r="S379" s="15" t="n"/>
    </row>
    <row r="380">
      <c r="A380" s="15" t="inlineStr">
        <is>
          <t>REQ-0379</t>
        </is>
      </c>
      <c r="B380" s="16" t="n">
        <v>44867.82708333333</v>
      </c>
      <c r="C380" s="16">
        <f>B380+1</f>
        <v/>
      </c>
      <c r="D380" s="17">
        <f>(C380-NOW())*24</f>
        <v/>
      </c>
      <c r="E380" s="15">
        <f>IF(N380="","STEP 1: Send WhatsApp + Email blast now (Playbook M1)",IF(N380="Bad contact","STOP: report bad contact to lead (Playbook)",IF(O380="Scheduled","DONE: scheduled via Calendly",IF(O380="","STEP 2: Check Calendly now",IF(P380="","STEP 3: Send WhatsApp nudge (Playbook M2)",IF(Q380="Scheduled","DONE: scheduled via Calendly",IF(Q380="Escalate to call","HANDED to Shyam (call queue)","STEP 4: Final Calendly check")))))))</f>
        <v/>
      </c>
      <c r="F380" s="16">
        <f>IF(N380="",B380,IF(O380="",B380+2/24,IF(AND(O380="Not yet",P380=""),B380+2/24,IF(Q380="",B380+4/24,""))))</f>
        <v/>
      </c>
      <c r="G380" s="15" t="inlineStr">
        <is>
          <t>Chetan</t>
        </is>
      </c>
      <c r="H380" s="15" t="inlineStr">
        <is>
          <t>Google</t>
        </is>
      </c>
      <c r="I380" s="15" t="inlineStr">
        <is>
          <t>Round1</t>
        </is>
      </c>
      <c r="J380" s="18" t="inlineStr">
        <is>
          <t>+91 9920264452</t>
        </is>
      </c>
      <c r="K380" s="15" t="inlineStr">
        <is>
          <t>chetan@weekday.works</t>
        </is>
      </c>
      <c r="L380" s="15" t="inlineStr">
        <is>
          <t>&lt;calendly_link&gt;</t>
        </is>
      </c>
      <c r="M380" s="15" t="inlineStr">
        <is>
          <t>Yes</t>
        </is>
      </c>
      <c r="N380" s="15" t="n"/>
      <c r="O380" s="15" t="n"/>
      <c r="P380" s="15" t="n"/>
      <c r="Q380" s="15" t="n"/>
      <c r="R380" s="15">
        <f>IF(OR(O380="Scheduled",Q380="Scheduled"),"SCHEDULED",IF(Q380="Escalate to call","ESCALATED TO CALL",IF(N380="Bad contact","BAD CONTACT",IF(N380="","NOT STARTED","IN PROGRESS"))))</f>
        <v/>
      </c>
      <c r="S380" s="15" t="n"/>
    </row>
    <row r="381">
      <c r="A381" s="15" t="inlineStr">
        <is>
          <t>REQ-0380</t>
        </is>
      </c>
      <c r="B381" s="16" t="n">
        <v>44867.82708333333</v>
      </c>
      <c r="C381" s="16">
        <f>B381+1</f>
        <v/>
      </c>
      <c r="D381" s="17">
        <f>(C381-NOW())*24</f>
        <v/>
      </c>
      <c r="E381" s="15">
        <f>IF(N381="","STEP 1: Send WhatsApp + Email blast now (Playbook M1)",IF(N381="Bad contact","STOP: report bad contact to lead (Playbook)",IF(O381="Scheduled","DONE: scheduled via Calendly",IF(O381="","STEP 2: Check Calendly now",IF(P381="","STEP 3: Send WhatsApp nudge (Playbook M2)",IF(Q381="Scheduled","DONE: scheduled via Calendly",IF(Q381="Escalate to call","HANDED to Shyam (call queue)","STEP 4: Final Calendly check")))))))</f>
        <v/>
      </c>
      <c r="F381" s="16">
        <f>IF(N381="",B381,IF(O381="",B381+2/24,IF(AND(O381="Not yet",P381=""),B381+2/24,IF(Q381="",B381+4/24,""))))</f>
        <v/>
      </c>
      <c r="G381" s="15" t="inlineStr">
        <is>
          <t>Chetan</t>
        </is>
      </c>
      <c r="H381" s="15" t="inlineStr">
        <is>
          <t>Google</t>
        </is>
      </c>
      <c r="I381" s="15" t="inlineStr">
        <is>
          <t>Round1</t>
        </is>
      </c>
      <c r="J381" s="18" t="inlineStr">
        <is>
          <t>+91 9920264452</t>
        </is>
      </c>
      <c r="K381" s="15" t="inlineStr">
        <is>
          <t>chetan@weekday.works</t>
        </is>
      </c>
      <c r="L381" s="15" t="inlineStr">
        <is>
          <t>&lt;calendly_link&gt;</t>
        </is>
      </c>
      <c r="M381" s="15" t="inlineStr">
        <is>
          <t>Yes</t>
        </is>
      </c>
      <c r="N381" s="15" t="n"/>
      <c r="O381" s="15" t="n"/>
      <c r="P381" s="15" t="n"/>
      <c r="Q381" s="15" t="n"/>
      <c r="R381" s="15">
        <f>IF(OR(O381="Scheduled",Q381="Scheduled"),"SCHEDULED",IF(Q381="Escalate to call","ESCALATED TO CALL",IF(N381="Bad contact","BAD CONTACT",IF(N381="","NOT STARTED","IN PROGRESS"))))</f>
        <v/>
      </c>
      <c r="S381" s="15" t="n"/>
    </row>
    <row r="382">
      <c r="A382" s="15" t="inlineStr">
        <is>
          <t>REQ-0381</t>
        </is>
      </c>
      <c r="B382" s="16" t="n">
        <v>44867.82708333333</v>
      </c>
      <c r="C382" s="16">
        <f>B382+1</f>
        <v/>
      </c>
      <c r="D382" s="17">
        <f>(C382-NOW())*24</f>
        <v/>
      </c>
      <c r="E382" s="15">
        <f>IF(N382="","STEP 1: Send WhatsApp + Email blast now (Playbook M1)",IF(N382="Bad contact","STOP: report bad contact to lead (Playbook)",IF(O382="Scheduled","DONE: scheduled via Calendly",IF(O382="","STEP 2: Check Calendly now",IF(P382="","STEP 3: Send WhatsApp nudge (Playbook M2)",IF(Q382="Scheduled","DONE: scheduled via Calendly",IF(Q382="Escalate to call","HANDED to Shyam (call queue)","STEP 4: Final Calendly check")))))))</f>
        <v/>
      </c>
      <c r="F382" s="16">
        <f>IF(N382="",B382,IF(O382="",B382+2/24,IF(AND(O382="Not yet",P382=""),B382+2/24,IF(Q382="",B382+4/24,""))))</f>
        <v/>
      </c>
      <c r="G382" s="15" t="inlineStr">
        <is>
          <t>Chetan</t>
        </is>
      </c>
      <c r="H382" s="15" t="inlineStr">
        <is>
          <t>Google</t>
        </is>
      </c>
      <c r="I382" s="15" t="inlineStr">
        <is>
          <t>Round1</t>
        </is>
      </c>
      <c r="J382" s="18" t="inlineStr">
        <is>
          <t>+91 9920264452</t>
        </is>
      </c>
      <c r="K382" s="15" t="inlineStr">
        <is>
          <t>chetan@weekday.works</t>
        </is>
      </c>
      <c r="L382" s="15" t="inlineStr">
        <is>
          <t>&lt;calendly_link&gt;</t>
        </is>
      </c>
      <c r="M382" s="15" t="inlineStr">
        <is>
          <t>Yes</t>
        </is>
      </c>
      <c r="N382" s="15" t="n"/>
      <c r="O382" s="15" t="n"/>
      <c r="P382" s="15" t="n"/>
      <c r="Q382" s="15" t="n"/>
      <c r="R382" s="15">
        <f>IF(OR(O382="Scheduled",Q382="Scheduled"),"SCHEDULED",IF(Q382="Escalate to call","ESCALATED TO CALL",IF(N382="Bad contact","BAD CONTACT",IF(N382="","NOT STARTED","IN PROGRESS"))))</f>
        <v/>
      </c>
      <c r="S382" s="15" t="n"/>
    </row>
    <row r="383">
      <c r="A383" s="15" t="inlineStr">
        <is>
          <t>REQ-0382</t>
        </is>
      </c>
      <c r="B383" s="16" t="n">
        <v>44867.82708333333</v>
      </c>
      <c r="C383" s="16">
        <f>B383+1</f>
        <v/>
      </c>
      <c r="D383" s="17">
        <f>(C383-NOW())*24</f>
        <v/>
      </c>
      <c r="E383" s="15">
        <f>IF(N383="","STEP 1: Send WhatsApp + Email blast now (Playbook M1)",IF(N383="Bad contact","STOP: report bad contact to lead (Playbook)",IF(O383="Scheduled","DONE: scheduled via Calendly",IF(O383="","STEP 2: Check Calendly now",IF(P383="","STEP 3: Send WhatsApp nudge (Playbook M2)",IF(Q383="Scheduled","DONE: scheduled via Calendly",IF(Q383="Escalate to call","HANDED to Shyam (call queue)","STEP 4: Final Calendly check")))))))</f>
        <v/>
      </c>
      <c r="F383" s="16">
        <f>IF(N383="",B383,IF(O383="",B383+2/24,IF(AND(O383="Not yet",P383=""),B383+2/24,IF(Q383="",B383+4/24,""))))</f>
        <v/>
      </c>
      <c r="G383" s="15" t="inlineStr">
        <is>
          <t>Chetan</t>
        </is>
      </c>
      <c r="H383" s="15" t="inlineStr">
        <is>
          <t>Google</t>
        </is>
      </c>
      <c r="I383" s="15" t="inlineStr">
        <is>
          <t>Round1</t>
        </is>
      </c>
      <c r="J383" s="18" t="inlineStr">
        <is>
          <t>+91 9920264452</t>
        </is>
      </c>
      <c r="K383" s="15" t="inlineStr">
        <is>
          <t>chetan@weekday.works</t>
        </is>
      </c>
      <c r="L383" s="15" t="inlineStr">
        <is>
          <t>&lt;calendly_link&gt;</t>
        </is>
      </c>
      <c r="M383" s="15" t="inlineStr">
        <is>
          <t>Yes</t>
        </is>
      </c>
      <c r="N383" s="15" t="n"/>
      <c r="O383" s="15" t="n"/>
      <c r="P383" s="15" t="n"/>
      <c r="Q383" s="15" t="n"/>
      <c r="R383" s="15">
        <f>IF(OR(O383="Scheduled",Q383="Scheduled"),"SCHEDULED",IF(Q383="Escalate to call","ESCALATED TO CALL",IF(N383="Bad contact","BAD CONTACT",IF(N383="","NOT STARTED","IN PROGRESS"))))</f>
        <v/>
      </c>
      <c r="S383" s="15" t="n"/>
    </row>
    <row r="384">
      <c r="A384" s="15" t="inlineStr">
        <is>
          <t>REQ-0383</t>
        </is>
      </c>
      <c r="B384" s="16" t="n">
        <v>44867.82708333333</v>
      </c>
      <c r="C384" s="16">
        <f>B384+1</f>
        <v/>
      </c>
      <c r="D384" s="17">
        <f>(C384-NOW())*24</f>
        <v/>
      </c>
      <c r="E384" s="15">
        <f>IF(N384="","STEP 1: Send WhatsApp + Email blast now (Playbook M1)",IF(N384="Bad contact","STOP: report bad contact to lead (Playbook)",IF(O384="Scheduled","DONE: scheduled via Calendly",IF(O384="","STEP 2: Check Calendly now",IF(P384="","STEP 3: Send WhatsApp nudge (Playbook M2)",IF(Q384="Scheduled","DONE: scheduled via Calendly",IF(Q384="Escalate to call","HANDED to Shyam (call queue)","STEP 4: Final Calendly check")))))))</f>
        <v/>
      </c>
      <c r="F384" s="16">
        <f>IF(N384="",B384,IF(O384="",B384+2/24,IF(AND(O384="Not yet",P384=""),B384+2/24,IF(Q384="",B384+4/24,""))))</f>
        <v/>
      </c>
      <c r="G384" s="15" t="inlineStr">
        <is>
          <t>Chetan</t>
        </is>
      </c>
      <c r="H384" s="15" t="inlineStr">
        <is>
          <t>Google</t>
        </is>
      </c>
      <c r="I384" s="15" t="inlineStr">
        <is>
          <t>Round1</t>
        </is>
      </c>
      <c r="J384" s="18" t="inlineStr">
        <is>
          <t>+91 9920264452</t>
        </is>
      </c>
      <c r="K384" s="15" t="inlineStr">
        <is>
          <t>chetan@weekday.works</t>
        </is>
      </c>
      <c r="L384" s="15" t="inlineStr">
        <is>
          <t>&lt;calendly_link&gt;</t>
        </is>
      </c>
      <c r="M384" s="15" t="inlineStr">
        <is>
          <t>Yes</t>
        </is>
      </c>
      <c r="N384" s="15" t="n"/>
      <c r="O384" s="15" t="n"/>
      <c r="P384" s="15" t="n"/>
      <c r="Q384" s="15" t="n"/>
      <c r="R384" s="15">
        <f>IF(OR(O384="Scheduled",Q384="Scheduled"),"SCHEDULED",IF(Q384="Escalate to call","ESCALATED TO CALL",IF(N384="Bad contact","BAD CONTACT",IF(N384="","NOT STARTED","IN PROGRESS"))))</f>
        <v/>
      </c>
      <c r="S384" s="15" t="n"/>
    </row>
    <row r="385">
      <c r="A385" s="15" t="inlineStr">
        <is>
          <t>REQ-0384</t>
        </is>
      </c>
      <c r="B385" s="16" t="n">
        <v>44867.82708333333</v>
      </c>
      <c r="C385" s="16">
        <f>B385+1</f>
        <v/>
      </c>
      <c r="D385" s="17">
        <f>(C385-NOW())*24</f>
        <v/>
      </c>
      <c r="E385" s="15">
        <f>IF(N385="","STEP 1: Send WhatsApp + Email blast now (Playbook M1)",IF(N385="Bad contact","STOP: report bad contact to lead (Playbook)",IF(O385="Scheduled","DONE: scheduled via Calendly",IF(O385="","STEP 2: Check Calendly now",IF(P385="","STEP 3: Send WhatsApp nudge (Playbook M2)",IF(Q385="Scheduled","DONE: scheduled via Calendly",IF(Q385="Escalate to call","HANDED to Shyam (call queue)","STEP 4: Final Calendly check")))))))</f>
        <v/>
      </c>
      <c r="F385" s="16">
        <f>IF(N385="",B385,IF(O385="",B385+2/24,IF(AND(O385="Not yet",P385=""),B385+2/24,IF(Q385="",B385+4/24,""))))</f>
        <v/>
      </c>
      <c r="G385" s="15" t="inlineStr">
        <is>
          <t>Chetan</t>
        </is>
      </c>
      <c r="H385" s="15" t="inlineStr">
        <is>
          <t>Google</t>
        </is>
      </c>
      <c r="I385" s="15" t="inlineStr">
        <is>
          <t>Round1</t>
        </is>
      </c>
      <c r="J385" s="18" t="inlineStr">
        <is>
          <t>+91 9920264452</t>
        </is>
      </c>
      <c r="K385" s="15" t="inlineStr">
        <is>
          <t>chetan@weekday.works</t>
        </is>
      </c>
      <c r="L385" s="15" t="inlineStr">
        <is>
          <t>&lt;calendly_link&gt;</t>
        </is>
      </c>
      <c r="M385" s="15" t="inlineStr">
        <is>
          <t>Yes</t>
        </is>
      </c>
      <c r="N385" s="15" t="n"/>
      <c r="O385" s="15" t="n"/>
      <c r="P385" s="15" t="n"/>
      <c r="Q385" s="15" t="n"/>
      <c r="R385" s="15">
        <f>IF(OR(O385="Scheduled",Q385="Scheduled"),"SCHEDULED",IF(Q385="Escalate to call","ESCALATED TO CALL",IF(N385="Bad contact","BAD CONTACT",IF(N385="","NOT STARTED","IN PROGRESS"))))</f>
        <v/>
      </c>
      <c r="S385" s="15" t="n"/>
    </row>
    <row r="386">
      <c r="A386" s="15" t="inlineStr">
        <is>
          <t>REQ-0385</t>
        </is>
      </c>
      <c r="B386" s="16" t="n">
        <v>44867.82708333333</v>
      </c>
      <c r="C386" s="16">
        <f>B386+1</f>
        <v/>
      </c>
      <c r="D386" s="17">
        <f>(C386-NOW())*24</f>
        <v/>
      </c>
      <c r="E386" s="15">
        <f>IF(N386="","STEP 1: Send WhatsApp + Email blast now (Playbook M1)",IF(N386="Bad contact","STOP: report bad contact to lead (Playbook)",IF(O386="Scheduled","DONE: scheduled via Calendly",IF(O386="","STEP 2: Check Calendly now",IF(P386="","STEP 3: Send WhatsApp nudge (Playbook M2)",IF(Q386="Scheduled","DONE: scheduled via Calendly",IF(Q386="Escalate to call","HANDED to Shyam (call queue)","STEP 4: Final Calendly check")))))))</f>
        <v/>
      </c>
      <c r="F386" s="16">
        <f>IF(N386="",B386,IF(O386="",B386+2/24,IF(AND(O386="Not yet",P386=""),B386+2/24,IF(Q386="",B386+4/24,""))))</f>
        <v/>
      </c>
      <c r="G386" s="15" t="inlineStr">
        <is>
          <t>Chetan</t>
        </is>
      </c>
      <c r="H386" s="15" t="inlineStr">
        <is>
          <t>Google</t>
        </is>
      </c>
      <c r="I386" s="15" t="inlineStr">
        <is>
          <t>Round1</t>
        </is>
      </c>
      <c r="J386" s="18" t="inlineStr">
        <is>
          <t>+91 9920264452</t>
        </is>
      </c>
      <c r="K386" s="15" t="inlineStr">
        <is>
          <t>chetan@weekday.works</t>
        </is>
      </c>
      <c r="L386" s="15" t="inlineStr">
        <is>
          <t>&lt;calendly_link&gt;</t>
        </is>
      </c>
      <c r="M386" s="15" t="inlineStr">
        <is>
          <t>Yes</t>
        </is>
      </c>
      <c r="N386" s="15" t="n"/>
      <c r="O386" s="15" t="n"/>
      <c r="P386" s="15" t="n"/>
      <c r="Q386" s="15" t="n"/>
      <c r="R386" s="15">
        <f>IF(OR(O386="Scheduled",Q386="Scheduled"),"SCHEDULED",IF(Q386="Escalate to call","ESCALATED TO CALL",IF(N386="Bad contact","BAD CONTACT",IF(N386="","NOT STARTED","IN PROGRESS"))))</f>
        <v/>
      </c>
      <c r="S386" s="15" t="n"/>
    </row>
    <row r="387">
      <c r="A387" s="15" t="inlineStr">
        <is>
          <t>REQ-0386</t>
        </is>
      </c>
      <c r="B387" s="16" t="n">
        <v>44867.82708333333</v>
      </c>
      <c r="C387" s="16">
        <f>B387+1</f>
        <v/>
      </c>
      <c r="D387" s="17">
        <f>(C387-NOW())*24</f>
        <v/>
      </c>
      <c r="E387" s="15">
        <f>IF(N387="","STEP 1: Send WhatsApp + Email blast now (Playbook M1)",IF(N387="Bad contact","STOP: report bad contact to lead (Playbook)",IF(O387="Scheduled","DONE: scheduled via Calendly",IF(O387="","STEP 2: Check Calendly now",IF(P387="","STEP 3: Send WhatsApp nudge (Playbook M2)",IF(Q387="Scheduled","DONE: scheduled via Calendly",IF(Q387="Escalate to call","HANDED to Shyam (call queue)","STEP 4: Final Calendly check")))))))</f>
        <v/>
      </c>
      <c r="F387" s="16">
        <f>IF(N387="",B387,IF(O387="",B387+2/24,IF(AND(O387="Not yet",P387=""),B387+2/24,IF(Q387="",B387+4/24,""))))</f>
        <v/>
      </c>
      <c r="G387" s="15" t="inlineStr">
        <is>
          <t>Chetan</t>
        </is>
      </c>
      <c r="H387" s="15" t="inlineStr">
        <is>
          <t>Google</t>
        </is>
      </c>
      <c r="I387" s="15" t="inlineStr">
        <is>
          <t>Round1</t>
        </is>
      </c>
      <c r="J387" s="18" t="inlineStr">
        <is>
          <t>+91 9920264452</t>
        </is>
      </c>
      <c r="K387" s="15" t="inlineStr">
        <is>
          <t>chetan@weekday.works</t>
        </is>
      </c>
      <c r="L387" s="15" t="inlineStr">
        <is>
          <t>&lt;calendly_link&gt;</t>
        </is>
      </c>
      <c r="M387" s="15" t="inlineStr">
        <is>
          <t>Yes</t>
        </is>
      </c>
      <c r="N387" s="15" t="n"/>
      <c r="O387" s="15" t="n"/>
      <c r="P387" s="15" t="n"/>
      <c r="Q387" s="15" t="n"/>
      <c r="R387" s="15">
        <f>IF(OR(O387="Scheduled",Q387="Scheduled"),"SCHEDULED",IF(Q387="Escalate to call","ESCALATED TO CALL",IF(N387="Bad contact","BAD CONTACT",IF(N387="","NOT STARTED","IN PROGRESS"))))</f>
        <v/>
      </c>
      <c r="S387" s="15" t="n"/>
    </row>
    <row r="388">
      <c r="A388" s="15" t="inlineStr">
        <is>
          <t>REQ-0387</t>
        </is>
      </c>
      <c r="B388" s="16" t="n">
        <v>44867.82708333333</v>
      </c>
      <c r="C388" s="16">
        <f>B388+1</f>
        <v/>
      </c>
      <c r="D388" s="17">
        <f>(C388-NOW())*24</f>
        <v/>
      </c>
      <c r="E388" s="15">
        <f>IF(N388="","STEP 1: Send WhatsApp + Email blast now (Playbook M1)",IF(N388="Bad contact","STOP: report bad contact to lead (Playbook)",IF(O388="Scheduled","DONE: scheduled via Calendly",IF(O388="","STEP 2: Check Calendly now",IF(P388="","STEP 3: Send WhatsApp nudge (Playbook M2)",IF(Q388="Scheduled","DONE: scheduled via Calendly",IF(Q388="Escalate to call","HANDED to Shyam (call queue)","STEP 4: Final Calendly check")))))))</f>
        <v/>
      </c>
      <c r="F388" s="16">
        <f>IF(N388="",B388,IF(O388="",B388+2/24,IF(AND(O388="Not yet",P388=""),B388+2/24,IF(Q388="",B388+4/24,""))))</f>
        <v/>
      </c>
      <c r="G388" s="15" t="inlineStr">
        <is>
          <t>Chetan</t>
        </is>
      </c>
      <c r="H388" s="15" t="inlineStr">
        <is>
          <t>Google</t>
        </is>
      </c>
      <c r="I388" s="15" t="inlineStr">
        <is>
          <t>Round1</t>
        </is>
      </c>
      <c r="J388" s="18" t="inlineStr">
        <is>
          <t>+91 9920264452</t>
        </is>
      </c>
      <c r="K388" s="15" t="inlineStr">
        <is>
          <t>chetan@weekday.works</t>
        </is>
      </c>
      <c r="L388" s="15" t="inlineStr">
        <is>
          <t>&lt;calendly_link&gt;</t>
        </is>
      </c>
      <c r="M388" s="15" t="inlineStr">
        <is>
          <t>Yes</t>
        </is>
      </c>
      <c r="N388" s="15" t="n"/>
      <c r="O388" s="15" t="n"/>
      <c r="P388" s="15" t="n"/>
      <c r="Q388" s="15" t="n"/>
      <c r="R388" s="15">
        <f>IF(OR(O388="Scheduled",Q388="Scheduled"),"SCHEDULED",IF(Q388="Escalate to call","ESCALATED TO CALL",IF(N388="Bad contact","BAD CONTACT",IF(N388="","NOT STARTED","IN PROGRESS"))))</f>
        <v/>
      </c>
      <c r="S388" s="15" t="n"/>
    </row>
    <row r="389">
      <c r="A389" s="15" t="inlineStr">
        <is>
          <t>REQ-0388</t>
        </is>
      </c>
      <c r="B389" s="16" t="n">
        <v>44867.82708333333</v>
      </c>
      <c r="C389" s="16">
        <f>B389+1</f>
        <v/>
      </c>
      <c r="D389" s="17">
        <f>(C389-NOW())*24</f>
        <v/>
      </c>
      <c r="E389" s="15">
        <f>IF(N389="","STEP 1: Send WhatsApp + Email blast now (Playbook M1)",IF(N389="Bad contact","STOP: report bad contact to lead (Playbook)",IF(O389="Scheduled","DONE: scheduled via Calendly",IF(O389="","STEP 2: Check Calendly now",IF(P389="","STEP 3: Send WhatsApp nudge (Playbook M2)",IF(Q389="Scheduled","DONE: scheduled via Calendly",IF(Q389="Escalate to call","HANDED to Shyam (call queue)","STEP 4: Final Calendly check")))))))</f>
        <v/>
      </c>
      <c r="F389" s="16">
        <f>IF(N389="",B389,IF(O389="",B389+2/24,IF(AND(O389="Not yet",P389=""),B389+2/24,IF(Q389="",B389+4/24,""))))</f>
        <v/>
      </c>
      <c r="G389" s="15" t="inlineStr">
        <is>
          <t>Chetan</t>
        </is>
      </c>
      <c r="H389" s="15" t="inlineStr">
        <is>
          <t>Google</t>
        </is>
      </c>
      <c r="I389" s="15" t="inlineStr">
        <is>
          <t>Round1</t>
        </is>
      </c>
      <c r="J389" s="18" t="inlineStr">
        <is>
          <t>+91 9920264452</t>
        </is>
      </c>
      <c r="K389" s="15" t="inlineStr">
        <is>
          <t>chetan@weekday.works</t>
        </is>
      </c>
      <c r="L389" s="15" t="inlineStr">
        <is>
          <t>&lt;calendly_link&gt;</t>
        </is>
      </c>
      <c r="M389" s="15" t="inlineStr">
        <is>
          <t>Yes</t>
        </is>
      </c>
      <c r="N389" s="15" t="n"/>
      <c r="O389" s="15" t="n"/>
      <c r="P389" s="15" t="n"/>
      <c r="Q389" s="15" t="n"/>
      <c r="R389" s="15">
        <f>IF(OR(O389="Scheduled",Q389="Scheduled"),"SCHEDULED",IF(Q389="Escalate to call","ESCALATED TO CALL",IF(N389="Bad contact","BAD CONTACT",IF(N389="","NOT STARTED","IN PROGRESS"))))</f>
        <v/>
      </c>
      <c r="S389" s="15" t="n"/>
    </row>
    <row r="390">
      <c r="A390" s="15" t="inlineStr">
        <is>
          <t>REQ-0389</t>
        </is>
      </c>
      <c r="B390" s="16" t="n">
        <v>44867.82708333333</v>
      </c>
      <c r="C390" s="16">
        <f>B390+1</f>
        <v/>
      </c>
      <c r="D390" s="17">
        <f>(C390-NOW())*24</f>
        <v/>
      </c>
      <c r="E390" s="15">
        <f>IF(N390="","STEP 1: Send WhatsApp + Email blast now (Playbook M1)",IF(N390="Bad contact","STOP: report bad contact to lead (Playbook)",IF(O390="Scheduled","DONE: scheduled via Calendly",IF(O390="","STEP 2: Check Calendly now",IF(P390="","STEP 3: Send WhatsApp nudge (Playbook M2)",IF(Q390="Scheduled","DONE: scheduled via Calendly",IF(Q390="Escalate to call","HANDED to Shyam (call queue)","STEP 4: Final Calendly check")))))))</f>
        <v/>
      </c>
      <c r="F390" s="16">
        <f>IF(N390="",B390,IF(O390="",B390+2/24,IF(AND(O390="Not yet",P390=""),B390+2/24,IF(Q390="",B390+4/24,""))))</f>
        <v/>
      </c>
      <c r="G390" s="15" t="inlineStr">
        <is>
          <t>Chetan</t>
        </is>
      </c>
      <c r="H390" s="15" t="inlineStr">
        <is>
          <t>Google</t>
        </is>
      </c>
      <c r="I390" s="15" t="inlineStr">
        <is>
          <t>Round1</t>
        </is>
      </c>
      <c r="J390" s="18" t="inlineStr">
        <is>
          <t>+91 9920264452</t>
        </is>
      </c>
      <c r="K390" s="15" t="inlineStr">
        <is>
          <t>chetan@weekday.works</t>
        </is>
      </c>
      <c r="L390" s="15" t="inlineStr">
        <is>
          <t>&lt;calendly_link&gt;</t>
        </is>
      </c>
      <c r="M390" s="15" t="inlineStr">
        <is>
          <t>Yes</t>
        </is>
      </c>
      <c r="N390" s="15" t="n"/>
      <c r="O390" s="15" t="n"/>
      <c r="P390" s="15" t="n"/>
      <c r="Q390" s="15" t="n"/>
      <c r="R390" s="15">
        <f>IF(OR(O390="Scheduled",Q390="Scheduled"),"SCHEDULED",IF(Q390="Escalate to call","ESCALATED TO CALL",IF(N390="Bad contact","BAD CONTACT",IF(N390="","NOT STARTED","IN PROGRESS"))))</f>
        <v/>
      </c>
      <c r="S390" s="15" t="n"/>
    </row>
    <row r="391">
      <c r="A391" s="15" t="inlineStr">
        <is>
          <t>REQ-0390</t>
        </is>
      </c>
      <c r="B391" s="16" t="n">
        <v>44867.82708333333</v>
      </c>
      <c r="C391" s="16">
        <f>B391+1</f>
        <v/>
      </c>
      <c r="D391" s="17">
        <f>(C391-NOW())*24</f>
        <v/>
      </c>
      <c r="E391" s="15">
        <f>IF(N391="","STEP 1: Send WhatsApp + Email blast now (Playbook M1)",IF(N391="Bad contact","STOP: report bad contact to lead (Playbook)",IF(O391="Scheduled","DONE: scheduled via Calendly",IF(O391="","STEP 2: Check Calendly now",IF(P391="","STEP 3: Send WhatsApp nudge (Playbook M2)",IF(Q391="Scheduled","DONE: scheduled via Calendly",IF(Q391="Escalate to call","HANDED to Shyam (call queue)","STEP 4: Final Calendly check")))))))</f>
        <v/>
      </c>
      <c r="F391" s="16">
        <f>IF(N391="",B391,IF(O391="",B391+2/24,IF(AND(O391="Not yet",P391=""),B391+2/24,IF(Q391="",B391+4/24,""))))</f>
        <v/>
      </c>
      <c r="G391" s="15" t="inlineStr">
        <is>
          <t>Chetan</t>
        </is>
      </c>
      <c r="H391" s="15" t="inlineStr">
        <is>
          <t>Google</t>
        </is>
      </c>
      <c r="I391" s="15" t="inlineStr">
        <is>
          <t>Round1</t>
        </is>
      </c>
      <c r="J391" s="18" t="inlineStr">
        <is>
          <t>+91 9920264452</t>
        </is>
      </c>
      <c r="K391" s="15" t="inlineStr">
        <is>
          <t>chetan@weekday.works</t>
        </is>
      </c>
      <c r="L391" s="15" t="inlineStr">
        <is>
          <t>&lt;calendly_link&gt;</t>
        </is>
      </c>
      <c r="M391" s="15" t="inlineStr">
        <is>
          <t>Yes</t>
        </is>
      </c>
      <c r="N391" s="15" t="n"/>
      <c r="O391" s="15" t="n"/>
      <c r="P391" s="15" t="n"/>
      <c r="Q391" s="15" t="n"/>
      <c r="R391" s="15">
        <f>IF(OR(O391="Scheduled",Q391="Scheduled"),"SCHEDULED",IF(Q391="Escalate to call","ESCALATED TO CALL",IF(N391="Bad contact","BAD CONTACT",IF(N391="","NOT STARTED","IN PROGRESS"))))</f>
        <v/>
      </c>
      <c r="S391" s="15" t="n"/>
    </row>
    <row r="392">
      <c r="A392" s="15" t="inlineStr">
        <is>
          <t>REQ-0391</t>
        </is>
      </c>
      <c r="B392" s="16" t="n">
        <v>44867.82708333333</v>
      </c>
      <c r="C392" s="16">
        <f>B392+1</f>
        <v/>
      </c>
      <c r="D392" s="17">
        <f>(C392-NOW())*24</f>
        <v/>
      </c>
      <c r="E392" s="15">
        <f>IF(N392="","STEP 1: Send WhatsApp + Email blast now (Playbook M1)",IF(N392="Bad contact","STOP: report bad contact to lead (Playbook)",IF(O392="Scheduled","DONE: scheduled via Calendly",IF(O392="","STEP 2: Check Calendly now",IF(P392="","STEP 3: Send WhatsApp nudge (Playbook M2)",IF(Q392="Scheduled","DONE: scheduled via Calendly",IF(Q392="Escalate to call","HANDED to Shyam (call queue)","STEP 4: Final Calendly check")))))))</f>
        <v/>
      </c>
      <c r="F392" s="16">
        <f>IF(N392="",B392,IF(O392="",B392+2/24,IF(AND(O392="Not yet",P392=""),B392+2/24,IF(Q392="",B392+4/24,""))))</f>
        <v/>
      </c>
      <c r="G392" s="15" t="inlineStr">
        <is>
          <t>Chetan</t>
        </is>
      </c>
      <c r="H392" s="15" t="inlineStr">
        <is>
          <t>Google</t>
        </is>
      </c>
      <c r="I392" s="15" t="inlineStr">
        <is>
          <t>Round1</t>
        </is>
      </c>
      <c r="J392" s="18" t="inlineStr">
        <is>
          <t>+91 9920264452</t>
        </is>
      </c>
      <c r="K392" s="15" t="inlineStr">
        <is>
          <t>chetan@weekday.works</t>
        </is>
      </c>
      <c r="L392" s="15" t="inlineStr">
        <is>
          <t>&lt;calendly_link&gt;</t>
        </is>
      </c>
      <c r="M392" s="15" t="inlineStr">
        <is>
          <t>Yes</t>
        </is>
      </c>
      <c r="N392" s="15" t="n"/>
      <c r="O392" s="15" t="n"/>
      <c r="P392" s="15" t="n"/>
      <c r="Q392" s="15" t="n"/>
      <c r="R392" s="15">
        <f>IF(OR(O392="Scheduled",Q392="Scheduled"),"SCHEDULED",IF(Q392="Escalate to call","ESCALATED TO CALL",IF(N392="Bad contact","BAD CONTACT",IF(N392="","NOT STARTED","IN PROGRESS"))))</f>
        <v/>
      </c>
      <c r="S392" s="15" t="n"/>
    </row>
    <row r="393">
      <c r="A393" s="15" t="inlineStr">
        <is>
          <t>REQ-0392</t>
        </is>
      </c>
      <c r="B393" s="16" t="n">
        <v>44867.82708333333</v>
      </c>
      <c r="C393" s="16">
        <f>B393+1</f>
        <v/>
      </c>
      <c r="D393" s="17">
        <f>(C393-NOW())*24</f>
        <v/>
      </c>
      <c r="E393" s="15">
        <f>IF(N393="","STEP 1: Send WhatsApp + Email blast now (Playbook M1)",IF(N393="Bad contact","STOP: report bad contact to lead (Playbook)",IF(O393="Scheduled","DONE: scheduled via Calendly",IF(O393="","STEP 2: Check Calendly now",IF(P393="","STEP 3: Send WhatsApp nudge (Playbook M2)",IF(Q393="Scheduled","DONE: scheduled via Calendly",IF(Q393="Escalate to call","HANDED to Shyam (call queue)","STEP 4: Final Calendly check")))))))</f>
        <v/>
      </c>
      <c r="F393" s="16">
        <f>IF(N393="",B393,IF(O393="",B393+2/24,IF(AND(O393="Not yet",P393=""),B393+2/24,IF(Q393="",B393+4/24,""))))</f>
        <v/>
      </c>
      <c r="G393" s="15" t="inlineStr">
        <is>
          <t>Chetan</t>
        </is>
      </c>
      <c r="H393" s="15" t="inlineStr">
        <is>
          <t>Google</t>
        </is>
      </c>
      <c r="I393" s="15" t="inlineStr">
        <is>
          <t>Round1</t>
        </is>
      </c>
      <c r="J393" s="18" t="inlineStr">
        <is>
          <t>+91 9920264452</t>
        </is>
      </c>
      <c r="K393" s="15" t="inlineStr">
        <is>
          <t>chetan@weekday.works</t>
        </is>
      </c>
      <c r="L393" s="15" t="inlineStr">
        <is>
          <t>&lt;calendly_link&gt;</t>
        </is>
      </c>
      <c r="M393" s="15" t="inlineStr">
        <is>
          <t>Yes</t>
        </is>
      </c>
      <c r="N393" s="15" t="n"/>
      <c r="O393" s="15" t="n"/>
      <c r="P393" s="15" t="n"/>
      <c r="Q393" s="15" t="n"/>
      <c r="R393" s="15">
        <f>IF(OR(O393="Scheduled",Q393="Scheduled"),"SCHEDULED",IF(Q393="Escalate to call","ESCALATED TO CALL",IF(N393="Bad contact","BAD CONTACT",IF(N393="","NOT STARTED","IN PROGRESS"))))</f>
        <v/>
      </c>
      <c r="S393" s="15" t="n"/>
    </row>
    <row r="394">
      <c r="A394" s="15" t="inlineStr">
        <is>
          <t>REQ-0393</t>
        </is>
      </c>
      <c r="B394" s="16" t="n">
        <v>44867.82708333333</v>
      </c>
      <c r="C394" s="16">
        <f>B394+1</f>
        <v/>
      </c>
      <c r="D394" s="17">
        <f>(C394-NOW())*24</f>
        <v/>
      </c>
      <c r="E394" s="15">
        <f>IF(N394="","STEP 1: Send WhatsApp + Email blast now (Playbook M1)",IF(N394="Bad contact","STOP: report bad contact to lead (Playbook)",IF(O394="Scheduled","DONE: scheduled via Calendly",IF(O394="","STEP 2: Check Calendly now",IF(P394="","STEP 3: Send WhatsApp nudge (Playbook M2)",IF(Q394="Scheduled","DONE: scheduled via Calendly",IF(Q394="Escalate to call","HANDED to Shyam (call queue)","STEP 4: Final Calendly check")))))))</f>
        <v/>
      </c>
      <c r="F394" s="16">
        <f>IF(N394="",B394,IF(O394="",B394+2/24,IF(AND(O394="Not yet",P394=""),B394+2/24,IF(Q394="",B394+4/24,""))))</f>
        <v/>
      </c>
      <c r="G394" s="15" t="inlineStr">
        <is>
          <t>Chetan</t>
        </is>
      </c>
      <c r="H394" s="15" t="inlineStr">
        <is>
          <t>Google</t>
        </is>
      </c>
      <c r="I394" s="15" t="inlineStr">
        <is>
          <t>Round1</t>
        </is>
      </c>
      <c r="J394" s="18" t="inlineStr">
        <is>
          <t>+91 9920264452</t>
        </is>
      </c>
      <c r="K394" s="15" t="inlineStr">
        <is>
          <t>chetan@weekday.works</t>
        </is>
      </c>
      <c r="L394" s="15" t="inlineStr">
        <is>
          <t>&lt;calendly_link&gt;</t>
        </is>
      </c>
      <c r="M394" s="15" t="inlineStr">
        <is>
          <t>Yes</t>
        </is>
      </c>
      <c r="N394" s="15" t="n"/>
      <c r="O394" s="15" t="n"/>
      <c r="P394" s="15" t="n"/>
      <c r="Q394" s="15" t="n"/>
      <c r="R394" s="15">
        <f>IF(OR(O394="Scheduled",Q394="Scheduled"),"SCHEDULED",IF(Q394="Escalate to call","ESCALATED TO CALL",IF(N394="Bad contact","BAD CONTACT",IF(N394="","NOT STARTED","IN PROGRESS"))))</f>
        <v/>
      </c>
      <c r="S394" s="15" t="n"/>
    </row>
    <row r="395">
      <c r="A395" s="15" t="inlineStr">
        <is>
          <t>REQ-0394</t>
        </is>
      </c>
      <c r="B395" s="16" t="n">
        <v>44867.82708333333</v>
      </c>
      <c r="C395" s="16">
        <f>B395+1</f>
        <v/>
      </c>
      <c r="D395" s="17">
        <f>(C395-NOW())*24</f>
        <v/>
      </c>
      <c r="E395" s="15">
        <f>IF(N395="","STEP 1: Send WhatsApp + Email blast now (Playbook M1)",IF(N395="Bad contact","STOP: report bad contact to lead (Playbook)",IF(O395="Scheduled","DONE: scheduled via Calendly",IF(O395="","STEP 2: Check Calendly now",IF(P395="","STEP 3: Send WhatsApp nudge (Playbook M2)",IF(Q395="Scheduled","DONE: scheduled via Calendly",IF(Q395="Escalate to call","HANDED to Shyam (call queue)","STEP 4: Final Calendly check")))))))</f>
        <v/>
      </c>
      <c r="F395" s="16">
        <f>IF(N395="",B395,IF(O395="",B395+2/24,IF(AND(O395="Not yet",P395=""),B395+2/24,IF(Q395="",B395+4/24,""))))</f>
        <v/>
      </c>
      <c r="G395" s="15" t="inlineStr">
        <is>
          <t>Chetan</t>
        </is>
      </c>
      <c r="H395" s="15" t="inlineStr">
        <is>
          <t>Google</t>
        </is>
      </c>
      <c r="I395" s="15" t="inlineStr">
        <is>
          <t>Round1</t>
        </is>
      </c>
      <c r="J395" s="18" t="inlineStr">
        <is>
          <t>+91 9920264452</t>
        </is>
      </c>
      <c r="K395" s="15" t="inlineStr">
        <is>
          <t>chetan@weekday.works</t>
        </is>
      </c>
      <c r="L395" s="15" t="inlineStr">
        <is>
          <t>&lt;calendly_link&gt;</t>
        </is>
      </c>
      <c r="M395" s="15" t="inlineStr">
        <is>
          <t>Yes</t>
        </is>
      </c>
      <c r="N395" s="15" t="n"/>
      <c r="O395" s="15" t="n"/>
      <c r="P395" s="15" t="n"/>
      <c r="Q395" s="15" t="n"/>
      <c r="R395" s="15">
        <f>IF(OR(O395="Scheduled",Q395="Scheduled"),"SCHEDULED",IF(Q395="Escalate to call","ESCALATED TO CALL",IF(N395="Bad contact","BAD CONTACT",IF(N395="","NOT STARTED","IN PROGRESS"))))</f>
        <v/>
      </c>
      <c r="S395" s="15" t="n"/>
    </row>
    <row r="396">
      <c r="A396" s="15" t="inlineStr">
        <is>
          <t>REQ-0395</t>
        </is>
      </c>
      <c r="B396" s="16" t="n">
        <v>44867.82708333333</v>
      </c>
      <c r="C396" s="16">
        <f>B396+1</f>
        <v/>
      </c>
      <c r="D396" s="17">
        <f>(C396-NOW())*24</f>
        <v/>
      </c>
      <c r="E396" s="15">
        <f>IF(N396="","STEP 1: Send WhatsApp + Email blast now (Playbook M1)",IF(N396="Bad contact","STOP: report bad contact to lead (Playbook)",IF(O396="Scheduled","DONE: scheduled via Calendly",IF(O396="","STEP 2: Check Calendly now",IF(P396="","STEP 3: Send WhatsApp nudge (Playbook M2)",IF(Q396="Scheduled","DONE: scheduled via Calendly",IF(Q396="Escalate to call","HANDED to Shyam (call queue)","STEP 4: Final Calendly check")))))))</f>
        <v/>
      </c>
      <c r="F396" s="16">
        <f>IF(N396="",B396,IF(O396="",B396+2/24,IF(AND(O396="Not yet",P396=""),B396+2/24,IF(Q396="",B396+4/24,""))))</f>
        <v/>
      </c>
      <c r="G396" s="15" t="inlineStr">
        <is>
          <t>Chetan</t>
        </is>
      </c>
      <c r="H396" s="15" t="inlineStr">
        <is>
          <t>Google</t>
        </is>
      </c>
      <c r="I396" s="15" t="inlineStr">
        <is>
          <t>Round1</t>
        </is>
      </c>
      <c r="J396" s="18" t="inlineStr">
        <is>
          <t>+91 9920264452</t>
        </is>
      </c>
      <c r="K396" s="15" t="inlineStr">
        <is>
          <t>chetan@weekday.works</t>
        </is>
      </c>
      <c r="L396" s="15" t="inlineStr">
        <is>
          <t>&lt;calendly_link&gt;</t>
        </is>
      </c>
      <c r="M396" s="15" t="inlineStr">
        <is>
          <t>Yes</t>
        </is>
      </c>
      <c r="N396" s="15" t="n"/>
      <c r="O396" s="15" t="n"/>
      <c r="P396" s="15" t="n"/>
      <c r="Q396" s="15" t="n"/>
      <c r="R396" s="15">
        <f>IF(OR(O396="Scheduled",Q396="Scheduled"),"SCHEDULED",IF(Q396="Escalate to call","ESCALATED TO CALL",IF(N396="Bad contact","BAD CONTACT",IF(N396="","NOT STARTED","IN PROGRESS"))))</f>
        <v/>
      </c>
      <c r="S396" s="15" t="n"/>
    </row>
    <row r="397">
      <c r="A397" s="15" t="inlineStr">
        <is>
          <t>REQ-0396</t>
        </is>
      </c>
      <c r="B397" s="16" t="n">
        <v>44867.82708333333</v>
      </c>
      <c r="C397" s="16">
        <f>B397+1</f>
        <v/>
      </c>
      <c r="D397" s="17">
        <f>(C397-NOW())*24</f>
        <v/>
      </c>
      <c r="E397" s="15">
        <f>IF(N397="","STEP 1: Send WhatsApp + Email blast now (Playbook M1)",IF(N397="Bad contact","STOP: report bad contact to lead (Playbook)",IF(O397="Scheduled","DONE: scheduled via Calendly",IF(O397="","STEP 2: Check Calendly now",IF(P397="","STEP 3: Send WhatsApp nudge (Playbook M2)",IF(Q397="Scheduled","DONE: scheduled via Calendly",IF(Q397="Escalate to call","HANDED to Shyam (call queue)","STEP 4: Final Calendly check")))))))</f>
        <v/>
      </c>
      <c r="F397" s="16">
        <f>IF(N397="",B397,IF(O397="",B397+2/24,IF(AND(O397="Not yet",P397=""),B397+2/24,IF(Q397="",B397+4/24,""))))</f>
        <v/>
      </c>
      <c r="G397" s="15" t="inlineStr">
        <is>
          <t>Chetan</t>
        </is>
      </c>
      <c r="H397" s="15" t="inlineStr">
        <is>
          <t>Google</t>
        </is>
      </c>
      <c r="I397" s="15" t="inlineStr">
        <is>
          <t>Round1</t>
        </is>
      </c>
      <c r="J397" s="18" t="inlineStr">
        <is>
          <t>+91 9920264452</t>
        </is>
      </c>
      <c r="K397" s="15" t="inlineStr">
        <is>
          <t>chetan@weekday.works</t>
        </is>
      </c>
      <c r="L397" s="15" t="inlineStr">
        <is>
          <t>&lt;calendly_link&gt;</t>
        </is>
      </c>
      <c r="M397" s="15" t="inlineStr">
        <is>
          <t>Yes</t>
        </is>
      </c>
      <c r="N397" s="15" t="n"/>
      <c r="O397" s="15" t="n"/>
      <c r="P397" s="15" t="n"/>
      <c r="Q397" s="15" t="n"/>
      <c r="R397" s="15">
        <f>IF(OR(O397="Scheduled",Q397="Scheduled"),"SCHEDULED",IF(Q397="Escalate to call","ESCALATED TO CALL",IF(N397="Bad contact","BAD CONTACT",IF(N397="","NOT STARTED","IN PROGRESS"))))</f>
        <v/>
      </c>
      <c r="S397" s="15" t="n"/>
    </row>
    <row r="398">
      <c r="A398" s="15" t="inlineStr">
        <is>
          <t>REQ-0397</t>
        </is>
      </c>
      <c r="B398" s="16" t="n">
        <v>44867.82708333333</v>
      </c>
      <c r="C398" s="16">
        <f>B398+1</f>
        <v/>
      </c>
      <c r="D398" s="17">
        <f>(C398-NOW())*24</f>
        <v/>
      </c>
      <c r="E398" s="15">
        <f>IF(N398="","STEP 1: Send WhatsApp + Email blast now (Playbook M1)",IF(N398="Bad contact","STOP: report bad contact to lead (Playbook)",IF(O398="Scheduled","DONE: scheduled via Calendly",IF(O398="","STEP 2: Check Calendly now",IF(P398="","STEP 3: Send WhatsApp nudge (Playbook M2)",IF(Q398="Scheduled","DONE: scheduled via Calendly",IF(Q398="Escalate to call","HANDED to Shyam (call queue)","STEP 4: Final Calendly check")))))))</f>
        <v/>
      </c>
      <c r="F398" s="16">
        <f>IF(N398="",B398,IF(O398="",B398+2/24,IF(AND(O398="Not yet",P398=""),B398+2/24,IF(Q398="",B398+4/24,""))))</f>
        <v/>
      </c>
      <c r="G398" s="15" t="inlineStr">
        <is>
          <t>Chetan</t>
        </is>
      </c>
      <c r="H398" s="15" t="inlineStr">
        <is>
          <t>Google</t>
        </is>
      </c>
      <c r="I398" s="15" t="inlineStr">
        <is>
          <t>Round1</t>
        </is>
      </c>
      <c r="J398" s="18" t="inlineStr">
        <is>
          <t>+91 9920264452</t>
        </is>
      </c>
      <c r="K398" s="15" t="inlineStr">
        <is>
          <t>chetan@weekday.works</t>
        </is>
      </c>
      <c r="L398" s="15" t="inlineStr">
        <is>
          <t>&lt;calendly_link&gt;</t>
        </is>
      </c>
      <c r="M398" s="15" t="inlineStr">
        <is>
          <t>Yes</t>
        </is>
      </c>
      <c r="N398" s="15" t="n"/>
      <c r="O398" s="15" t="n"/>
      <c r="P398" s="15" t="n"/>
      <c r="Q398" s="15" t="n"/>
      <c r="R398" s="15">
        <f>IF(OR(O398="Scheduled",Q398="Scheduled"),"SCHEDULED",IF(Q398="Escalate to call","ESCALATED TO CALL",IF(N398="Bad contact","BAD CONTACT",IF(N398="","NOT STARTED","IN PROGRESS"))))</f>
        <v/>
      </c>
      <c r="S398" s="15" t="n"/>
    </row>
    <row r="399">
      <c r="A399" s="15" t="inlineStr">
        <is>
          <t>REQ-0398</t>
        </is>
      </c>
      <c r="B399" s="16" t="n">
        <v>44867.82708333333</v>
      </c>
      <c r="C399" s="16">
        <f>B399+1</f>
        <v/>
      </c>
      <c r="D399" s="17">
        <f>(C399-NOW())*24</f>
        <v/>
      </c>
      <c r="E399" s="15">
        <f>IF(N399="","STEP 1: Send WhatsApp + Email blast now (Playbook M1)",IF(N399="Bad contact","STOP: report bad contact to lead (Playbook)",IF(O399="Scheduled","DONE: scheduled via Calendly",IF(O399="","STEP 2: Check Calendly now",IF(P399="","STEP 3: Send WhatsApp nudge (Playbook M2)",IF(Q399="Scheduled","DONE: scheduled via Calendly",IF(Q399="Escalate to call","HANDED to Shyam (call queue)","STEP 4: Final Calendly check")))))))</f>
        <v/>
      </c>
      <c r="F399" s="16">
        <f>IF(N399="",B399,IF(O399="",B399+2/24,IF(AND(O399="Not yet",P399=""),B399+2/24,IF(Q399="",B399+4/24,""))))</f>
        <v/>
      </c>
      <c r="G399" s="15" t="inlineStr">
        <is>
          <t>Chetan</t>
        </is>
      </c>
      <c r="H399" s="15" t="inlineStr">
        <is>
          <t>Google</t>
        </is>
      </c>
      <c r="I399" s="15" t="inlineStr">
        <is>
          <t>Round1</t>
        </is>
      </c>
      <c r="J399" s="18" t="inlineStr">
        <is>
          <t>+91 9920264452</t>
        </is>
      </c>
      <c r="K399" s="15" t="inlineStr">
        <is>
          <t>chetan@weekday.works</t>
        </is>
      </c>
      <c r="L399" s="15" t="inlineStr">
        <is>
          <t>&lt;calendly_link&gt;</t>
        </is>
      </c>
      <c r="M399" s="15" t="inlineStr">
        <is>
          <t>Yes</t>
        </is>
      </c>
      <c r="N399" s="15" t="n"/>
      <c r="O399" s="15" t="n"/>
      <c r="P399" s="15" t="n"/>
      <c r="Q399" s="15" t="n"/>
      <c r="R399" s="15">
        <f>IF(OR(O399="Scheduled",Q399="Scheduled"),"SCHEDULED",IF(Q399="Escalate to call","ESCALATED TO CALL",IF(N399="Bad contact","BAD CONTACT",IF(N399="","NOT STARTED","IN PROGRESS"))))</f>
        <v/>
      </c>
      <c r="S399" s="15" t="n"/>
    </row>
    <row r="400">
      <c r="A400" s="15" t="inlineStr">
        <is>
          <t>REQ-0399</t>
        </is>
      </c>
      <c r="B400" s="16" t="n">
        <v>44867.82708333333</v>
      </c>
      <c r="C400" s="16">
        <f>B400+1</f>
        <v/>
      </c>
      <c r="D400" s="17">
        <f>(C400-NOW())*24</f>
        <v/>
      </c>
      <c r="E400" s="15">
        <f>IF(N400="","STEP 1: Send WhatsApp + Email blast now (Playbook M1)",IF(N400="Bad contact","STOP: report bad contact to lead (Playbook)",IF(O400="Scheduled","DONE: scheduled via Calendly",IF(O400="","STEP 2: Check Calendly now",IF(P400="","STEP 3: Send WhatsApp nudge (Playbook M2)",IF(Q400="Scheduled","DONE: scheduled via Calendly",IF(Q400="Escalate to call","HANDED to Shyam (call queue)","STEP 4: Final Calendly check")))))))</f>
        <v/>
      </c>
      <c r="F400" s="16">
        <f>IF(N400="",B400,IF(O400="",B400+2/24,IF(AND(O400="Not yet",P400=""),B400+2/24,IF(Q400="",B400+4/24,""))))</f>
        <v/>
      </c>
      <c r="G400" s="15" t="inlineStr">
        <is>
          <t>Chetan</t>
        </is>
      </c>
      <c r="H400" s="15" t="inlineStr">
        <is>
          <t>Google</t>
        </is>
      </c>
      <c r="I400" s="15" t="inlineStr">
        <is>
          <t>Round1</t>
        </is>
      </c>
      <c r="J400" s="18" t="inlineStr">
        <is>
          <t>+91 9920264452</t>
        </is>
      </c>
      <c r="K400" s="15" t="inlineStr">
        <is>
          <t>chetan@weekday.works</t>
        </is>
      </c>
      <c r="L400" s="15" t="inlineStr">
        <is>
          <t>&lt;calendly_link&gt;</t>
        </is>
      </c>
      <c r="M400" s="15" t="inlineStr">
        <is>
          <t>Yes</t>
        </is>
      </c>
      <c r="N400" s="15" t="n"/>
      <c r="O400" s="15" t="n"/>
      <c r="P400" s="15" t="n"/>
      <c r="Q400" s="15" t="n"/>
      <c r="R400" s="15">
        <f>IF(OR(O400="Scheduled",Q400="Scheduled"),"SCHEDULED",IF(Q400="Escalate to call","ESCALATED TO CALL",IF(N400="Bad contact","BAD CONTACT",IF(N400="","NOT STARTED","IN PROGRESS"))))</f>
        <v/>
      </c>
      <c r="S400" s="15" t="n"/>
    </row>
    <row r="401">
      <c r="A401" s="15" t="inlineStr">
        <is>
          <t>REQ-0400</t>
        </is>
      </c>
      <c r="B401" s="16" t="n">
        <v>44867.82708333333</v>
      </c>
      <c r="C401" s="16">
        <f>B401+1</f>
        <v/>
      </c>
      <c r="D401" s="17">
        <f>(C401-NOW())*24</f>
        <v/>
      </c>
      <c r="E401" s="15">
        <f>IF(N401="","STEP 1: Send WhatsApp + Email blast now (Playbook M1)",IF(N401="Bad contact","STOP: report bad contact to lead (Playbook)",IF(O401="Scheduled","DONE: scheduled via Calendly",IF(O401="","STEP 2: Check Calendly now",IF(P401="","STEP 3: Send WhatsApp nudge (Playbook M2)",IF(Q401="Scheduled","DONE: scheduled via Calendly",IF(Q401="Escalate to call","HANDED to Shyam (call queue)","STEP 4: Final Calendly check")))))))</f>
        <v/>
      </c>
      <c r="F401" s="16">
        <f>IF(N401="",B401,IF(O401="",B401+2/24,IF(AND(O401="Not yet",P401=""),B401+2/24,IF(Q401="",B401+4/24,""))))</f>
        <v/>
      </c>
      <c r="G401" s="15" t="inlineStr">
        <is>
          <t>Chetan</t>
        </is>
      </c>
      <c r="H401" s="15" t="inlineStr">
        <is>
          <t>Google</t>
        </is>
      </c>
      <c r="I401" s="15" t="inlineStr">
        <is>
          <t>Round1</t>
        </is>
      </c>
      <c r="J401" s="18" t="inlineStr">
        <is>
          <t>+91 9920264452</t>
        </is>
      </c>
      <c r="K401" s="15" t="inlineStr">
        <is>
          <t>chetan@weekday.works</t>
        </is>
      </c>
      <c r="L401" s="15" t="inlineStr">
        <is>
          <t>&lt;calendly_link&gt;</t>
        </is>
      </c>
      <c r="M401" s="15" t="inlineStr">
        <is>
          <t>Yes</t>
        </is>
      </c>
      <c r="N401" s="15" t="n"/>
      <c r="O401" s="15" t="n"/>
      <c r="P401" s="15" t="n"/>
      <c r="Q401" s="15" t="n"/>
      <c r="R401" s="15">
        <f>IF(OR(O401="Scheduled",Q401="Scheduled"),"SCHEDULED",IF(Q401="Escalate to call","ESCALATED TO CALL",IF(N401="Bad contact","BAD CONTACT",IF(N401="","NOT STARTED","IN PROGRESS"))))</f>
        <v/>
      </c>
      <c r="S401" s="15" t="n"/>
    </row>
    <row r="402">
      <c r="A402" s="15" t="inlineStr">
        <is>
          <t>REQ-0401</t>
        </is>
      </c>
      <c r="B402" s="16" t="n">
        <v>44867.82708333333</v>
      </c>
      <c r="C402" s="16">
        <f>B402+1</f>
        <v/>
      </c>
      <c r="D402" s="17">
        <f>(C402-NOW())*24</f>
        <v/>
      </c>
      <c r="E402" s="15">
        <f>IF(N402="","STEP 1: Send WhatsApp + Email blast now (Playbook M1)",IF(N402="Bad contact","STOP: report bad contact to lead (Playbook)",IF(O402="Scheduled","DONE: scheduled via Calendly",IF(O402="","STEP 2: Check Calendly now",IF(P402="","STEP 3: Send WhatsApp nudge (Playbook M2)",IF(Q402="Scheduled","DONE: scheduled via Calendly",IF(Q402="Escalate to call","HANDED to Shyam (call queue)","STEP 4: Final Calendly check")))))))</f>
        <v/>
      </c>
      <c r="F402" s="16">
        <f>IF(N402="",B402,IF(O402="",B402+2/24,IF(AND(O402="Not yet",P402=""),B402+2/24,IF(Q402="",B402+4/24,""))))</f>
        <v/>
      </c>
      <c r="G402" s="15" t="inlineStr">
        <is>
          <t>Chetan</t>
        </is>
      </c>
      <c r="H402" s="15" t="inlineStr">
        <is>
          <t>Google</t>
        </is>
      </c>
      <c r="I402" s="15" t="inlineStr">
        <is>
          <t>Round1</t>
        </is>
      </c>
      <c r="J402" s="18" t="inlineStr">
        <is>
          <t>+91 9920264452</t>
        </is>
      </c>
      <c r="K402" s="15" t="inlineStr">
        <is>
          <t>chetan@weekday.works</t>
        </is>
      </c>
      <c r="L402" s="15" t="inlineStr">
        <is>
          <t>&lt;calendly_link&gt;</t>
        </is>
      </c>
      <c r="M402" s="15" t="inlineStr">
        <is>
          <t>Yes</t>
        </is>
      </c>
      <c r="N402" s="15" t="n"/>
      <c r="O402" s="15" t="n"/>
      <c r="P402" s="15" t="n"/>
      <c r="Q402" s="15" t="n"/>
      <c r="R402" s="15">
        <f>IF(OR(O402="Scheduled",Q402="Scheduled"),"SCHEDULED",IF(Q402="Escalate to call","ESCALATED TO CALL",IF(N402="Bad contact","BAD CONTACT",IF(N402="","NOT STARTED","IN PROGRESS"))))</f>
        <v/>
      </c>
      <c r="S402" s="15" t="n"/>
    </row>
    <row r="403">
      <c r="A403" s="15" t="inlineStr">
        <is>
          <t>REQ-0402</t>
        </is>
      </c>
      <c r="B403" s="16" t="n">
        <v>44867.82708333333</v>
      </c>
      <c r="C403" s="16">
        <f>B403+1</f>
        <v/>
      </c>
      <c r="D403" s="17">
        <f>(C403-NOW())*24</f>
        <v/>
      </c>
      <c r="E403" s="15">
        <f>IF(N403="","STEP 1: Send WhatsApp + Email blast now (Playbook M1)",IF(N403="Bad contact","STOP: report bad contact to lead (Playbook)",IF(O403="Scheduled","DONE: scheduled via Calendly",IF(O403="","STEP 2: Check Calendly now",IF(P403="","STEP 3: Send WhatsApp nudge (Playbook M2)",IF(Q403="Scheduled","DONE: scheduled via Calendly",IF(Q403="Escalate to call","HANDED to Shyam (call queue)","STEP 4: Final Calendly check")))))))</f>
        <v/>
      </c>
      <c r="F403" s="16">
        <f>IF(N403="",B403,IF(O403="",B403+2/24,IF(AND(O403="Not yet",P403=""),B403+2/24,IF(Q403="",B403+4/24,""))))</f>
        <v/>
      </c>
      <c r="G403" s="15" t="inlineStr">
        <is>
          <t>Chetan</t>
        </is>
      </c>
      <c r="H403" s="15" t="inlineStr">
        <is>
          <t>Google</t>
        </is>
      </c>
      <c r="I403" s="15" t="inlineStr">
        <is>
          <t>Round1</t>
        </is>
      </c>
      <c r="J403" s="18" t="inlineStr">
        <is>
          <t>+91 9920264452</t>
        </is>
      </c>
      <c r="K403" s="15" t="inlineStr">
        <is>
          <t>chetan@weekday.works</t>
        </is>
      </c>
      <c r="L403" s="15" t="inlineStr">
        <is>
          <t>&lt;calendly_link&gt;</t>
        </is>
      </c>
      <c r="M403" s="15" t="inlineStr">
        <is>
          <t>Yes</t>
        </is>
      </c>
      <c r="N403" s="15" t="n"/>
      <c r="O403" s="15" t="n"/>
      <c r="P403" s="15" t="n"/>
      <c r="Q403" s="15" t="n"/>
      <c r="R403" s="15">
        <f>IF(OR(O403="Scheduled",Q403="Scheduled"),"SCHEDULED",IF(Q403="Escalate to call","ESCALATED TO CALL",IF(N403="Bad contact","BAD CONTACT",IF(N403="","NOT STARTED","IN PROGRESS"))))</f>
        <v/>
      </c>
      <c r="S403" s="15" t="n"/>
    </row>
    <row r="404">
      <c r="A404" s="15" t="inlineStr">
        <is>
          <t>REQ-0403</t>
        </is>
      </c>
      <c r="B404" s="16" t="n">
        <v>44867.82708333333</v>
      </c>
      <c r="C404" s="16">
        <f>B404+1</f>
        <v/>
      </c>
      <c r="D404" s="17">
        <f>(C404-NOW())*24</f>
        <v/>
      </c>
      <c r="E404" s="15">
        <f>IF(N404="","STEP 1: Send WhatsApp + Email blast now (Playbook M1)",IF(N404="Bad contact","STOP: report bad contact to lead (Playbook)",IF(O404="Scheduled","DONE: scheduled via Calendly",IF(O404="","STEP 2: Check Calendly now",IF(P404="","STEP 3: Send WhatsApp nudge (Playbook M2)",IF(Q404="Scheduled","DONE: scheduled via Calendly",IF(Q404="Escalate to call","HANDED to Shyam (call queue)","STEP 4: Final Calendly check")))))))</f>
        <v/>
      </c>
      <c r="F404" s="16">
        <f>IF(N404="",B404,IF(O404="",B404+2/24,IF(AND(O404="Not yet",P404=""),B404+2/24,IF(Q404="",B404+4/24,""))))</f>
        <v/>
      </c>
      <c r="G404" s="15" t="inlineStr">
        <is>
          <t>Chetan</t>
        </is>
      </c>
      <c r="H404" s="15" t="inlineStr">
        <is>
          <t>Google</t>
        </is>
      </c>
      <c r="I404" s="15" t="inlineStr">
        <is>
          <t>Round1</t>
        </is>
      </c>
      <c r="J404" s="18" t="inlineStr">
        <is>
          <t>+91 9920264452</t>
        </is>
      </c>
      <c r="K404" s="15" t="inlineStr">
        <is>
          <t>chetan@weekday.works</t>
        </is>
      </c>
      <c r="L404" s="15" t="inlineStr">
        <is>
          <t>&lt;calendly_link&gt;</t>
        </is>
      </c>
      <c r="M404" s="15" t="inlineStr">
        <is>
          <t>Yes</t>
        </is>
      </c>
      <c r="N404" s="15" t="n"/>
      <c r="O404" s="15" t="n"/>
      <c r="P404" s="15" t="n"/>
      <c r="Q404" s="15" t="n"/>
      <c r="R404" s="15">
        <f>IF(OR(O404="Scheduled",Q404="Scheduled"),"SCHEDULED",IF(Q404="Escalate to call","ESCALATED TO CALL",IF(N404="Bad contact","BAD CONTACT",IF(N404="","NOT STARTED","IN PROGRESS"))))</f>
        <v/>
      </c>
      <c r="S404" s="15" t="n"/>
    </row>
    <row r="405">
      <c r="A405" s="15" t="inlineStr">
        <is>
          <t>REQ-0404</t>
        </is>
      </c>
      <c r="B405" s="16" t="n">
        <v>44867.82708333333</v>
      </c>
      <c r="C405" s="16">
        <f>B405+1</f>
        <v/>
      </c>
      <c r="D405" s="17">
        <f>(C405-NOW())*24</f>
        <v/>
      </c>
      <c r="E405" s="15">
        <f>IF(N405="","STEP 1: Send WhatsApp + Email blast now (Playbook M1)",IF(N405="Bad contact","STOP: report bad contact to lead (Playbook)",IF(O405="Scheduled","DONE: scheduled via Calendly",IF(O405="","STEP 2: Check Calendly now",IF(P405="","STEP 3: Send WhatsApp nudge (Playbook M2)",IF(Q405="Scheduled","DONE: scheduled via Calendly",IF(Q405="Escalate to call","HANDED to Shyam (call queue)","STEP 4: Final Calendly check")))))))</f>
        <v/>
      </c>
      <c r="F405" s="16">
        <f>IF(N405="",B405,IF(O405="",B405+2/24,IF(AND(O405="Not yet",P405=""),B405+2/24,IF(Q405="",B405+4/24,""))))</f>
        <v/>
      </c>
      <c r="G405" s="15" t="inlineStr">
        <is>
          <t>Chetan</t>
        </is>
      </c>
      <c r="H405" s="15" t="inlineStr">
        <is>
          <t>Google</t>
        </is>
      </c>
      <c r="I405" s="15" t="inlineStr">
        <is>
          <t>Round1</t>
        </is>
      </c>
      <c r="J405" s="18" t="inlineStr">
        <is>
          <t>+91 9920264452</t>
        </is>
      </c>
      <c r="K405" s="15" t="inlineStr">
        <is>
          <t>chetan@weekday.works</t>
        </is>
      </c>
      <c r="L405" s="15" t="inlineStr">
        <is>
          <t>&lt;calendly_link&gt;</t>
        </is>
      </c>
      <c r="M405" s="15" t="inlineStr">
        <is>
          <t>Yes</t>
        </is>
      </c>
      <c r="N405" s="15" t="n"/>
      <c r="O405" s="15" t="n"/>
      <c r="P405" s="15" t="n"/>
      <c r="Q405" s="15" t="n"/>
      <c r="R405" s="15">
        <f>IF(OR(O405="Scheduled",Q405="Scheduled"),"SCHEDULED",IF(Q405="Escalate to call","ESCALATED TO CALL",IF(N405="Bad contact","BAD CONTACT",IF(N405="","NOT STARTED","IN PROGRESS"))))</f>
        <v/>
      </c>
      <c r="S405" s="15" t="n"/>
    </row>
    <row r="406">
      <c r="A406" s="15" t="inlineStr">
        <is>
          <t>REQ-0405</t>
        </is>
      </c>
      <c r="B406" s="16" t="n">
        <v>44867.82708333333</v>
      </c>
      <c r="C406" s="16">
        <f>B406+1</f>
        <v/>
      </c>
      <c r="D406" s="17">
        <f>(C406-NOW())*24</f>
        <v/>
      </c>
      <c r="E406" s="15">
        <f>IF(N406="","STEP 1: Send WhatsApp + Email blast now (Playbook M1)",IF(N406="Bad contact","STOP: report bad contact to lead (Playbook)",IF(O406="Scheduled","DONE: scheduled via Calendly",IF(O406="","STEP 2: Check Calendly now",IF(P406="","STEP 3: Send WhatsApp nudge (Playbook M2)",IF(Q406="Scheduled","DONE: scheduled via Calendly",IF(Q406="Escalate to call","HANDED to Shyam (call queue)","STEP 4: Final Calendly check")))))))</f>
        <v/>
      </c>
      <c r="F406" s="16">
        <f>IF(N406="",B406,IF(O406="",B406+2/24,IF(AND(O406="Not yet",P406=""),B406+2/24,IF(Q406="",B406+4/24,""))))</f>
        <v/>
      </c>
      <c r="G406" s="15" t="inlineStr">
        <is>
          <t>Chetan</t>
        </is>
      </c>
      <c r="H406" s="15" t="inlineStr">
        <is>
          <t>Google</t>
        </is>
      </c>
      <c r="I406" s="15" t="inlineStr">
        <is>
          <t>Round1</t>
        </is>
      </c>
      <c r="J406" s="18" t="inlineStr">
        <is>
          <t>+91 9920264452</t>
        </is>
      </c>
      <c r="K406" s="15" t="inlineStr">
        <is>
          <t>chetan@weekday.works</t>
        </is>
      </c>
      <c r="L406" s="15" t="inlineStr">
        <is>
          <t>&lt;calendly_link&gt;</t>
        </is>
      </c>
      <c r="M406" s="15" t="inlineStr">
        <is>
          <t>Yes</t>
        </is>
      </c>
      <c r="N406" s="15" t="n"/>
      <c r="O406" s="15" t="n"/>
      <c r="P406" s="15" t="n"/>
      <c r="Q406" s="15" t="n"/>
      <c r="R406" s="15">
        <f>IF(OR(O406="Scheduled",Q406="Scheduled"),"SCHEDULED",IF(Q406="Escalate to call","ESCALATED TO CALL",IF(N406="Bad contact","BAD CONTACT",IF(N406="","NOT STARTED","IN PROGRESS"))))</f>
        <v/>
      </c>
      <c r="S406" s="15" t="n"/>
    </row>
    <row r="407">
      <c r="A407" s="15" t="inlineStr">
        <is>
          <t>REQ-0406</t>
        </is>
      </c>
      <c r="B407" s="16" t="n">
        <v>44867.82708333333</v>
      </c>
      <c r="C407" s="16">
        <f>B407+1</f>
        <v/>
      </c>
      <c r="D407" s="17">
        <f>(C407-NOW())*24</f>
        <v/>
      </c>
      <c r="E407" s="15">
        <f>IF(N407="","STEP 1: Send WhatsApp + Email blast now (Playbook M1)",IF(N407="Bad contact","STOP: report bad contact to lead (Playbook)",IF(O407="Scheduled","DONE: scheduled via Calendly",IF(O407="","STEP 2: Check Calendly now",IF(P407="","STEP 3: Send WhatsApp nudge (Playbook M2)",IF(Q407="Scheduled","DONE: scheduled via Calendly",IF(Q407="Escalate to call","HANDED to Shyam (call queue)","STEP 4: Final Calendly check")))))))</f>
        <v/>
      </c>
      <c r="F407" s="16">
        <f>IF(N407="",B407,IF(O407="",B407+2/24,IF(AND(O407="Not yet",P407=""),B407+2/24,IF(Q407="",B407+4/24,""))))</f>
        <v/>
      </c>
      <c r="G407" s="15" t="inlineStr">
        <is>
          <t>Chetan</t>
        </is>
      </c>
      <c r="H407" s="15" t="inlineStr">
        <is>
          <t>Google</t>
        </is>
      </c>
      <c r="I407" s="15" t="inlineStr">
        <is>
          <t>Round1</t>
        </is>
      </c>
      <c r="J407" s="18" t="inlineStr">
        <is>
          <t>+91 9920264452</t>
        </is>
      </c>
      <c r="K407" s="15" t="inlineStr">
        <is>
          <t>chetan@weekday.works</t>
        </is>
      </c>
      <c r="L407" s="15" t="inlineStr">
        <is>
          <t>&lt;calendly_link&gt;</t>
        </is>
      </c>
      <c r="M407" s="15" t="inlineStr">
        <is>
          <t>Yes</t>
        </is>
      </c>
      <c r="N407" s="15" t="n"/>
      <c r="O407" s="15" t="n"/>
      <c r="P407" s="15" t="n"/>
      <c r="Q407" s="15" t="n"/>
      <c r="R407" s="15">
        <f>IF(OR(O407="Scheduled",Q407="Scheduled"),"SCHEDULED",IF(Q407="Escalate to call","ESCALATED TO CALL",IF(N407="Bad contact","BAD CONTACT",IF(N407="","NOT STARTED","IN PROGRESS"))))</f>
        <v/>
      </c>
      <c r="S407" s="15" t="n"/>
    </row>
    <row r="408">
      <c r="A408" s="15" t="inlineStr">
        <is>
          <t>REQ-0407</t>
        </is>
      </c>
      <c r="B408" s="16" t="n">
        <v>44867.82708333333</v>
      </c>
      <c r="C408" s="16">
        <f>B408+1</f>
        <v/>
      </c>
      <c r="D408" s="17">
        <f>(C408-NOW())*24</f>
        <v/>
      </c>
      <c r="E408" s="15">
        <f>IF(N408="","STEP 1: Send WhatsApp + Email blast now (Playbook M1)",IF(N408="Bad contact","STOP: report bad contact to lead (Playbook)",IF(O408="Scheduled","DONE: scheduled via Calendly",IF(O408="","STEP 2: Check Calendly now",IF(P408="","STEP 3: Send WhatsApp nudge (Playbook M2)",IF(Q408="Scheduled","DONE: scheduled via Calendly",IF(Q408="Escalate to call","HANDED to Shyam (call queue)","STEP 4: Final Calendly check")))))))</f>
        <v/>
      </c>
      <c r="F408" s="16">
        <f>IF(N408="",B408,IF(O408="",B408+2/24,IF(AND(O408="Not yet",P408=""),B408+2/24,IF(Q408="",B408+4/24,""))))</f>
        <v/>
      </c>
      <c r="G408" s="15" t="inlineStr">
        <is>
          <t>Chetan</t>
        </is>
      </c>
      <c r="H408" s="15" t="inlineStr">
        <is>
          <t>Google</t>
        </is>
      </c>
      <c r="I408" s="15" t="inlineStr">
        <is>
          <t>Round1</t>
        </is>
      </c>
      <c r="J408" s="18" t="inlineStr">
        <is>
          <t>+91 9920264452</t>
        </is>
      </c>
      <c r="K408" s="15" t="inlineStr">
        <is>
          <t>chetan@weekday.works</t>
        </is>
      </c>
      <c r="L408" s="15" t="inlineStr">
        <is>
          <t>&lt;calendly_link&gt;</t>
        </is>
      </c>
      <c r="M408" s="15" t="inlineStr">
        <is>
          <t>Yes</t>
        </is>
      </c>
      <c r="N408" s="15" t="n"/>
      <c r="O408" s="15" t="n"/>
      <c r="P408" s="15" t="n"/>
      <c r="Q408" s="15" t="n"/>
      <c r="R408" s="15">
        <f>IF(OR(O408="Scheduled",Q408="Scheduled"),"SCHEDULED",IF(Q408="Escalate to call","ESCALATED TO CALL",IF(N408="Bad contact","BAD CONTACT",IF(N408="","NOT STARTED","IN PROGRESS"))))</f>
        <v/>
      </c>
      <c r="S408" s="15" t="n"/>
    </row>
    <row r="409">
      <c r="A409" s="15" t="inlineStr">
        <is>
          <t>REQ-0408</t>
        </is>
      </c>
      <c r="B409" s="16" t="n">
        <v>44867.82708333333</v>
      </c>
      <c r="C409" s="16">
        <f>B409+1</f>
        <v/>
      </c>
      <c r="D409" s="17">
        <f>(C409-NOW())*24</f>
        <v/>
      </c>
      <c r="E409" s="15">
        <f>IF(N409="","STEP 1: Send WhatsApp + Email blast now (Playbook M1)",IF(N409="Bad contact","STOP: report bad contact to lead (Playbook)",IF(O409="Scheduled","DONE: scheduled via Calendly",IF(O409="","STEP 2: Check Calendly now",IF(P409="","STEP 3: Send WhatsApp nudge (Playbook M2)",IF(Q409="Scheduled","DONE: scheduled via Calendly",IF(Q409="Escalate to call","HANDED to Shyam (call queue)","STEP 4: Final Calendly check")))))))</f>
        <v/>
      </c>
      <c r="F409" s="16">
        <f>IF(N409="",B409,IF(O409="",B409+2/24,IF(AND(O409="Not yet",P409=""),B409+2/24,IF(Q409="",B409+4/24,""))))</f>
        <v/>
      </c>
      <c r="G409" s="15" t="inlineStr">
        <is>
          <t>Chetan</t>
        </is>
      </c>
      <c r="H409" s="15" t="inlineStr">
        <is>
          <t>Google</t>
        </is>
      </c>
      <c r="I409" s="15" t="inlineStr">
        <is>
          <t>Round1</t>
        </is>
      </c>
      <c r="J409" s="18" t="inlineStr">
        <is>
          <t>+91 9920264452</t>
        </is>
      </c>
      <c r="K409" s="15" t="inlineStr">
        <is>
          <t>chetan@weekday.works</t>
        </is>
      </c>
      <c r="L409" s="15" t="inlineStr">
        <is>
          <t>&lt;calendly_link&gt;</t>
        </is>
      </c>
      <c r="M409" s="15" t="inlineStr">
        <is>
          <t>Yes</t>
        </is>
      </c>
      <c r="N409" s="15" t="n"/>
      <c r="O409" s="15" t="n"/>
      <c r="P409" s="15" t="n"/>
      <c r="Q409" s="15" t="n"/>
      <c r="R409" s="15">
        <f>IF(OR(O409="Scheduled",Q409="Scheduled"),"SCHEDULED",IF(Q409="Escalate to call","ESCALATED TO CALL",IF(N409="Bad contact","BAD CONTACT",IF(N409="","NOT STARTED","IN PROGRESS"))))</f>
        <v/>
      </c>
      <c r="S409" s="15" t="n"/>
    </row>
    <row r="410">
      <c r="A410" s="15" t="inlineStr">
        <is>
          <t>REQ-0409</t>
        </is>
      </c>
      <c r="B410" s="16" t="n">
        <v>44867.82708333333</v>
      </c>
      <c r="C410" s="16">
        <f>B410+1</f>
        <v/>
      </c>
      <c r="D410" s="17">
        <f>(C410-NOW())*24</f>
        <v/>
      </c>
      <c r="E410" s="15">
        <f>IF(N410="","STEP 1: Send WhatsApp + Email blast now (Playbook M1)",IF(N410="Bad contact","STOP: report bad contact to lead (Playbook)",IF(O410="Scheduled","DONE: scheduled via Calendly",IF(O410="","STEP 2: Check Calendly now",IF(P410="","STEP 3: Send WhatsApp nudge (Playbook M2)",IF(Q410="Scheduled","DONE: scheduled via Calendly",IF(Q410="Escalate to call","HANDED to Shyam (call queue)","STEP 4: Final Calendly check")))))))</f>
        <v/>
      </c>
      <c r="F410" s="16">
        <f>IF(N410="",B410,IF(O410="",B410+2/24,IF(AND(O410="Not yet",P410=""),B410+2/24,IF(Q410="",B410+4/24,""))))</f>
        <v/>
      </c>
      <c r="G410" s="15" t="inlineStr">
        <is>
          <t>Chetan</t>
        </is>
      </c>
      <c r="H410" s="15" t="inlineStr">
        <is>
          <t>Google</t>
        </is>
      </c>
      <c r="I410" s="15" t="inlineStr">
        <is>
          <t>Round1</t>
        </is>
      </c>
      <c r="J410" s="18" t="inlineStr">
        <is>
          <t>+91 9920264452</t>
        </is>
      </c>
      <c r="K410" s="15" t="inlineStr">
        <is>
          <t>chetan@weekday.works</t>
        </is>
      </c>
      <c r="L410" s="15" t="inlineStr">
        <is>
          <t>&lt;calendly_link&gt;</t>
        </is>
      </c>
      <c r="M410" s="15" t="inlineStr">
        <is>
          <t>Yes</t>
        </is>
      </c>
      <c r="N410" s="15" t="n"/>
      <c r="O410" s="15" t="n"/>
      <c r="P410" s="15" t="n"/>
      <c r="Q410" s="15" t="n"/>
      <c r="R410" s="15">
        <f>IF(OR(O410="Scheduled",Q410="Scheduled"),"SCHEDULED",IF(Q410="Escalate to call","ESCALATED TO CALL",IF(N410="Bad contact","BAD CONTACT",IF(N410="","NOT STARTED","IN PROGRESS"))))</f>
        <v/>
      </c>
      <c r="S410" s="15" t="n"/>
    </row>
    <row r="411">
      <c r="A411" s="15" t="inlineStr">
        <is>
          <t>REQ-0410</t>
        </is>
      </c>
      <c r="B411" s="16" t="n">
        <v>44867.82708333333</v>
      </c>
      <c r="C411" s="16">
        <f>B411+1</f>
        <v/>
      </c>
      <c r="D411" s="17">
        <f>(C411-NOW())*24</f>
        <v/>
      </c>
      <c r="E411" s="15">
        <f>IF(N411="","STEP 1: Send WhatsApp + Email blast now (Playbook M1)",IF(N411="Bad contact","STOP: report bad contact to lead (Playbook)",IF(O411="Scheduled","DONE: scheduled via Calendly",IF(O411="","STEP 2: Check Calendly now",IF(P411="","STEP 3: Send WhatsApp nudge (Playbook M2)",IF(Q411="Scheduled","DONE: scheduled via Calendly",IF(Q411="Escalate to call","HANDED to Shyam (call queue)","STEP 4: Final Calendly check")))))))</f>
        <v/>
      </c>
      <c r="F411" s="16">
        <f>IF(N411="",B411,IF(O411="",B411+2/24,IF(AND(O411="Not yet",P411=""),B411+2/24,IF(Q411="",B411+4/24,""))))</f>
        <v/>
      </c>
      <c r="G411" s="15" t="inlineStr">
        <is>
          <t>Chetan</t>
        </is>
      </c>
      <c r="H411" s="15" t="inlineStr">
        <is>
          <t>Google</t>
        </is>
      </c>
      <c r="I411" s="15" t="inlineStr">
        <is>
          <t>Round1</t>
        </is>
      </c>
      <c r="J411" s="18" t="inlineStr">
        <is>
          <t>+91 9920264452</t>
        </is>
      </c>
      <c r="K411" s="15" t="inlineStr">
        <is>
          <t>chetan@weekday.works</t>
        </is>
      </c>
      <c r="L411" s="15" t="inlineStr">
        <is>
          <t>&lt;calendly_link&gt;</t>
        </is>
      </c>
      <c r="M411" s="15" t="inlineStr">
        <is>
          <t>Yes</t>
        </is>
      </c>
      <c r="N411" s="15" t="n"/>
      <c r="O411" s="15" t="n"/>
      <c r="P411" s="15" t="n"/>
      <c r="Q411" s="15" t="n"/>
      <c r="R411" s="15">
        <f>IF(OR(O411="Scheduled",Q411="Scheduled"),"SCHEDULED",IF(Q411="Escalate to call","ESCALATED TO CALL",IF(N411="Bad contact","BAD CONTACT",IF(N411="","NOT STARTED","IN PROGRESS"))))</f>
        <v/>
      </c>
      <c r="S411" s="15" t="n"/>
    </row>
    <row r="412">
      <c r="A412" s="15" t="inlineStr">
        <is>
          <t>REQ-0411</t>
        </is>
      </c>
      <c r="B412" s="16" t="n">
        <v>44867.82708333333</v>
      </c>
      <c r="C412" s="16">
        <f>B412+1</f>
        <v/>
      </c>
      <c r="D412" s="17">
        <f>(C412-NOW())*24</f>
        <v/>
      </c>
      <c r="E412" s="15">
        <f>IF(N412="","STEP 1: Send WhatsApp + Email blast now (Playbook M1)",IF(N412="Bad contact","STOP: report bad contact to lead (Playbook)",IF(O412="Scheduled","DONE: scheduled via Calendly",IF(O412="","STEP 2: Check Calendly now",IF(P412="","STEP 3: Send WhatsApp nudge (Playbook M2)",IF(Q412="Scheduled","DONE: scheduled via Calendly",IF(Q412="Escalate to call","HANDED to Shyam (call queue)","STEP 4: Final Calendly check")))))))</f>
        <v/>
      </c>
      <c r="F412" s="16">
        <f>IF(N412="",B412,IF(O412="",B412+2/24,IF(AND(O412="Not yet",P412=""),B412+2/24,IF(Q412="",B412+4/24,""))))</f>
        <v/>
      </c>
      <c r="G412" s="15" t="inlineStr">
        <is>
          <t>Chetan</t>
        </is>
      </c>
      <c r="H412" s="15" t="inlineStr">
        <is>
          <t>Google</t>
        </is>
      </c>
      <c r="I412" s="15" t="inlineStr">
        <is>
          <t>Round1</t>
        </is>
      </c>
      <c r="J412" s="18" t="inlineStr">
        <is>
          <t>+91 9920264452</t>
        </is>
      </c>
      <c r="K412" s="15" t="inlineStr">
        <is>
          <t>chetan@weekday.works</t>
        </is>
      </c>
      <c r="L412" s="15" t="inlineStr">
        <is>
          <t>&lt;calendly_link&gt;</t>
        </is>
      </c>
      <c r="M412" s="15" t="inlineStr">
        <is>
          <t>Yes</t>
        </is>
      </c>
      <c r="N412" s="15" t="n"/>
      <c r="O412" s="15" t="n"/>
      <c r="P412" s="15" t="n"/>
      <c r="Q412" s="15" t="n"/>
      <c r="R412" s="15">
        <f>IF(OR(O412="Scheduled",Q412="Scheduled"),"SCHEDULED",IF(Q412="Escalate to call","ESCALATED TO CALL",IF(N412="Bad contact","BAD CONTACT",IF(N412="","NOT STARTED","IN PROGRESS"))))</f>
        <v/>
      </c>
      <c r="S412" s="15" t="n"/>
    </row>
    <row r="413">
      <c r="A413" s="15" t="inlineStr">
        <is>
          <t>REQ-0412</t>
        </is>
      </c>
      <c r="B413" s="16" t="n">
        <v>44867.82708333333</v>
      </c>
      <c r="C413" s="16">
        <f>B413+1</f>
        <v/>
      </c>
      <c r="D413" s="17">
        <f>(C413-NOW())*24</f>
        <v/>
      </c>
      <c r="E413" s="15">
        <f>IF(N413="","STEP 1: Send WhatsApp + Email blast now (Playbook M1)",IF(N413="Bad contact","STOP: report bad contact to lead (Playbook)",IF(O413="Scheduled","DONE: scheduled via Calendly",IF(O413="","STEP 2: Check Calendly now",IF(P413="","STEP 3: Send WhatsApp nudge (Playbook M2)",IF(Q413="Scheduled","DONE: scheduled via Calendly",IF(Q413="Escalate to call","HANDED to Shyam (call queue)","STEP 4: Final Calendly check")))))))</f>
        <v/>
      </c>
      <c r="F413" s="16">
        <f>IF(N413="",B413,IF(O413="",B413+2/24,IF(AND(O413="Not yet",P413=""),B413+2/24,IF(Q413="",B413+4/24,""))))</f>
        <v/>
      </c>
      <c r="G413" s="15" t="inlineStr">
        <is>
          <t>Chetan</t>
        </is>
      </c>
      <c r="H413" s="15" t="inlineStr">
        <is>
          <t>Google</t>
        </is>
      </c>
      <c r="I413" s="15" t="inlineStr">
        <is>
          <t>Round1</t>
        </is>
      </c>
      <c r="J413" s="18" t="inlineStr">
        <is>
          <t>+91 9920264452</t>
        </is>
      </c>
      <c r="K413" s="15" t="inlineStr">
        <is>
          <t>chetan@weekday.works</t>
        </is>
      </c>
      <c r="L413" s="15" t="inlineStr">
        <is>
          <t>&lt;calendly_link&gt;</t>
        </is>
      </c>
      <c r="M413" s="15" t="inlineStr">
        <is>
          <t>Yes</t>
        </is>
      </c>
      <c r="N413" s="15" t="n"/>
      <c r="O413" s="15" t="n"/>
      <c r="P413" s="15" t="n"/>
      <c r="Q413" s="15" t="n"/>
      <c r="R413" s="15">
        <f>IF(OR(O413="Scheduled",Q413="Scheduled"),"SCHEDULED",IF(Q413="Escalate to call","ESCALATED TO CALL",IF(N413="Bad contact","BAD CONTACT",IF(N413="","NOT STARTED","IN PROGRESS"))))</f>
        <v/>
      </c>
      <c r="S413" s="15" t="n"/>
    </row>
    <row r="414">
      <c r="A414" s="15" t="inlineStr">
        <is>
          <t>REQ-0413</t>
        </is>
      </c>
      <c r="B414" s="16" t="n">
        <v>44867.82708333333</v>
      </c>
      <c r="C414" s="16">
        <f>B414+1</f>
        <v/>
      </c>
      <c r="D414" s="17">
        <f>(C414-NOW())*24</f>
        <v/>
      </c>
      <c r="E414" s="15">
        <f>IF(N414="","STEP 1: Send WhatsApp + Email blast now (Playbook M1)",IF(N414="Bad contact","STOP: report bad contact to lead (Playbook)",IF(O414="Scheduled","DONE: scheduled via Calendly",IF(O414="","STEP 2: Check Calendly now",IF(P414="","STEP 3: Send WhatsApp nudge (Playbook M2)",IF(Q414="Scheduled","DONE: scheduled via Calendly",IF(Q414="Escalate to call","HANDED to Shyam (call queue)","STEP 4: Final Calendly check")))))))</f>
        <v/>
      </c>
      <c r="F414" s="16">
        <f>IF(N414="",B414,IF(O414="",B414+2/24,IF(AND(O414="Not yet",P414=""),B414+2/24,IF(Q414="",B414+4/24,""))))</f>
        <v/>
      </c>
      <c r="G414" s="15" t="inlineStr">
        <is>
          <t>Chetan</t>
        </is>
      </c>
      <c r="H414" s="15" t="inlineStr">
        <is>
          <t>Google</t>
        </is>
      </c>
      <c r="I414" s="15" t="inlineStr">
        <is>
          <t>Round1</t>
        </is>
      </c>
      <c r="J414" s="18" t="inlineStr">
        <is>
          <t>+91 9920264452</t>
        </is>
      </c>
      <c r="K414" s="15" t="inlineStr">
        <is>
          <t>chetan@weekday.works</t>
        </is>
      </c>
      <c r="L414" s="15" t="inlineStr">
        <is>
          <t>&lt;calendly_link&gt;</t>
        </is>
      </c>
      <c r="M414" s="15" t="inlineStr">
        <is>
          <t>Yes</t>
        </is>
      </c>
      <c r="N414" s="15" t="n"/>
      <c r="O414" s="15" t="n"/>
      <c r="P414" s="15" t="n"/>
      <c r="Q414" s="15" t="n"/>
      <c r="R414" s="15">
        <f>IF(OR(O414="Scheduled",Q414="Scheduled"),"SCHEDULED",IF(Q414="Escalate to call","ESCALATED TO CALL",IF(N414="Bad contact","BAD CONTACT",IF(N414="","NOT STARTED","IN PROGRESS"))))</f>
        <v/>
      </c>
      <c r="S414" s="15" t="n"/>
    </row>
    <row r="415">
      <c r="A415" s="15" t="inlineStr">
        <is>
          <t>REQ-0414</t>
        </is>
      </c>
      <c r="B415" s="16" t="n">
        <v>44867.82708333333</v>
      </c>
      <c r="C415" s="16">
        <f>B415+1</f>
        <v/>
      </c>
      <c r="D415" s="17">
        <f>(C415-NOW())*24</f>
        <v/>
      </c>
      <c r="E415" s="15">
        <f>IF(N415="","STEP 1: Send WhatsApp + Email blast now (Playbook M1)",IF(N415="Bad contact","STOP: report bad contact to lead (Playbook)",IF(O415="Scheduled","DONE: scheduled via Calendly",IF(O415="","STEP 2: Check Calendly now",IF(P415="","STEP 3: Send WhatsApp nudge (Playbook M2)",IF(Q415="Scheduled","DONE: scheduled via Calendly",IF(Q415="Escalate to call","HANDED to Shyam (call queue)","STEP 4: Final Calendly check")))))))</f>
        <v/>
      </c>
      <c r="F415" s="16">
        <f>IF(N415="",B415,IF(O415="",B415+2/24,IF(AND(O415="Not yet",P415=""),B415+2/24,IF(Q415="",B415+4/24,""))))</f>
        <v/>
      </c>
      <c r="G415" s="15" t="inlineStr">
        <is>
          <t>Chetan</t>
        </is>
      </c>
      <c r="H415" s="15" t="inlineStr">
        <is>
          <t>Google</t>
        </is>
      </c>
      <c r="I415" s="15" t="inlineStr">
        <is>
          <t>Round1</t>
        </is>
      </c>
      <c r="J415" s="18" t="inlineStr">
        <is>
          <t>+91 9920264452</t>
        </is>
      </c>
      <c r="K415" s="15" t="inlineStr">
        <is>
          <t>chetan@weekday.works</t>
        </is>
      </c>
      <c r="L415" s="15" t="inlineStr">
        <is>
          <t>&lt;calendly_link&gt;</t>
        </is>
      </c>
      <c r="M415" s="15" t="inlineStr">
        <is>
          <t>Yes</t>
        </is>
      </c>
      <c r="N415" s="15" t="n"/>
      <c r="O415" s="15" t="n"/>
      <c r="P415" s="15" t="n"/>
      <c r="Q415" s="15" t="n"/>
      <c r="R415" s="15">
        <f>IF(OR(O415="Scheduled",Q415="Scheduled"),"SCHEDULED",IF(Q415="Escalate to call","ESCALATED TO CALL",IF(N415="Bad contact","BAD CONTACT",IF(N415="","NOT STARTED","IN PROGRESS"))))</f>
        <v/>
      </c>
      <c r="S415" s="15" t="n"/>
    </row>
    <row r="416">
      <c r="A416" s="15" t="inlineStr">
        <is>
          <t>REQ-0415</t>
        </is>
      </c>
      <c r="B416" s="16" t="n">
        <v>44867.82708333333</v>
      </c>
      <c r="C416" s="16">
        <f>B416+1</f>
        <v/>
      </c>
      <c r="D416" s="17">
        <f>(C416-NOW())*24</f>
        <v/>
      </c>
      <c r="E416" s="15">
        <f>IF(N416="","STEP 1: Send WhatsApp + Email blast now (Playbook M1)",IF(N416="Bad contact","STOP: report bad contact to lead (Playbook)",IF(O416="Scheduled","DONE: scheduled via Calendly",IF(O416="","STEP 2: Check Calendly now",IF(P416="","STEP 3: Send WhatsApp nudge (Playbook M2)",IF(Q416="Scheduled","DONE: scheduled via Calendly",IF(Q416="Escalate to call","HANDED to Shyam (call queue)","STEP 4: Final Calendly check")))))))</f>
        <v/>
      </c>
      <c r="F416" s="16">
        <f>IF(N416="",B416,IF(O416="",B416+2/24,IF(AND(O416="Not yet",P416=""),B416+2/24,IF(Q416="",B416+4/24,""))))</f>
        <v/>
      </c>
      <c r="G416" s="15" t="inlineStr">
        <is>
          <t>Chetan</t>
        </is>
      </c>
      <c r="H416" s="15" t="inlineStr">
        <is>
          <t>Google</t>
        </is>
      </c>
      <c r="I416" s="15" t="inlineStr">
        <is>
          <t>Round1</t>
        </is>
      </c>
      <c r="J416" s="18" t="inlineStr">
        <is>
          <t>+91 9920264452</t>
        </is>
      </c>
      <c r="K416" s="15" t="inlineStr">
        <is>
          <t>chetan@weekday.works</t>
        </is>
      </c>
      <c r="L416" s="15" t="inlineStr">
        <is>
          <t>&lt;calendly_link&gt;</t>
        </is>
      </c>
      <c r="M416" s="15" t="inlineStr">
        <is>
          <t>Yes</t>
        </is>
      </c>
      <c r="N416" s="15" t="n"/>
      <c r="O416" s="15" t="n"/>
      <c r="P416" s="15" t="n"/>
      <c r="Q416" s="15" t="n"/>
      <c r="R416" s="15">
        <f>IF(OR(O416="Scheduled",Q416="Scheduled"),"SCHEDULED",IF(Q416="Escalate to call","ESCALATED TO CALL",IF(N416="Bad contact","BAD CONTACT",IF(N416="","NOT STARTED","IN PROGRESS"))))</f>
        <v/>
      </c>
      <c r="S416" s="15" t="n"/>
    </row>
    <row r="417">
      <c r="A417" s="15" t="inlineStr">
        <is>
          <t>REQ-0416</t>
        </is>
      </c>
      <c r="B417" s="16" t="n">
        <v>44867.82708333333</v>
      </c>
      <c r="C417" s="16">
        <f>B417+1</f>
        <v/>
      </c>
      <c r="D417" s="17">
        <f>(C417-NOW())*24</f>
        <v/>
      </c>
      <c r="E417" s="15">
        <f>IF(N417="","STEP 1: Send WhatsApp + Email blast now (Playbook M1)",IF(N417="Bad contact","STOP: report bad contact to lead (Playbook)",IF(O417="Scheduled","DONE: scheduled via Calendly",IF(O417="","STEP 2: Check Calendly now",IF(P417="","STEP 3: Send WhatsApp nudge (Playbook M2)",IF(Q417="Scheduled","DONE: scheduled via Calendly",IF(Q417="Escalate to call","HANDED to Shyam (call queue)","STEP 4: Final Calendly check")))))))</f>
        <v/>
      </c>
      <c r="F417" s="16">
        <f>IF(N417="",B417,IF(O417="",B417+2/24,IF(AND(O417="Not yet",P417=""),B417+2/24,IF(Q417="",B417+4/24,""))))</f>
        <v/>
      </c>
      <c r="G417" s="15" t="inlineStr">
        <is>
          <t>Chetan</t>
        </is>
      </c>
      <c r="H417" s="15" t="inlineStr">
        <is>
          <t>Google</t>
        </is>
      </c>
      <c r="I417" s="15" t="inlineStr">
        <is>
          <t>Round1</t>
        </is>
      </c>
      <c r="J417" s="18" t="inlineStr">
        <is>
          <t>+91 9920264452</t>
        </is>
      </c>
      <c r="K417" s="15" t="inlineStr">
        <is>
          <t>chetan@weekday.works</t>
        </is>
      </c>
      <c r="L417" s="15" t="inlineStr">
        <is>
          <t>&lt;calendly_link&gt;</t>
        </is>
      </c>
      <c r="M417" s="15" t="inlineStr">
        <is>
          <t>Yes</t>
        </is>
      </c>
      <c r="N417" s="15" t="n"/>
      <c r="O417" s="15" t="n"/>
      <c r="P417" s="15" t="n"/>
      <c r="Q417" s="15" t="n"/>
      <c r="R417" s="15">
        <f>IF(OR(O417="Scheduled",Q417="Scheduled"),"SCHEDULED",IF(Q417="Escalate to call","ESCALATED TO CALL",IF(N417="Bad contact","BAD CONTACT",IF(N417="","NOT STARTED","IN PROGRESS"))))</f>
        <v/>
      </c>
      <c r="S417" s="15" t="n"/>
    </row>
    <row r="418">
      <c r="A418" s="15" t="inlineStr">
        <is>
          <t>REQ-0417</t>
        </is>
      </c>
      <c r="B418" s="16" t="n">
        <v>44867.82708333333</v>
      </c>
      <c r="C418" s="16">
        <f>B418+1</f>
        <v/>
      </c>
      <c r="D418" s="17">
        <f>(C418-NOW())*24</f>
        <v/>
      </c>
      <c r="E418" s="15">
        <f>IF(N418="","STEP 1: Send WhatsApp + Email blast now (Playbook M1)",IF(N418="Bad contact","STOP: report bad contact to lead (Playbook)",IF(O418="Scheduled","DONE: scheduled via Calendly",IF(O418="","STEP 2: Check Calendly now",IF(P418="","STEP 3: Send WhatsApp nudge (Playbook M2)",IF(Q418="Scheduled","DONE: scheduled via Calendly",IF(Q418="Escalate to call","HANDED to Shyam (call queue)","STEP 4: Final Calendly check")))))))</f>
        <v/>
      </c>
      <c r="F418" s="16">
        <f>IF(N418="",B418,IF(O418="",B418+2/24,IF(AND(O418="Not yet",P418=""),B418+2/24,IF(Q418="",B418+4/24,""))))</f>
        <v/>
      </c>
      <c r="G418" s="15" t="inlineStr">
        <is>
          <t>Chetan</t>
        </is>
      </c>
      <c r="H418" s="15" t="inlineStr">
        <is>
          <t>Google</t>
        </is>
      </c>
      <c r="I418" s="15" t="inlineStr">
        <is>
          <t>Round1</t>
        </is>
      </c>
      <c r="J418" s="18" t="inlineStr">
        <is>
          <t>+91 9920264452</t>
        </is>
      </c>
      <c r="K418" s="15" t="inlineStr">
        <is>
          <t>chetan@weekday.works</t>
        </is>
      </c>
      <c r="L418" s="15" t="inlineStr">
        <is>
          <t>&lt;calendly_link&gt;</t>
        </is>
      </c>
      <c r="M418" s="15" t="inlineStr">
        <is>
          <t>Yes</t>
        </is>
      </c>
      <c r="N418" s="15" t="n"/>
      <c r="O418" s="15" t="n"/>
      <c r="P418" s="15" t="n"/>
      <c r="Q418" s="15" t="n"/>
      <c r="R418" s="15">
        <f>IF(OR(O418="Scheduled",Q418="Scheduled"),"SCHEDULED",IF(Q418="Escalate to call","ESCALATED TO CALL",IF(N418="Bad contact","BAD CONTACT",IF(N418="","NOT STARTED","IN PROGRESS"))))</f>
        <v/>
      </c>
      <c r="S418" s="15" t="n"/>
    </row>
    <row r="419">
      <c r="A419" s="15" t="inlineStr">
        <is>
          <t>REQ-0418</t>
        </is>
      </c>
      <c r="B419" s="16" t="n">
        <v>44867.82708333333</v>
      </c>
      <c r="C419" s="16">
        <f>B419+1</f>
        <v/>
      </c>
      <c r="D419" s="17">
        <f>(C419-NOW())*24</f>
        <v/>
      </c>
      <c r="E419" s="15">
        <f>IF(N419="","STEP 1: Send WhatsApp + Email blast now (Playbook M1)",IF(N419="Bad contact","STOP: report bad contact to lead (Playbook)",IF(O419="Scheduled","DONE: scheduled via Calendly",IF(O419="","STEP 2: Check Calendly now",IF(P419="","STEP 3: Send WhatsApp nudge (Playbook M2)",IF(Q419="Scheduled","DONE: scheduled via Calendly",IF(Q419="Escalate to call","HANDED to Shyam (call queue)","STEP 4: Final Calendly check")))))))</f>
        <v/>
      </c>
      <c r="F419" s="16">
        <f>IF(N419="",B419,IF(O419="",B419+2/24,IF(AND(O419="Not yet",P419=""),B419+2/24,IF(Q419="",B419+4/24,""))))</f>
        <v/>
      </c>
      <c r="G419" s="15" t="inlineStr">
        <is>
          <t>Chetan</t>
        </is>
      </c>
      <c r="H419" s="15" t="inlineStr">
        <is>
          <t>Google</t>
        </is>
      </c>
      <c r="I419" s="15" t="inlineStr">
        <is>
          <t>Round1</t>
        </is>
      </c>
      <c r="J419" s="18" t="inlineStr">
        <is>
          <t>+91 9920264452</t>
        </is>
      </c>
      <c r="K419" s="15" t="inlineStr">
        <is>
          <t>chetan@weekday.works</t>
        </is>
      </c>
      <c r="L419" s="15" t="inlineStr">
        <is>
          <t>&lt;calendly_link&gt;</t>
        </is>
      </c>
      <c r="M419" s="15" t="inlineStr">
        <is>
          <t>Yes</t>
        </is>
      </c>
      <c r="N419" s="15" t="n"/>
      <c r="O419" s="15" t="n"/>
      <c r="P419" s="15" t="n"/>
      <c r="Q419" s="15" t="n"/>
      <c r="R419" s="15">
        <f>IF(OR(O419="Scheduled",Q419="Scheduled"),"SCHEDULED",IF(Q419="Escalate to call","ESCALATED TO CALL",IF(N419="Bad contact","BAD CONTACT",IF(N419="","NOT STARTED","IN PROGRESS"))))</f>
        <v/>
      </c>
      <c r="S419" s="15" t="n"/>
    </row>
    <row r="420">
      <c r="A420" s="15" t="inlineStr">
        <is>
          <t>REQ-0419</t>
        </is>
      </c>
      <c r="B420" s="16" t="n">
        <v>44867.82708333333</v>
      </c>
      <c r="C420" s="16">
        <f>B420+1</f>
        <v/>
      </c>
      <c r="D420" s="17">
        <f>(C420-NOW())*24</f>
        <v/>
      </c>
      <c r="E420" s="15">
        <f>IF(N420="","STEP 1: Send WhatsApp + Email blast now (Playbook M1)",IF(N420="Bad contact","STOP: report bad contact to lead (Playbook)",IF(O420="Scheduled","DONE: scheduled via Calendly",IF(O420="","STEP 2: Check Calendly now",IF(P420="","STEP 3: Send WhatsApp nudge (Playbook M2)",IF(Q420="Scheduled","DONE: scheduled via Calendly",IF(Q420="Escalate to call","HANDED to Shyam (call queue)","STEP 4: Final Calendly check")))))))</f>
        <v/>
      </c>
      <c r="F420" s="16">
        <f>IF(N420="",B420,IF(O420="",B420+2/24,IF(AND(O420="Not yet",P420=""),B420+2/24,IF(Q420="",B420+4/24,""))))</f>
        <v/>
      </c>
      <c r="G420" s="15" t="inlineStr">
        <is>
          <t>Chetan</t>
        </is>
      </c>
      <c r="H420" s="15" t="inlineStr">
        <is>
          <t>Google</t>
        </is>
      </c>
      <c r="I420" s="15" t="inlineStr">
        <is>
          <t>Round1</t>
        </is>
      </c>
      <c r="J420" s="18" t="inlineStr">
        <is>
          <t>+91 9920264452</t>
        </is>
      </c>
      <c r="K420" s="15" t="inlineStr">
        <is>
          <t>chetan@weekday.works</t>
        </is>
      </c>
      <c r="L420" s="15" t="inlineStr">
        <is>
          <t>&lt;calendly_link&gt;</t>
        </is>
      </c>
      <c r="M420" s="15" t="inlineStr">
        <is>
          <t>Yes</t>
        </is>
      </c>
      <c r="N420" s="15" t="n"/>
      <c r="O420" s="15" t="n"/>
      <c r="P420" s="15" t="n"/>
      <c r="Q420" s="15" t="n"/>
      <c r="R420" s="15">
        <f>IF(OR(O420="Scheduled",Q420="Scheduled"),"SCHEDULED",IF(Q420="Escalate to call","ESCALATED TO CALL",IF(N420="Bad contact","BAD CONTACT",IF(N420="","NOT STARTED","IN PROGRESS"))))</f>
        <v/>
      </c>
      <c r="S420" s="15" t="n"/>
    </row>
    <row r="421">
      <c r="A421" s="15" t="inlineStr">
        <is>
          <t>REQ-0420</t>
        </is>
      </c>
      <c r="B421" s="16" t="n">
        <v>44867.82708333333</v>
      </c>
      <c r="C421" s="16">
        <f>B421+1</f>
        <v/>
      </c>
      <c r="D421" s="17">
        <f>(C421-NOW())*24</f>
        <v/>
      </c>
      <c r="E421" s="15">
        <f>IF(N421="","STEP 1: Send WhatsApp + Email blast now (Playbook M1)",IF(N421="Bad contact","STOP: report bad contact to lead (Playbook)",IF(O421="Scheduled","DONE: scheduled via Calendly",IF(O421="","STEP 2: Check Calendly now",IF(P421="","STEP 3: Send WhatsApp nudge (Playbook M2)",IF(Q421="Scheduled","DONE: scheduled via Calendly",IF(Q421="Escalate to call","HANDED to Shyam (call queue)","STEP 4: Final Calendly check")))))))</f>
        <v/>
      </c>
      <c r="F421" s="16">
        <f>IF(N421="",B421,IF(O421="",B421+2/24,IF(AND(O421="Not yet",P421=""),B421+2/24,IF(Q421="",B421+4/24,""))))</f>
        <v/>
      </c>
      <c r="G421" s="15" t="inlineStr">
        <is>
          <t>Chetan</t>
        </is>
      </c>
      <c r="H421" s="15" t="inlineStr">
        <is>
          <t>Google</t>
        </is>
      </c>
      <c r="I421" s="15" t="inlineStr">
        <is>
          <t>Round1</t>
        </is>
      </c>
      <c r="J421" s="18" t="inlineStr">
        <is>
          <t>+91 9920264452</t>
        </is>
      </c>
      <c r="K421" s="15" t="inlineStr">
        <is>
          <t>chetan@weekday.works</t>
        </is>
      </c>
      <c r="L421" s="15" t="inlineStr">
        <is>
          <t>&lt;calendly_link&gt;</t>
        </is>
      </c>
      <c r="M421" s="15" t="inlineStr">
        <is>
          <t>Yes</t>
        </is>
      </c>
      <c r="N421" s="15" t="n"/>
      <c r="O421" s="15" t="n"/>
      <c r="P421" s="15" t="n"/>
      <c r="Q421" s="15" t="n"/>
      <c r="R421" s="15">
        <f>IF(OR(O421="Scheduled",Q421="Scheduled"),"SCHEDULED",IF(Q421="Escalate to call","ESCALATED TO CALL",IF(N421="Bad contact","BAD CONTACT",IF(N421="","NOT STARTED","IN PROGRESS"))))</f>
        <v/>
      </c>
      <c r="S421" s="15" t="n"/>
    </row>
    <row r="422">
      <c r="A422" s="15" t="inlineStr">
        <is>
          <t>REQ-0421</t>
        </is>
      </c>
      <c r="B422" s="16" t="n">
        <v>44867.82708333333</v>
      </c>
      <c r="C422" s="16">
        <f>B422+1</f>
        <v/>
      </c>
      <c r="D422" s="17">
        <f>(C422-NOW())*24</f>
        <v/>
      </c>
      <c r="E422" s="15">
        <f>IF(N422="","STEP 1: Send WhatsApp + Email blast now (Playbook M1)",IF(N422="Bad contact","STOP: report bad contact to lead (Playbook)",IF(O422="Scheduled","DONE: scheduled via Calendly",IF(O422="","STEP 2: Check Calendly now",IF(P422="","STEP 3: Send WhatsApp nudge (Playbook M2)",IF(Q422="Scheduled","DONE: scheduled via Calendly",IF(Q422="Escalate to call","HANDED to Shyam (call queue)","STEP 4: Final Calendly check")))))))</f>
        <v/>
      </c>
      <c r="F422" s="16">
        <f>IF(N422="",B422,IF(O422="",B422+2/24,IF(AND(O422="Not yet",P422=""),B422+2/24,IF(Q422="",B422+4/24,""))))</f>
        <v/>
      </c>
      <c r="G422" s="15" t="inlineStr">
        <is>
          <t>Chetan</t>
        </is>
      </c>
      <c r="H422" s="15" t="inlineStr">
        <is>
          <t>Google</t>
        </is>
      </c>
      <c r="I422" s="15" t="inlineStr">
        <is>
          <t>Round1</t>
        </is>
      </c>
      <c r="J422" s="18" t="inlineStr">
        <is>
          <t>+91 9920264452</t>
        </is>
      </c>
      <c r="K422" s="15" t="inlineStr">
        <is>
          <t>chetan@weekday.works</t>
        </is>
      </c>
      <c r="L422" s="15" t="inlineStr">
        <is>
          <t>&lt;calendly_link&gt;</t>
        </is>
      </c>
      <c r="M422" s="15" t="inlineStr">
        <is>
          <t>Yes</t>
        </is>
      </c>
      <c r="N422" s="15" t="n"/>
      <c r="O422" s="15" t="n"/>
      <c r="P422" s="15" t="n"/>
      <c r="Q422" s="15" t="n"/>
      <c r="R422" s="15">
        <f>IF(OR(O422="Scheduled",Q422="Scheduled"),"SCHEDULED",IF(Q422="Escalate to call","ESCALATED TO CALL",IF(N422="Bad contact","BAD CONTACT",IF(N422="","NOT STARTED","IN PROGRESS"))))</f>
        <v/>
      </c>
      <c r="S422" s="15" t="n"/>
    </row>
    <row r="423">
      <c r="A423" s="15" t="inlineStr">
        <is>
          <t>REQ-0422</t>
        </is>
      </c>
      <c r="B423" s="16" t="n">
        <v>44867.82708333333</v>
      </c>
      <c r="C423" s="16">
        <f>B423+1</f>
        <v/>
      </c>
      <c r="D423" s="17">
        <f>(C423-NOW())*24</f>
        <v/>
      </c>
      <c r="E423" s="15">
        <f>IF(N423="","STEP 1: Send WhatsApp + Email blast now (Playbook M1)",IF(N423="Bad contact","STOP: report bad contact to lead (Playbook)",IF(O423="Scheduled","DONE: scheduled via Calendly",IF(O423="","STEP 2: Check Calendly now",IF(P423="","STEP 3: Send WhatsApp nudge (Playbook M2)",IF(Q423="Scheduled","DONE: scheduled via Calendly",IF(Q423="Escalate to call","HANDED to Shyam (call queue)","STEP 4: Final Calendly check")))))))</f>
        <v/>
      </c>
      <c r="F423" s="16">
        <f>IF(N423="",B423,IF(O423="",B423+2/24,IF(AND(O423="Not yet",P423=""),B423+2/24,IF(Q423="",B423+4/24,""))))</f>
        <v/>
      </c>
      <c r="G423" s="15" t="inlineStr">
        <is>
          <t>Chetan</t>
        </is>
      </c>
      <c r="H423" s="15" t="inlineStr">
        <is>
          <t>Google</t>
        </is>
      </c>
      <c r="I423" s="15" t="inlineStr">
        <is>
          <t>Round1</t>
        </is>
      </c>
      <c r="J423" s="18" t="inlineStr">
        <is>
          <t>+91 9920264452</t>
        </is>
      </c>
      <c r="K423" s="15" t="inlineStr">
        <is>
          <t>chetan@weekday.works</t>
        </is>
      </c>
      <c r="L423" s="15" t="inlineStr">
        <is>
          <t>&lt;calendly_link&gt;</t>
        </is>
      </c>
      <c r="M423" s="15" t="inlineStr">
        <is>
          <t>Yes</t>
        </is>
      </c>
      <c r="N423" s="15" t="n"/>
      <c r="O423" s="15" t="n"/>
      <c r="P423" s="15" t="n"/>
      <c r="Q423" s="15" t="n"/>
      <c r="R423" s="15">
        <f>IF(OR(O423="Scheduled",Q423="Scheduled"),"SCHEDULED",IF(Q423="Escalate to call","ESCALATED TO CALL",IF(N423="Bad contact","BAD CONTACT",IF(N423="","NOT STARTED","IN PROGRESS"))))</f>
        <v/>
      </c>
      <c r="S423" s="15" t="n"/>
    </row>
    <row r="424">
      <c r="A424" s="15" t="inlineStr">
        <is>
          <t>REQ-0423</t>
        </is>
      </c>
      <c r="B424" s="16" t="n">
        <v>44867.82708333333</v>
      </c>
      <c r="C424" s="16">
        <f>B424+1</f>
        <v/>
      </c>
      <c r="D424" s="17">
        <f>(C424-NOW())*24</f>
        <v/>
      </c>
      <c r="E424" s="15">
        <f>IF(N424="","STEP 1: Send WhatsApp + Email blast now (Playbook M1)",IF(N424="Bad contact","STOP: report bad contact to lead (Playbook)",IF(O424="Scheduled","DONE: scheduled via Calendly",IF(O424="","STEP 2: Check Calendly now",IF(P424="","STEP 3: Send WhatsApp nudge (Playbook M2)",IF(Q424="Scheduled","DONE: scheduled via Calendly",IF(Q424="Escalate to call","HANDED to Shyam (call queue)","STEP 4: Final Calendly check")))))))</f>
        <v/>
      </c>
      <c r="F424" s="16">
        <f>IF(N424="",B424,IF(O424="",B424+2/24,IF(AND(O424="Not yet",P424=""),B424+2/24,IF(Q424="",B424+4/24,""))))</f>
        <v/>
      </c>
      <c r="G424" s="15" t="inlineStr">
        <is>
          <t>Chetan</t>
        </is>
      </c>
      <c r="H424" s="15" t="inlineStr">
        <is>
          <t>Google</t>
        </is>
      </c>
      <c r="I424" s="15" t="inlineStr">
        <is>
          <t>Round1</t>
        </is>
      </c>
      <c r="J424" s="18" t="inlineStr">
        <is>
          <t>+91 9920264452</t>
        </is>
      </c>
      <c r="K424" s="15" t="inlineStr">
        <is>
          <t>chetan@weekday.works</t>
        </is>
      </c>
      <c r="L424" s="15" t="inlineStr">
        <is>
          <t>&lt;calendly_link&gt;</t>
        </is>
      </c>
      <c r="M424" s="15" t="inlineStr">
        <is>
          <t>Yes</t>
        </is>
      </c>
      <c r="N424" s="15" t="n"/>
      <c r="O424" s="15" t="n"/>
      <c r="P424" s="15" t="n"/>
      <c r="Q424" s="15" t="n"/>
      <c r="R424" s="15">
        <f>IF(OR(O424="Scheduled",Q424="Scheduled"),"SCHEDULED",IF(Q424="Escalate to call","ESCALATED TO CALL",IF(N424="Bad contact","BAD CONTACT",IF(N424="","NOT STARTED","IN PROGRESS"))))</f>
        <v/>
      </c>
      <c r="S424" s="15" t="n"/>
    </row>
    <row r="425">
      <c r="A425" s="15" t="inlineStr">
        <is>
          <t>REQ-0424</t>
        </is>
      </c>
      <c r="B425" s="16" t="n">
        <v>44867.82708333333</v>
      </c>
      <c r="C425" s="16">
        <f>B425+1</f>
        <v/>
      </c>
      <c r="D425" s="17">
        <f>(C425-NOW())*24</f>
        <v/>
      </c>
      <c r="E425" s="15">
        <f>IF(N425="","STEP 1: Send WhatsApp + Email blast now (Playbook M1)",IF(N425="Bad contact","STOP: report bad contact to lead (Playbook)",IF(O425="Scheduled","DONE: scheduled via Calendly",IF(O425="","STEP 2: Check Calendly now",IF(P425="","STEP 3: Send WhatsApp nudge (Playbook M2)",IF(Q425="Scheduled","DONE: scheduled via Calendly",IF(Q425="Escalate to call","HANDED to Shyam (call queue)","STEP 4: Final Calendly check")))))))</f>
        <v/>
      </c>
      <c r="F425" s="16">
        <f>IF(N425="",B425,IF(O425="",B425+2/24,IF(AND(O425="Not yet",P425=""),B425+2/24,IF(Q425="",B425+4/24,""))))</f>
        <v/>
      </c>
      <c r="G425" s="15" t="inlineStr">
        <is>
          <t>Chetan</t>
        </is>
      </c>
      <c r="H425" s="15" t="inlineStr">
        <is>
          <t>Google</t>
        </is>
      </c>
      <c r="I425" s="15" t="inlineStr">
        <is>
          <t>Round1</t>
        </is>
      </c>
      <c r="J425" s="18" t="inlineStr">
        <is>
          <t>+91 9920264452</t>
        </is>
      </c>
      <c r="K425" s="15" t="inlineStr">
        <is>
          <t>chetan@weekday.works</t>
        </is>
      </c>
      <c r="L425" s="15" t="inlineStr">
        <is>
          <t>&lt;calendly_link&gt;</t>
        </is>
      </c>
      <c r="M425" s="15" t="inlineStr">
        <is>
          <t>Yes</t>
        </is>
      </c>
      <c r="N425" s="15" t="n"/>
      <c r="O425" s="15" t="n"/>
      <c r="P425" s="15" t="n"/>
      <c r="Q425" s="15" t="n"/>
      <c r="R425" s="15">
        <f>IF(OR(O425="Scheduled",Q425="Scheduled"),"SCHEDULED",IF(Q425="Escalate to call","ESCALATED TO CALL",IF(N425="Bad contact","BAD CONTACT",IF(N425="","NOT STARTED","IN PROGRESS"))))</f>
        <v/>
      </c>
      <c r="S425" s="15" t="n"/>
    </row>
    <row r="426">
      <c r="A426" s="15" t="inlineStr">
        <is>
          <t>REQ-0425</t>
        </is>
      </c>
      <c r="B426" s="16" t="n">
        <v>44867.82708333333</v>
      </c>
      <c r="C426" s="16">
        <f>B426+1</f>
        <v/>
      </c>
      <c r="D426" s="17">
        <f>(C426-NOW())*24</f>
        <v/>
      </c>
      <c r="E426" s="15">
        <f>IF(N426="","STEP 1: Send WhatsApp + Email blast now (Playbook M1)",IF(N426="Bad contact","STOP: report bad contact to lead (Playbook)",IF(O426="Scheduled","DONE: scheduled via Calendly",IF(O426="","STEP 2: Check Calendly now",IF(P426="","STEP 3: Send WhatsApp nudge (Playbook M2)",IF(Q426="Scheduled","DONE: scheduled via Calendly",IF(Q426="Escalate to call","HANDED to Shyam (call queue)","STEP 4: Final Calendly check")))))))</f>
        <v/>
      </c>
      <c r="F426" s="16">
        <f>IF(N426="",B426,IF(O426="",B426+2/24,IF(AND(O426="Not yet",P426=""),B426+2/24,IF(Q426="",B426+4/24,""))))</f>
        <v/>
      </c>
      <c r="G426" s="15" t="inlineStr">
        <is>
          <t>Chetan</t>
        </is>
      </c>
      <c r="H426" s="15" t="inlineStr">
        <is>
          <t>Google</t>
        </is>
      </c>
      <c r="I426" s="15" t="inlineStr">
        <is>
          <t>Round1</t>
        </is>
      </c>
      <c r="J426" s="18" t="inlineStr">
        <is>
          <t>+91 9920264452</t>
        </is>
      </c>
      <c r="K426" s="15" t="inlineStr">
        <is>
          <t>chetan@weekday.works</t>
        </is>
      </c>
      <c r="L426" s="15" t="inlineStr">
        <is>
          <t>&lt;calendly_link&gt;</t>
        </is>
      </c>
      <c r="M426" s="15" t="inlineStr">
        <is>
          <t>Yes</t>
        </is>
      </c>
      <c r="N426" s="15" t="n"/>
      <c r="O426" s="15" t="n"/>
      <c r="P426" s="15" t="n"/>
      <c r="Q426" s="15" t="n"/>
      <c r="R426" s="15">
        <f>IF(OR(O426="Scheduled",Q426="Scheduled"),"SCHEDULED",IF(Q426="Escalate to call","ESCALATED TO CALL",IF(N426="Bad contact","BAD CONTACT",IF(N426="","NOT STARTED","IN PROGRESS"))))</f>
        <v/>
      </c>
      <c r="S426" s="15" t="n"/>
    </row>
    <row r="427">
      <c r="A427" s="15" t="inlineStr">
        <is>
          <t>REQ-0426</t>
        </is>
      </c>
      <c r="B427" s="16" t="n">
        <v>44867.82708333333</v>
      </c>
      <c r="C427" s="16">
        <f>B427+1</f>
        <v/>
      </c>
      <c r="D427" s="17">
        <f>(C427-NOW())*24</f>
        <v/>
      </c>
      <c r="E427" s="15">
        <f>IF(N427="","STEP 1: Send WhatsApp + Email blast now (Playbook M1)",IF(N427="Bad contact","STOP: report bad contact to lead (Playbook)",IF(O427="Scheduled","DONE: scheduled via Calendly",IF(O427="","STEP 2: Check Calendly now",IF(P427="","STEP 3: Send WhatsApp nudge (Playbook M2)",IF(Q427="Scheduled","DONE: scheduled via Calendly",IF(Q427="Escalate to call","HANDED to Shyam (call queue)","STEP 4: Final Calendly check")))))))</f>
        <v/>
      </c>
      <c r="F427" s="16">
        <f>IF(N427="",B427,IF(O427="",B427+2/24,IF(AND(O427="Not yet",P427=""),B427+2/24,IF(Q427="",B427+4/24,""))))</f>
        <v/>
      </c>
      <c r="G427" s="15" t="inlineStr">
        <is>
          <t>Chetan</t>
        </is>
      </c>
      <c r="H427" s="15" t="inlineStr">
        <is>
          <t>Google</t>
        </is>
      </c>
      <c r="I427" s="15" t="inlineStr">
        <is>
          <t>Round1</t>
        </is>
      </c>
      <c r="J427" s="18" t="inlineStr">
        <is>
          <t>+91 9920264452</t>
        </is>
      </c>
      <c r="K427" s="15" t="inlineStr">
        <is>
          <t>chetan@weekday.works</t>
        </is>
      </c>
      <c r="L427" s="15" t="inlineStr">
        <is>
          <t>&lt;calendly_link&gt;</t>
        </is>
      </c>
      <c r="M427" s="15" t="inlineStr">
        <is>
          <t>Yes</t>
        </is>
      </c>
      <c r="N427" s="15" t="n"/>
      <c r="O427" s="15" t="n"/>
      <c r="P427" s="15" t="n"/>
      <c r="Q427" s="15" t="n"/>
      <c r="R427" s="15">
        <f>IF(OR(O427="Scheduled",Q427="Scheduled"),"SCHEDULED",IF(Q427="Escalate to call","ESCALATED TO CALL",IF(N427="Bad contact","BAD CONTACT",IF(N427="","NOT STARTED","IN PROGRESS"))))</f>
        <v/>
      </c>
      <c r="S427" s="15" t="n"/>
    </row>
    <row r="428">
      <c r="A428" s="15" t="inlineStr">
        <is>
          <t>REQ-0427</t>
        </is>
      </c>
      <c r="B428" s="16" t="n">
        <v>44867.82708333333</v>
      </c>
      <c r="C428" s="16">
        <f>B428+1</f>
        <v/>
      </c>
      <c r="D428" s="17">
        <f>(C428-NOW())*24</f>
        <v/>
      </c>
      <c r="E428" s="15">
        <f>IF(N428="","STEP 1: Send WhatsApp + Email blast now (Playbook M1)",IF(N428="Bad contact","STOP: report bad contact to lead (Playbook)",IF(O428="Scheduled","DONE: scheduled via Calendly",IF(O428="","STEP 2: Check Calendly now",IF(P428="","STEP 3: Send WhatsApp nudge (Playbook M2)",IF(Q428="Scheduled","DONE: scheduled via Calendly",IF(Q428="Escalate to call","HANDED to Shyam (call queue)","STEP 4: Final Calendly check")))))))</f>
        <v/>
      </c>
      <c r="F428" s="16">
        <f>IF(N428="",B428,IF(O428="",B428+2/24,IF(AND(O428="Not yet",P428=""),B428+2/24,IF(Q428="",B428+4/24,""))))</f>
        <v/>
      </c>
      <c r="G428" s="15" t="inlineStr">
        <is>
          <t>Chetan</t>
        </is>
      </c>
      <c r="H428" s="15" t="inlineStr">
        <is>
          <t>Google</t>
        </is>
      </c>
      <c r="I428" s="15" t="inlineStr">
        <is>
          <t>Round1</t>
        </is>
      </c>
      <c r="J428" s="18" t="inlineStr">
        <is>
          <t>+91 9920264452</t>
        </is>
      </c>
      <c r="K428" s="15" t="inlineStr">
        <is>
          <t>chetan@weekday.works</t>
        </is>
      </c>
      <c r="L428" s="15" t="inlineStr">
        <is>
          <t>&lt;calendly_link&gt;</t>
        </is>
      </c>
      <c r="M428" s="15" t="inlineStr">
        <is>
          <t>Yes</t>
        </is>
      </c>
      <c r="N428" s="15" t="n"/>
      <c r="O428" s="15" t="n"/>
      <c r="P428" s="15" t="n"/>
      <c r="Q428" s="15" t="n"/>
      <c r="R428" s="15">
        <f>IF(OR(O428="Scheduled",Q428="Scheduled"),"SCHEDULED",IF(Q428="Escalate to call","ESCALATED TO CALL",IF(N428="Bad contact","BAD CONTACT",IF(N428="","NOT STARTED","IN PROGRESS"))))</f>
        <v/>
      </c>
      <c r="S428" s="15" t="n"/>
    </row>
    <row r="429">
      <c r="A429" s="15" t="inlineStr">
        <is>
          <t>REQ-0428</t>
        </is>
      </c>
      <c r="B429" s="16" t="n">
        <v>44867.82708333333</v>
      </c>
      <c r="C429" s="16">
        <f>B429+1</f>
        <v/>
      </c>
      <c r="D429" s="17">
        <f>(C429-NOW())*24</f>
        <v/>
      </c>
      <c r="E429" s="15">
        <f>IF(N429="","STEP 1: Send WhatsApp + Email blast now (Playbook M1)",IF(N429="Bad contact","STOP: report bad contact to lead (Playbook)",IF(O429="Scheduled","DONE: scheduled via Calendly",IF(O429="","STEP 2: Check Calendly now",IF(P429="","STEP 3: Send WhatsApp nudge (Playbook M2)",IF(Q429="Scheduled","DONE: scheduled via Calendly",IF(Q429="Escalate to call","HANDED to Shyam (call queue)","STEP 4: Final Calendly check")))))))</f>
        <v/>
      </c>
      <c r="F429" s="16">
        <f>IF(N429="",B429,IF(O429="",B429+2/24,IF(AND(O429="Not yet",P429=""),B429+2/24,IF(Q429="",B429+4/24,""))))</f>
        <v/>
      </c>
      <c r="G429" s="15" t="inlineStr">
        <is>
          <t>Chetan</t>
        </is>
      </c>
      <c r="H429" s="15" t="inlineStr">
        <is>
          <t>Google</t>
        </is>
      </c>
      <c r="I429" s="15" t="inlineStr">
        <is>
          <t>Round1</t>
        </is>
      </c>
      <c r="J429" s="18" t="inlineStr">
        <is>
          <t>+91 9920264452</t>
        </is>
      </c>
      <c r="K429" s="15" t="inlineStr">
        <is>
          <t>chetan@weekday.works</t>
        </is>
      </c>
      <c r="L429" s="15" t="inlineStr">
        <is>
          <t>&lt;calendly_link&gt;</t>
        </is>
      </c>
      <c r="M429" s="15" t="inlineStr">
        <is>
          <t>Yes</t>
        </is>
      </c>
      <c r="N429" s="15" t="n"/>
      <c r="O429" s="15" t="n"/>
      <c r="P429" s="15" t="n"/>
      <c r="Q429" s="15" t="n"/>
      <c r="R429" s="15">
        <f>IF(OR(O429="Scheduled",Q429="Scheduled"),"SCHEDULED",IF(Q429="Escalate to call","ESCALATED TO CALL",IF(N429="Bad contact","BAD CONTACT",IF(N429="","NOT STARTED","IN PROGRESS"))))</f>
        <v/>
      </c>
      <c r="S429" s="15" t="n"/>
    </row>
    <row r="430">
      <c r="A430" s="15" t="inlineStr">
        <is>
          <t>REQ-0429</t>
        </is>
      </c>
      <c r="B430" s="16" t="n">
        <v>44867.82708333333</v>
      </c>
      <c r="C430" s="16">
        <f>B430+1</f>
        <v/>
      </c>
      <c r="D430" s="17">
        <f>(C430-NOW())*24</f>
        <v/>
      </c>
      <c r="E430" s="15">
        <f>IF(N430="","STEP 1: Send WhatsApp + Email blast now (Playbook M1)",IF(N430="Bad contact","STOP: report bad contact to lead (Playbook)",IF(O430="Scheduled","DONE: scheduled via Calendly",IF(O430="","STEP 2: Check Calendly now",IF(P430="","STEP 3: Send WhatsApp nudge (Playbook M2)",IF(Q430="Scheduled","DONE: scheduled via Calendly",IF(Q430="Escalate to call","HANDED to Shyam (call queue)","STEP 4: Final Calendly check")))))))</f>
        <v/>
      </c>
      <c r="F430" s="16">
        <f>IF(N430="",B430,IF(O430="",B430+2/24,IF(AND(O430="Not yet",P430=""),B430+2/24,IF(Q430="",B430+4/24,""))))</f>
        <v/>
      </c>
      <c r="G430" s="15" t="inlineStr">
        <is>
          <t>Chetan</t>
        </is>
      </c>
      <c r="H430" s="15" t="inlineStr">
        <is>
          <t>Google</t>
        </is>
      </c>
      <c r="I430" s="15" t="inlineStr">
        <is>
          <t>Round1</t>
        </is>
      </c>
      <c r="J430" s="18" t="inlineStr">
        <is>
          <t>+91 9920264452</t>
        </is>
      </c>
      <c r="K430" s="15" t="inlineStr">
        <is>
          <t>chetan@weekday.works</t>
        </is>
      </c>
      <c r="L430" s="15" t="inlineStr">
        <is>
          <t>&lt;calendly_link&gt;</t>
        </is>
      </c>
      <c r="M430" s="15" t="inlineStr">
        <is>
          <t>Yes</t>
        </is>
      </c>
      <c r="N430" s="15" t="n"/>
      <c r="O430" s="15" t="n"/>
      <c r="P430" s="15" t="n"/>
      <c r="Q430" s="15" t="n"/>
      <c r="R430" s="15">
        <f>IF(OR(O430="Scheduled",Q430="Scheduled"),"SCHEDULED",IF(Q430="Escalate to call","ESCALATED TO CALL",IF(N430="Bad contact","BAD CONTACT",IF(N430="","NOT STARTED","IN PROGRESS"))))</f>
        <v/>
      </c>
      <c r="S430" s="15" t="n"/>
    </row>
    <row r="431">
      <c r="A431" s="15" t="inlineStr">
        <is>
          <t>REQ-0430</t>
        </is>
      </c>
      <c r="B431" s="16" t="n">
        <v>44867.82708333333</v>
      </c>
      <c r="C431" s="16">
        <f>B431+1</f>
        <v/>
      </c>
      <c r="D431" s="17">
        <f>(C431-NOW())*24</f>
        <v/>
      </c>
      <c r="E431" s="15">
        <f>IF(N431="","STEP 1: Send WhatsApp + Email blast now (Playbook M1)",IF(N431="Bad contact","STOP: report bad contact to lead (Playbook)",IF(O431="Scheduled","DONE: scheduled via Calendly",IF(O431="","STEP 2: Check Calendly now",IF(P431="","STEP 3: Send WhatsApp nudge (Playbook M2)",IF(Q431="Scheduled","DONE: scheduled via Calendly",IF(Q431="Escalate to call","HANDED to Shyam (call queue)","STEP 4: Final Calendly check")))))))</f>
        <v/>
      </c>
      <c r="F431" s="16">
        <f>IF(N431="",B431,IF(O431="",B431+2/24,IF(AND(O431="Not yet",P431=""),B431+2/24,IF(Q431="",B431+4/24,""))))</f>
        <v/>
      </c>
      <c r="G431" s="15" t="inlineStr">
        <is>
          <t>Chetan</t>
        </is>
      </c>
      <c r="H431" s="15" t="inlineStr">
        <is>
          <t>Google</t>
        </is>
      </c>
      <c r="I431" s="15" t="inlineStr">
        <is>
          <t>Round1</t>
        </is>
      </c>
      <c r="J431" s="18" t="inlineStr">
        <is>
          <t>+91 9920264452</t>
        </is>
      </c>
      <c r="K431" s="15" t="inlineStr">
        <is>
          <t>chetan@weekday.works</t>
        </is>
      </c>
      <c r="L431" s="15" t="inlineStr">
        <is>
          <t>&lt;calendly_link&gt;</t>
        </is>
      </c>
      <c r="M431" s="15" t="inlineStr">
        <is>
          <t>Yes</t>
        </is>
      </c>
      <c r="N431" s="15" t="n"/>
      <c r="O431" s="15" t="n"/>
      <c r="P431" s="15" t="n"/>
      <c r="Q431" s="15" t="n"/>
      <c r="R431" s="15">
        <f>IF(OR(O431="Scheduled",Q431="Scheduled"),"SCHEDULED",IF(Q431="Escalate to call","ESCALATED TO CALL",IF(N431="Bad contact","BAD CONTACT",IF(N431="","NOT STARTED","IN PROGRESS"))))</f>
        <v/>
      </c>
      <c r="S431" s="15" t="n"/>
    </row>
    <row r="432">
      <c r="A432" s="15" t="inlineStr">
        <is>
          <t>REQ-0431</t>
        </is>
      </c>
      <c r="B432" s="16" t="n">
        <v>44867.82708333333</v>
      </c>
      <c r="C432" s="16">
        <f>B432+1</f>
        <v/>
      </c>
      <c r="D432" s="17">
        <f>(C432-NOW())*24</f>
        <v/>
      </c>
      <c r="E432" s="15">
        <f>IF(N432="","STEP 1: Send WhatsApp + Email blast now (Playbook M1)",IF(N432="Bad contact","STOP: report bad contact to lead (Playbook)",IF(O432="Scheduled","DONE: scheduled via Calendly",IF(O432="","STEP 2: Check Calendly now",IF(P432="","STEP 3: Send WhatsApp nudge (Playbook M2)",IF(Q432="Scheduled","DONE: scheduled via Calendly",IF(Q432="Escalate to call","HANDED to Shyam (call queue)","STEP 4: Final Calendly check")))))))</f>
        <v/>
      </c>
      <c r="F432" s="16">
        <f>IF(N432="",B432,IF(O432="",B432+2/24,IF(AND(O432="Not yet",P432=""),B432+2/24,IF(Q432="",B432+4/24,""))))</f>
        <v/>
      </c>
      <c r="G432" s="15" t="inlineStr">
        <is>
          <t>Chetan</t>
        </is>
      </c>
      <c r="H432" s="15" t="inlineStr">
        <is>
          <t>Google</t>
        </is>
      </c>
      <c r="I432" s="15" t="inlineStr">
        <is>
          <t>Round1</t>
        </is>
      </c>
      <c r="J432" s="18" t="inlineStr">
        <is>
          <t>+91 9920264452</t>
        </is>
      </c>
      <c r="K432" s="15" t="inlineStr">
        <is>
          <t>chetan@weekday.works</t>
        </is>
      </c>
      <c r="L432" s="15" t="inlineStr">
        <is>
          <t>&lt;calendly_link&gt;</t>
        </is>
      </c>
      <c r="M432" s="15" t="inlineStr">
        <is>
          <t>Yes</t>
        </is>
      </c>
      <c r="N432" s="15" t="n"/>
      <c r="O432" s="15" t="n"/>
      <c r="P432" s="15" t="n"/>
      <c r="Q432" s="15" t="n"/>
      <c r="R432" s="15">
        <f>IF(OR(O432="Scheduled",Q432="Scheduled"),"SCHEDULED",IF(Q432="Escalate to call","ESCALATED TO CALL",IF(N432="Bad contact","BAD CONTACT",IF(N432="","NOT STARTED","IN PROGRESS"))))</f>
        <v/>
      </c>
      <c r="S432" s="15" t="n"/>
    </row>
    <row r="433">
      <c r="A433" s="15" t="inlineStr">
        <is>
          <t>REQ-0432</t>
        </is>
      </c>
      <c r="B433" s="16" t="n">
        <v>44867.82708333333</v>
      </c>
      <c r="C433" s="16">
        <f>B433+1</f>
        <v/>
      </c>
      <c r="D433" s="17">
        <f>(C433-NOW())*24</f>
        <v/>
      </c>
      <c r="E433" s="15">
        <f>IF(N433="","STEP 1: Send WhatsApp + Email blast now (Playbook M1)",IF(N433="Bad contact","STOP: report bad contact to lead (Playbook)",IF(O433="Scheduled","DONE: scheduled via Calendly",IF(O433="","STEP 2: Check Calendly now",IF(P433="","STEP 3: Send WhatsApp nudge (Playbook M2)",IF(Q433="Scheduled","DONE: scheduled via Calendly",IF(Q433="Escalate to call","HANDED to Shyam (call queue)","STEP 4: Final Calendly check")))))))</f>
        <v/>
      </c>
      <c r="F433" s="16">
        <f>IF(N433="",B433,IF(O433="",B433+2/24,IF(AND(O433="Not yet",P433=""),B433+2/24,IF(Q433="",B433+4/24,""))))</f>
        <v/>
      </c>
      <c r="G433" s="15" t="inlineStr">
        <is>
          <t>Chetan</t>
        </is>
      </c>
      <c r="H433" s="15" t="inlineStr">
        <is>
          <t>Google</t>
        </is>
      </c>
      <c r="I433" s="15" t="inlineStr">
        <is>
          <t>Round1</t>
        </is>
      </c>
      <c r="J433" s="18" t="inlineStr">
        <is>
          <t>+91 9920264452</t>
        </is>
      </c>
      <c r="K433" s="15" t="inlineStr">
        <is>
          <t>chetan@weekday.works</t>
        </is>
      </c>
      <c r="L433" s="15" t="inlineStr">
        <is>
          <t>&lt;calendly_link&gt;</t>
        </is>
      </c>
      <c r="M433" s="15" t="inlineStr">
        <is>
          <t>Yes</t>
        </is>
      </c>
      <c r="N433" s="15" t="n"/>
      <c r="O433" s="15" t="n"/>
      <c r="P433" s="15" t="n"/>
      <c r="Q433" s="15" t="n"/>
      <c r="R433" s="15">
        <f>IF(OR(O433="Scheduled",Q433="Scheduled"),"SCHEDULED",IF(Q433="Escalate to call","ESCALATED TO CALL",IF(N433="Bad contact","BAD CONTACT",IF(N433="","NOT STARTED","IN PROGRESS"))))</f>
        <v/>
      </c>
      <c r="S433" s="15" t="n"/>
    </row>
    <row r="434">
      <c r="A434" s="15" t="inlineStr">
        <is>
          <t>REQ-0433</t>
        </is>
      </c>
      <c r="B434" s="16" t="n">
        <v>44867.82708333333</v>
      </c>
      <c r="C434" s="16">
        <f>B434+1</f>
        <v/>
      </c>
      <c r="D434" s="17">
        <f>(C434-NOW())*24</f>
        <v/>
      </c>
      <c r="E434" s="15">
        <f>IF(N434="","STEP 1: Send WhatsApp + Email blast now (Playbook M1)",IF(N434="Bad contact","STOP: report bad contact to lead (Playbook)",IF(O434="Scheduled","DONE: scheduled via Calendly",IF(O434="","STEP 2: Check Calendly now",IF(P434="","STEP 3: Send WhatsApp nudge (Playbook M2)",IF(Q434="Scheduled","DONE: scheduled via Calendly",IF(Q434="Escalate to call","HANDED to Shyam (call queue)","STEP 4: Final Calendly check")))))))</f>
        <v/>
      </c>
      <c r="F434" s="16">
        <f>IF(N434="",B434,IF(O434="",B434+2/24,IF(AND(O434="Not yet",P434=""),B434+2/24,IF(Q434="",B434+4/24,""))))</f>
        <v/>
      </c>
      <c r="G434" s="15" t="inlineStr">
        <is>
          <t>Chetan</t>
        </is>
      </c>
      <c r="H434" s="15" t="inlineStr">
        <is>
          <t>Google</t>
        </is>
      </c>
      <c r="I434" s="15" t="inlineStr">
        <is>
          <t>Round1</t>
        </is>
      </c>
      <c r="J434" s="18" t="inlineStr">
        <is>
          <t>+91 9920264452</t>
        </is>
      </c>
      <c r="K434" s="15" t="inlineStr">
        <is>
          <t>chetan@weekday.works</t>
        </is>
      </c>
      <c r="L434" s="15" t="inlineStr">
        <is>
          <t>&lt;calendly_link&gt;</t>
        </is>
      </c>
      <c r="M434" s="15" t="inlineStr">
        <is>
          <t>Yes</t>
        </is>
      </c>
      <c r="N434" s="15" t="n"/>
      <c r="O434" s="15" t="n"/>
      <c r="P434" s="15" t="n"/>
      <c r="Q434" s="15" t="n"/>
      <c r="R434" s="15">
        <f>IF(OR(O434="Scheduled",Q434="Scheduled"),"SCHEDULED",IF(Q434="Escalate to call","ESCALATED TO CALL",IF(N434="Bad contact","BAD CONTACT",IF(N434="","NOT STARTED","IN PROGRESS"))))</f>
        <v/>
      </c>
      <c r="S434" s="15" t="n"/>
    </row>
    <row r="435">
      <c r="A435" s="15" t="inlineStr">
        <is>
          <t>REQ-0434</t>
        </is>
      </c>
      <c r="B435" s="16" t="n">
        <v>44867.82708333333</v>
      </c>
      <c r="C435" s="16">
        <f>B435+1</f>
        <v/>
      </c>
      <c r="D435" s="17">
        <f>(C435-NOW())*24</f>
        <v/>
      </c>
      <c r="E435" s="15">
        <f>IF(N435="","STEP 1: Send WhatsApp + Email blast now (Playbook M1)",IF(N435="Bad contact","STOP: report bad contact to lead (Playbook)",IF(O435="Scheduled","DONE: scheduled via Calendly",IF(O435="","STEP 2: Check Calendly now",IF(P435="","STEP 3: Send WhatsApp nudge (Playbook M2)",IF(Q435="Scheduled","DONE: scheduled via Calendly",IF(Q435="Escalate to call","HANDED to Shyam (call queue)","STEP 4: Final Calendly check")))))))</f>
        <v/>
      </c>
      <c r="F435" s="16">
        <f>IF(N435="",B435,IF(O435="",B435+2/24,IF(AND(O435="Not yet",P435=""),B435+2/24,IF(Q435="",B435+4/24,""))))</f>
        <v/>
      </c>
      <c r="G435" s="15" t="inlineStr">
        <is>
          <t>Chetan</t>
        </is>
      </c>
      <c r="H435" s="15" t="inlineStr">
        <is>
          <t>Google</t>
        </is>
      </c>
      <c r="I435" s="15" t="inlineStr">
        <is>
          <t>Round1</t>
        </is>
      </c>
      <c r="J435" s="18" t="inlineStr">
        <is>
          <t>+91 9920264452</t>
        </is>
      </c>
      <c r="K435" s="15" t="inlineStr">
        <is>
          <t>chetan@weekday.works</t>
        </is>
      </c>
      <c r="L435" s="15" t="inlineStr">
        <is>
          <t>&lt;calendly_link&gt;</t>
        </is>
      </c>
      <c r="M435" s="15" t="inlineStr">
        <is>
          <t>Yes</t>
        </is>
      </c>
      <c r="N435" s="15" t="n"/>
      <c r="O435" s="15" t="n"/>
      <c r="P435" s="15" t="n"/>
      <c r="Q435" s="15" t="n"/>
      <c r="R435" s="15">
        <f>IF(OR(O435="Scheduled",Q435="Scheduled"),"SCHEDULED",IF(Q435="Escalate to call","ESCALATED TO CALL",IF(N435="Bad contact","BAD CONTACT",IF(N435="","NOT STARTED","IN PROGRESS"))))</f>
        <v/>
      </c>
      <c r="S435" s="15" t="n"/>
    </row>
    <row r="436">
      <c r="A436" s="15" t="inlineStr">
        <is>
          <t>REQ-0435</t>
        </is>
      </c>
      <c r="B436" s="16" t="n">
        <v>44867.82708333333</v>
      </c>
      <c r="C436" s="16">
        <f>B436+1</f>
        <v/>
      </c>
      <c r="D436" s="17">
        <f>(C436-NOW())*24</f>
        <v/>
      </c>
      <c r="E436" s="15">
        <f>IF(N436="","STEP 1: Send WhatsApp + Email blast now (Playbook M1)",IF(N436="Bad contact","STOP: report bad contact to lead (Playbook)",IF(O436="Scheduled","DONE: scheduled via Calendly",IF(O436="","STEP 2: Check Calendly now",IF(P436="","STEP 3: Send WhatsApp nudge (Playbook M2)",IF(Q436="Scheduled","DONE: scheduled via Calendly",IF(Q436="Escalate to call","HANDED to Shyam (call queue)","STEP 4: Final Calendly check")))))))</f>
        <v/>
      </c>
      <c r="F436" s="16">
        <f>IF(N436="",B436,IF(O436="",B436+2/24,IF(AND(O436="Not yet",P436=""),B436+2/24,IF(Q436="",B436+4/24,""))))</f>
        <v/>
      </c>
      <c r="G436" s="15" t="inlineStr">
        <is>
          <t>Chetan</t>
        </is>
      </c>
      <c r="H436" s="15" t="inlineStr">
        <is>
          <t>Google</t>
        </is>
      </c>
      <c r="I436" s="15" t="inlineStr">
        <is>
          <t>Round1</t>
        </is>
      </c>
      <c r="J436" s="18" t="inlineStr">
        <is>
          <t>+91 9920264452</t>
        </is>
      </c>
      <c r="K436" s="15" t="inlineStr">
        <is>
          <t>chetan@weekday.works</t>
        </is>
      </c>
      <c r="L436" s="15" t="inlineStr">
        <is>
          <t>&lt;calendly_link&gt;</t>
        </is>
      </c>
      <c r="M436" s="15" t="inlineStr">
        <is>
          <t>Yes</t>
        </is>
      </c>
      <c r="N436" s="15" t="n"/>
      <c r="O436" s="15" t="n"/>
      <c r="P436" s="15" t="n"/>
      <c r="Q436" s="15" t="n"/>
      <c r="R436" s="15">
        <f>IF(OR(O436="Scheduled",Q436="Scheduled"),"SCHEDULED",IF(Q436="Escalate to call","ESCALATED TO CALL",IF(N436="Bad contact","BAD CONTACT",IF(N436="","NOT STARTED","IN PROGRESS"))))</f>
        <v/>
      </c>
      <c r="S436" s="15" t="n"/>
    </row>
    <row r="437">
      <c r="A437" s="15" t="inlineStr">
        <is>
          <t>REQ-0436</t>
        </is>
      </c>
      <c r="B437" s="16" t="n">
        <v>44867.82708333333</v>
      </c>
      <c r="C437" s="16">
        <f>B437+1</f>
        <v/>
      </c>
      <c r="D437" s="17">
        <f>(C437-NOW())*24</f>
        <v/>
      </c>
      <c r="E437" s="15">
        <f>IF(N437="","STEP 1: Send WhatsApp + Email blast now (Playbook M1)",IF(N437="Bad contact","STOP: report bad contact to lead (Playbook)",IF(O437="Scheduled","DONE: scheduled via Calendly",IF(O437="","STEP 2: Check Calendly now",IF(P437="","STEP 3: Send WhatsApp nudge (Playbook M2)",IF(Q437="Scheduled","DONE: scheduled via Calendly",IF(Q437="Escalate to call","HANDED to Shyam (call queue)","STEP 4: Final Calendly check")))))))</f>
        <v/>
      </c>
      <c r="F437" s="16">
        <f>IF(N437="",B437,IF(O437="",B437+2/24,IF(AND(O437="Not yet",P437=""),B437+2/24,IF(Q437="",B437+4/24,""))))</f>
        <v/>
      </c>
      <c r="G437" s="15" t="inlineStr">
        <is>
          <t>Chetan</t>
        </is>
      </c>
      <c r="H437" s="15" t="inlineStr">
        <is>
          <t>Google</t>
        </is>
      </c>
      <c r="I437" s="15" t="inlineStr">
        <is>
          <t>Round1</t>
        </is>
      </c>
      <c r="J437" s="18" t="inlineStr">
        <is>
          <t>+91 9920264452</t>
        </is>
      </c>
      <c r="K437" s="15" t="inlineStr">
        <is>
          <t>chetan@weekday.works</t>
        </is>
      </c>
      <c r="L437" s="15" t="inlineStr">
        <is>
          <t>&lt;calendly_link&gt;</t>
        </is>
      </c>
      <c r="M437" s="15" t="inlineStr">
        <is>
          <t>Yes</t>
        </is>
      </c>
      <c r="N437" s="15" t="n"/>
      <c r="O437" s="15" t="n"/>
      <c r="P437" s="15" t="n"/>
      <c r="Q437" s="15" t="n"/>
      <c r="R437" s="15">
        <f>IF(OR(O437="Scheduled",Q437="Scheduled"),"SCHEDULED",IF(Q437="Escalate to call","ESCALATED TO CALL",IF(N437="Bad contact","BAD CONTACT",IF(N437="","NOT STARTED","IN PROGRESS"))))</f>
        <v/>
      </c>
      <c r="S437" s="15" t="n"/>
    </row>
    <row r="438">
      <c r="A438" s="15" t="inlineStr">
        <is>
          <t>REQ-0437</t>
        </is>
      </c>
      <c r="B438" s="16" t="n">
        <v>44867.82708333333</v>
      </c>
      <c r="C438" s="16">
        <f>B438+1</f>
        <v/>
      </c>
      <c r="D438" s="17">
        <f>(C438-NOW())*24</f>
        <v/>
      </c>
      <c r="E438" s="15">
        <f>IF(N438="","STEP 1: Send WhatsApp + Email blast now (Playbook M1)",IF(N438="Bad contact","STOP: report bad contact to lead (Playbook)",IF(O438="Scheduled","DONE: scheduled via Calendly",IF(O438="","STEP 2: Check Calendly now",IF(P438="","STEP 3: Send WhatsApp nudge (Playbook M2)",IF(Q438="Scheduled","DONE: scheduled via Calendly",IF(Q438="Escalate to call","HANDED to Shyam (call queue)","STEP 4: Final Calendly check")))))))</f>
        <v/>
      </c>
      <c r="F438" s="16">
        <f>IF(N438="",B438,IF(O438="",B438+2/24,IF(AND(O438="Not yet",P438=""),B438+2/24,IF(Q438="",B438+4/24,""))))</f>
        <v/>
      </c>
      <c r="G438" s="15" t="inlineStr">
        <is>
          <t>Chetan</t>
        </is>
      </c>
      <c r="H438" s="15" t="inlineStr">
        <is>
          <t>Google</t>
        </is>
      </c>
      <c r="I438" s="15" t="inlineStr">
        <is>
          <t>Round1</t>
        </is>
      </c>
      <c r="J438" s="18" t="inlineStr">
        <is>
          <t>+91 9920264452</t>
        </is>
      </c>
      <c r="K438" s="15" t="inlineStr">
        <is>
          <t>chetan@weekday.works</t>
        </is>
      </c>
      <c r="L438" s="15" t="inlineStr">
        <is>
          <t>&lt;calendly_link&gt;</t>
        </is>
      </c>
      <c r="M438" s="15" t="inlineStr">
        <is>
          <t>Yes</t>
        </is>
      </c>
      <c r="N438" s="15" t="n"/>
      <c r="O438" s="15" t="n"/>
      <c r="P438" s="15" t="n"/>
      <c r="Q438" s="15" t="n"/>
      <c r="R438" s="15">
        <f>IF(OR(O438="Scheduled",Q438="Scheduled"),"SCHEDULED",IF(Q438="Escalate to call","ESCALATED TO CALL",IF(N438="Bad contact","BAD CONTACT",IF(N438="","NOT STARTED","IN PROGRESS"))))</f>
        <v/>
      </c>
      <c r="S438" s="15" t="n"/>
    </row>
    <row r="439">
      <c r="A439" s="15" t="inlineStr">
        <is>
          <t>REQ-0438</t>
        </is>
      </c>
      <c r="B439" s="16" t="n">
        <v>44867.82708333333</v>
      </c>
      <c r="C439" s="16">
        <f>B439+1</f>
        <v/>
      </c>
      <c r="D439" s="17">
        <f>(C439-NOW())*24</f>
        <v/>
      </c>
      <c r="E439" s="15">
        <f>IF(N439="","STEP 1: Send WhatsApp + Email blast now (Playbook M1)",IF(N439="Bad contact","STOP: report bad contact to lead (Playbook)",IF(O439="Scheduled","DONE: scheduled via Calendly",IF(O439="","STEP 2: Check Calendly now",IF(P439="","STEP 3: Send WhatsApp nudge (Playbook M2)",IF(Q439="Scheduled","DONE: scheduled via Calendly",IF(Q439="Escalate to call","HANDED to Shyam (call queue)","STEP 4: Final Calendly check")))))))</f>
        <v/>
      </c>
      <c r="F439" s="16">
        <f>IF(N439="",B439,IF(O439="",B439+2/24,IF(AND(O439="Not yet",P439=""),B439+2/24,IF(Q439="",B439+4/24,""))))</f>
        <v/>
      </c>
      <c r="G439" s="15" t="inlineStr">
        <is>
          <t>Chetan</t>
        </is>
      </c>
      <c r="H439" s="15" t="inlineStr">
        <is>
          <t>Google</t>
        </is>
      </c>
      <c r="I439" s="15" t="inlineStr">
        <is>
          <t>Round1</t>
        </is>
      </c>
      <c r="J439" s="18" t="inlineStr">
        <is>
          <t>+91 9920264452</t>
        </is>
      </c>
      <c r="K439" s="15" t="inlineStr">
        <is>
          <t>chetan@weekday.works</t>
        </is>
      </c>
      <c r="L439" s="15" t="inlineStr">
        <is>
          <t>&lt;calendly_link&gt;</t>
        </is>
      </c>
      <c r="M439" s="15" t="inlineStr">
        <is>
          <t>Yes</t>
        </is>
      </c>
      <c r="N439" s="15" t="n"/>
      <c r="O439" s="15" t="n"/>
      <c r="P439" s="15" t="n"/>
      <c r="Q439" s="15" t="n"/>
      <c r="R439" s="15">
        <f>IF(OR(O439="Scheduled",Q439="Scheduled"),"SCHEDULED",IF(Q439="Escalate to call","ESCALATED TO CALL",IF(N439="Bad contact","BAD CONTACT",IF(N439="","NOT STARTED","IN PROGRESS"))))</f>
        <v/>
      </c>
      <c r="S439" s="15" t="n"/>
    </row>
    <row r="440">
      <c r="A440" s="15" t="inlineStr">
        <is>
          <t>REQ-0439</t>
        </is>
      </c>
      <c r="B440" s="16" t="n">
        <v>44867.82708333333</v>
      </c>
      <c r="C440" s="16">
        <f>B440+1</f>
        <v/>
      </c>
      <c r="D440" s="17">
        <f>(C440-NOW())*24</f>
        <v/>
      </c>
      <c r="E440" s="15">
        <f>IF(N440="","STEP 1: Send WhatsApp + Email blast now (Playbook M1)",IF(N440="Bad contact","STOP: report bad contact to lead (Playbook)",IF(O440="Scheduled","DONE: scheduled via Calendly",IF(O440="","STEP 2: Check Calendly now",IF(P440="","STEP 3: Send WhatsApp nudge (Playbook M2)",IF(Q440="Scheduled","DONE: scheduled via Calendly",IF(Q440="Escalate to call","HANDED to Shyam (call queue)","STEP 4: Final Calendly check")))))))</f>
        <v/>
      </c>
      <c r="F440" s="16">
        <f>IF(N440="",B440,IF(O440="",B440+2/24,IF(AND(O440="Not yet",P440=""),B440+2/24,IF(Q440="",B440+4/24,""))))</f>
        <v/>
      </c>
      <c r="G440" s="15" t="inlineStr">
        <is>
          <t>Chetan</t>
        </is>
      </c>
      <c r="H440" s="15" t="inlineStr">
        <is>
          <t>Google</t>
        </is>
      </c>
      <c r="I440" s="15" t="inlineStr">
        <is>
          <t>Round1</t>
        </is>
      </c>
      <c r="J440" s="18" t="inlineStr">
        <is>
          <t>+91 9920264452</t>
        </is>
      </c>
      <c r="K440" s="15" t="inlineStr">
        <is>
          <t>chetan@weekday.works</t>
        </is>
      </c>
      <c r="L440" s="15" t="inlineStr">
        <is>
          <t>&lt;calendly_link&gt;</t>
        </is>
      </c>
      <c r="M440" s="15" t="inlineStr">
        <is>
          <t>Yes</t>
        </is>
      </c>
      <c r="N440" s="15" t="n"/>
      <c r="O440" s="15" t="n"/>
      <c r="P440" s="15" t="n"/>
      <c r="Q440" s="15" t="n"/>
      <c r="R440" s="15">
        <f>IF(OR(O440="Scheduled",Q440="Scheduled"),"SCHEDULED",IF(Q440="Escalate to call","ESCALATED TO CALL",IF(N440="Bad contact","BAD CONTACT",IF(N440="","NOT STARTED","IN PROGRESS"))))</f>
        <v/>
      </c>
      <c r="S440" s="15" t="n"/>
    </row>
    <row r="441">
      <c r="A441" s="15" t="inlineStr">
        <is>
          <t>REQ-0440</t>
        </is>
      </c>
      <c r="B441" s="16" t="n">
        <v>44867.82708333333</v>
      </c>
      <c r="C441" s="16">
        <f>B441+1</f>
        <v/>
      </c>
      <c r="D441" s="17">
        <f>(C441-NOW())*24</f>
        <v/>
      </c>
      <c r="E441" s="15">
        <f>IF(N441="","STEP 1: Send WhatsApp + Email blast now (Playbook M1)",IF(N441="Bad contact","STOP: report bad contact to lead (Playbook)",IF(O441="Scheduled","DONE: scheduled via Calendly",IF(O441="","STEP 2: Check Calendly now",IF(P441="","STEP 3: Send WhatsApp nudge (Playbook M2)",IF(Q441="Scheduled","DONE: scheduled via Calendly",IF(Q441="Escalate to call","HANDED to Shyam (call queue)","STEP 4: Final Calendly check")))))))</f>
        <v/>
      </c>
      <c r="F441" s="16">
        <f>IF(N441="",B441,IF(O441="",B441+2/24,IF(AND(O441="Not yet",P441=""),B441+2/24,IF(Q441="",B441+4/24,""))))</f>
        <v/>
      </c>
      <c r="G441" s="15" t="inlineStr">
        <is>
          <t>Chetan</t>
        </is>
      </c>
      <c r="H441" s="15" t="inlineStr">
        <is>
          <t>Google</t>
        </is>
      </c>
      <c r="I441" s="15" t="inlineStr">
        <is>
          <t>Round1</t>
        </is>
      </c>
      <c r="J441" s="18" t="inlineStr">
        <is>
          <t>+91 9920264452</t>
        </is>
      </c>
      <c r="K441" s="15" t="inlineStr">
        <is>
          <t>chetan@weekday.works</t>
        </is>
      </c>
      <c r="L441" s="15" t="inlineStr">
        <is>
          <t>&lt;calendly_link&gt;</t>
        </is>
      </c>
      <c r="M441" s="15" t="inlineStr">
        <is>
          <t>Yes</t>
        </is>
      </c>
      <c r="N441" s="15" t="n"/>
      <c r="O441" s="15" t="n"/>
      <c r="P441" s="15" t="n"/>
      <c r="Q441" s="15" t="n"/>
      <c r="R441" s="15">
        <f>IF(OR(O441="Scheduled",Q441="Scheduled"),"SCHEDULED",IF(Q441="Escalate to call","ESCALATED TO CALL",IF(N441="Bad contact","BAD CONTACT",IF(N441="","NOT STARTED","IN PROGRESS"))))</f>
        <v/>
      </c>
      <c r="S441" s="15" t="n"/>
    </row>
    <row r="442">
      <c r="A442" s="15" t="inlineStr">
        <is>
          <t>REQ-0441</t>
        </is>
      </c>
      <c r="B442" s="16" t="n">
        <v>44867.82708333333</v>
      </c>
      <c r="C442" s="16">
        <f>B442+1</f>
        <v/>
      </c>
      <c r="D442" s="17">
        <f>(C442-NOW())*24</f>
        <v/>
      </c>
      <c r="E442" s="15">
        <f>IF(N442="","STEP 1: Send WhatsApp + Email blast now (Playbook M1)",IF(N442="Bad contact","STOP: report bad contact to lead (Playbook)",IF(O442="Scheduled","DONE: scheduled via Calendly",IF(O442="","STEP 2: Check Calendly now",IF(P442="","STEP 3: Send WhatsApp nudge (Playbook M2)",IF(Q442="Scheduled","DONE: scheduled via Calendly",IF(Q442="Escalate to call","HANDED to Shyam (call queue)","STEP 4: Final Calendly check")))))))</f>
        <v/>
      </c>
      <c r="F442" s="16">
        <f>IF(N442="",B442,IF(O442="",B442+2/24,IF(AND(O442="Not yet",P442=""),B442+2/24,IF(Q442="",B442+4/24,""))))</f>
        <v/>
      </c>
      <c r="G442" s="15" t="inlineStr">
        <is>
          <t>Chetan</t>
        </is>
      </c>
      <c r="H442" s="15" t="inlineStr">
        <is>
          <t>Google</t>
        </is>
      </c>
      <c r="I442" s="15" t="inlineStr">
        <is>
          <t>Round1</t>
        </is>
      </c>
      <c r="J442" s="18" t="inlineStr">
        <is>
          <t>+91 9920264452</t>
        </is>
      </c>
      <c r="K442" s="15" t="inlineStr">
        <is>
          <t>chetan@weekday.works</t>
        </is>
      </c>
      <c r="L442" s="15" t="inlineStr">
        <is>
          <t>&lt;calendly_link&gt;</t>
        </is>
      </c>
      <c r="M442" s="15" t="inlineStr">
        <is>
          <t>Yes</t>
        </is>
      </c>
      <c r="N442" s="15" t="n"/>
      <c r="O442" s="15" t="n"/>
      <c r="P442" s="15" t="n"/>
      <c r="Q442" s="15" t="n"/>
      <c r="R442" s="15">
        <f>IF(OR(O442="Scheduled",Q442="Scheduled"),"SCHEDULED",IF(Q442="Escalate to call","ESCALATED TO CALL",IF(N442="Bad contact","BAD CONTACT",IF(N442="","NOT STARTED","IN PROGRESS"))))</f>
        <v/>
      </c>
      <c r="S442" s="15" t="n"/>
    </row>
    <row r="443">
      <c r="A443" s="15" t="inlineStr">
        <is>
          <t>REQ-0442</t>
        </is>
      </c>
      <c r="B443" s="16" t="n">
        <v>44867.82708333333</v>
      </c>
      <c r="C443" s="16">
        <f>B443+1</f>
        <v/>
      </c>
      <c r="D443" s="17">
        <f>(C443-NOW())*24</f>
        <v/>
      </c>
      <c r="E443" s="15">
        <f>IF(N443="","STEP 1: Send WhatsApp + Email blast now (Playbook M1)",IF(N443="Bad contact","STOP: report bad contact to lead (Playbook)",IF(O443="Scheduled","DONE: scheduled via Calendly",IF(O443="","STEP 2: Check Calendly now",IF(P443="","STEP 3: Send WhatsApp nudge (Playbook M2)",IF(Q443="Scheduled","DONE: scheduled via Calendly",IF(Q443="Escalate to call","HANDED to Shyam (call queue)","STEP 4: Final Calendly check")))))))</f>
        <v/>
      </c>
      <c r="F443" s="16">
        <f>IF(N443="",B443,IF(O443="",B443+2/24,IF(AND(O443="Not yet",P443=""),B443+2/24,IF(Q443="",B443+4/24,""))))</f>
        <v/>
      </c>
      <c r="G443" s="15" t="inlineStr">
        <is>
          <t>Chetan</t>
        </is>
      </c>
      <c r="H443" s="15" t="inlineStr">
        <is>
          <t>Google</t>
        </is>
      </c>
      <c r="I443" s="15" t="inlineStr">
        <is>
          <t>Round1</t>
        </is>
      </c>
      <c r="J443" s="18" t="inlineStr">
        <is>
          <t>+91 9920264452</t>
        </is>
      </c>
      <c r="K443" s="15" t="inlineStr">
        <is>
          <t>chetan@weekday.works</t>
        </is>
      </c>
      <c r="L443" s="15" t="inlineStr">
        <is>
          <t>&lt;calendly_link&gt;</t>
        </is>
      </c>
      <c r="M443" s="15" t="inlineStr">
        <is>
          <t>Yes</t>
        </is>
      </c>
      <c r="N443" s="15" t="n"/>
      <c r="O443" s="15" t="n"/>
      <c r="P443" s="15" t="n"/>
      <c r="Q443" s="15" t="n"/>
      <c r="R443" s="15">
        <f>IF(OR(O443="Scheduled",Q443="Scheduled"),"SCHEDULED",IF(Q443="Escalate to call","ESCALATED TO CALL",IF(N443="Bad contact","BAD CONTACT",IF(N443="","NOT STARTED","IN PROGRESS"))))</f>
        <v/>
      </c>
      <c r="S443" s="15" t="n"/>
    </row>
    <row r="444">
      <c r="A444" s="15" t="inlineStr">
        <is>
          <t>REQ-0443</t>
        </is>
      </c>
      <c r="B444" s="16" t="n">
        <v>44867.82708333333</v>
      </c>
      <c r="C444" s="16">
        <f>B444+1</f>
        <v/>
      </c>
      <c r="D444" s="17">
        <f>(C444-NOW())*24</f>
        <v/>
      </c>
      <c r="E444" s="15">
        <f>IF(N444="","STEP 1: Send WhatsApp + Email blast now (Playbook M1)",IF(N444="Bad contact","STOP: report bad contact to lead (Playbook)",IF(O444="Scheduled","DONE: scheduled via Calendly",IF(O444="","STEP 2: Check Calendly now",IF(P444="","STEP 3: Send WhatsApp nudge (Playbook M2)",IF(Q444="Scheduled","DONE: scheduled via Calendly",IF(Q444="Escalate to call","HANDED to Shyam (call queue)","STEP 4: Final Calendly check")))))))</f>
        <v/>
      </c>
      <c r="F444" s="16">
        <f>IF(N444="",B444,IF(O444="",B444+2/24,IF(AND(O444="Not yet",P444=""),B444+2/24,IF(Q444="",B444+4/24,""))))</f>
        <v/>
      </c>
      <c r="G444" s="15" t="inlineStr">
        <is>
          <t>Chetan</t>
        </is>
      </c>
      <c r="H444" s="15" t="inlineStr">
        <is>
          <t>Google</t>
        </is>
      </c>
      <c r="I444" s="15" t="inlineStr">
        <is>
          <t>Round1</t>
        </is>
      </c>
      <c r="J444" s="18" t="inlineStr">
        <is>
          <t>+91 9920264452</t>
        </is>
      </c>
      <c r="K444" s="15" t="inlineStr">
        <is>
          <t>chetan@weekday.works</t>
        </is>
      </c>
      <c r="L444" s="15" t="inlineStr">
        <is>
          <t>&lt;calendly_link&gt;</t>
        </is>
      </c>
      <c r="M444" s="15" t="inlineStr">
        <is>
          <t>Yes</t>
        </is>
      </c>
      <c r="N444" s="15" t="n"/>
      <c r="O444" s="15" t="n"/>
      <c r="P444" s="15" t="n"/>
      <c r="Q444" s="15" t="n"/>
      <c r="R444" s="15">
        <f>IF(OR(O444="Scheduled",Q444="Scheduled"),"SCHEDULED",IF(Q444="Escalate to call","ESCALATED TO CALL",IF(N444="Bad contact","BAD CONTACT",IF(N444="","NOT STARTED","IN PROGRESS"))))</f>
        <v/>
      </c>
      <c r="S444" s="15" t="n"/>
    </row>
    <row r="445">
      <c r="A445" s="15" t="inlineStr">
        <is>
          <t>REQ-0444</t>
        </is>
      </c>
      <c r="B445" s="16" t="n">
        <v>44867.82708333333</v>
      </c>
      <c r="C445" s="16">
        <f>B445+1</f>
        <v/>
      </c>
      <c r="D445" s="17">
        <f>(C445-NOW())*24</f>
        <v/>
      </c>
      <c r="E445" s="15">
        <f>IF(N445="","STEP 1: Send WhatsApp + Email blast now (Playbook M1)",IF(N445="Bad contact","STOP: report bad contact to lead (Playbook)",IF(O445="Scheduled","DONE: scheduled via Calendly",IF(O445="","STEP 2: Check Calendly now",IF(P445="","STEP 3: Send WhatsApp nudge (Playbook M2)",IF(Q445="Scheduled","DONE: scheduled via Calendly",IF(Q445="Escalate to call","HANDED to Shyam (call queue)","STEP 4: Final Calendly check")))))))</f>
        <v/>
      </c>
      <c r="F445" s="16">
        <f>IF(N445="",B445,IF(O445="",B445+2/24,IF(AND(O445="Not yet",P445=""),B445+2/24,IF(Q445="",B445+4/24,""))))</f>
        <v/>
      </c>
      <c r="G445" s="15" t="inlineStr">
        <is>
          <t>Chetan</t>
        </is>
      </c>
      <c r="H445" s="15" t="inlineStr">
        <is>
          <t>Google</t>
        </is>
      </c>
      <c r="I445" s="15" t="inlineStr">
        <is>
          <t>Round1</t>
        </is>
      </c>
      <c r="J445" s="18" t="inlineStr">
        <is>
          <t>+91 9920264452</t>
        </is>
      </c>
      <c r="K445" s="15" t="inlineStr">
        <is>
          <t>chetan@weekday.works</t>
        </is>
      </c>
      <c r="L445" s="15" t="inlineStr">
        <is>
          <t>&lt;calendly_link&gt;</t>
        </is>
      </c>
      <c r="M445" s="15" t="inlineStr">
        <is>
          <t>Yes</t>
        </is>
      </c>
      <c r="N445" s="15" t="n"/>
      <c r="O445" s="15" t="n"/>
      <c r="P445" s="15" t="n"/>
      <c r="Q445" s="15" t="n"/>
      <c r="R445" s="15">
        <f>IF(OR(O445="Scheduled",Q445="Scheduled"),"SCHEDULED",IF(Q445="Escalate to call","ESCALATED TO CALL",IF(N445="Bad contact","BAD CONTACT",IF(N445="","NOT STARTED","IN PROGRESS"))))</f>
        <v/>
      </c>
      <c r="S445" s="15" t="n"/>
    </row>
    <row r="446">
      <c r="A446" s="15" t="inlineStr">
        <is>
          <t>REQ-0445</t>
        </is>
      </c>
      <c r="B446" s="16" t="n">
        <v>44867.82708333333</v>
      </c>
      <c r="C446" s="16">
        <f>B446+1</f>
        <v/>
      </c>
      <c r="D446" s="17">
        <f>(C446-NOW())*24</f>
        <v/>
      </c>
      <c r="E446" s="15">
        <f>IF(N446="","STEP 1: Send WhatsApp + Email blast now (Playbook M1)",IF(N446="Bad contact","STOP: report bad contact to lead (Playbook)",IF(O446="Scheduled","DONE: scheduled via Calendly",IF(O446="","STEP 2: Check Calendly now",IF(P446="","STEP 3: Send WhatsApp nudge (Playbook M2)",IF(Q446="Scheduled","DONE: scheduled via Calendly",IF(Q446="Escalate to call","HANDED to Shyam (call queue)","STEP 4: Final Calendly check")))))))</f>
        <v/>
      </c>
      <c r="F446" s="16">
        <f>IF(N446="",B446,IF(O446="",B446+2/24,IF(AND(O446="Not yet",P446=""),B446+2/24,IF(Q446="",B446+4/24,""))))</f>
        <v/>
      </c>
      <c r="G446" s="15" t="inlineStr">
        <is>
          <t>Chetan</t>
        </is>
      </c>
      <c r="H446" s="15" t="inlineStr">
        <is>
          <t>Google</t>
        </is>
      </c>
      <c r="I446" s="15" t="inlineStr">
        <is>
          <t>Round1</t>
        </is>
      </c>
      <c r="J446" s="18" t="inlineStr">
        <is>
          <t>+91 9920264452</t>
        </is>
      </c>
      <c r="K446" s="15" t="inlineStr">
        <is>
          <t>chetan@weekday.works</t>
        </is>
      </c>
      <c r="L446" s="15" t="inlineStr">
        <is>
          <t>&lt;calendly_link&gt;</t>
        </is>
      </c>
      <c r="M446" s="15" t="inlineStr">
        <is>
          <t>Yes</t>
        </is>
      </c>
      <c r="N446" s="15" t="n"/>
      <c r="O446" s="15" t="n"/>
      <c r="P446" s="15" t="n"/>
      <c r="Q446" s="15" t="n"/>
      <c r="R446" s="15">
        <f>IF(OR(O446="Scheduled",Q446="Scheduled"),"SCHEDULED",IF(Q446="Escalate to call","ESCALATED TO CALL",IF(N446="Bad contact","BAD CONTACT",IF(N446="","NOT STARTED","IN PROGRESS"))))</f>
        <v/>
      </c>
      <c r="S446" s="15" t="n"/>
    </row>
    <row r="447">
      <c r="A447" s="15" t="inlineStr">
        <is>
          <t>REQ-0446</t>
        </is>
      </c>
      <c r="B447" s="16" t="n">
        <v>44867.82708333333</v>
      </c>
      <c r="C447" s="16">
        <f>B447+1</f>
        <v/>
      </c>
      <c r="D447" s="17">
        <f>(C447-NOW())*24</f>
        <v/>
      </c>
      <c r="E447" s="15">
        <f>IF(N447="","STEP 1: Send WhatsApp + Email blast now (Playbook M1)",IF(N447="Bad contact","STOP: report bad contact to lead (Playbook)",IF(O447="Scheduled","DONE: scheduled via Calendly",IF(O447="","STEP 2: Check Calendly now",IF(P447="","STEP 3: Send WhatsApp nudge (Playbook M2)",IF(Q447="Scheduled","DONE: scheduled via Calendly",IF(Q447="Escalate to call","HANDED to Shyam (call queue)","STEP 4: Final Calendly check")))))))</f>
        <v/>
      </c>
      <c r="F447" s="16">
        <f>IF(N447="",B447,IF(O447="",B447+2/24,IF(AND(O447="Not yet",P447=""),B447+2/24,IF(Q447="",B447+4/24,""))))</f>
        <v/>
      </c>
      <c r="G447" s="15" t="inlineStr">
        <is>
          <t>Chetan</t>
        </is>
      </c>
      <c r="H447" s="15" t="inlineStr">
        <is>
          <t>Google</t>
        </is>
      </c>
      <c r="I447" s="15" t="inlineStr">
        <is>
          <t>Round1</t>
        </is>
      </c>
      <c r="J447" s="18" t="inlineStr">
        <is>
          <t>+91 9920264452</t>
        </is>
      </c>
      <c r="K447" s="15" t="inlineStr">
        <is>
          <t>chetan@weekday.works</t>
        </is>
      </c>
      <c r="L447" s="15" t="inlineStr">
        <is>
          <t>&lt;calendly_link&gt;</t>
        </is>
      </c>
      <c r="M447" s="15" t="inlineStr">
        <is>
          <t>Yes</t>
        </is>
      </c>
      <c r="N447" s="15" t="n"/>
      <c r="O447" s="15" t="n"/>
      <c r="P447" s="15" t="n"/>
      <c r="Q447" s="15" t="n"/>
      <c r="R447" s="15">
        <f>IF(OR(O447="Scheduled",Q447="Scheduled"),"SCHEDULED",IF(Q447="Escalate to call","ESCALATED TO CALL",IF(N447="Bad contact","BAD CONTACT",IF(N447="","NOT STARTED","IN PROGRESS"))))</f>
        <v/>
      </c>
      <c r="S447" s="15" t="n"/>
    </row>
    <row r="448">
      <c r="A448" s="15" t="inlineStr">
        <is>
          <t>REQ-0447</t>
        </is>
      </c>
      <c r="B448" s="16" t="n">
        <v>44867.82708333333</v>
      </c>
      <c r="C448" s="16">
        <f>B448+1</f>
        <v/>
      </c>
      <c r="D448" s="17">
        <f>(C448-NOW())*24</f>
        <v/>
      </c>
      <c r="E448" s="15">
        <f>IF(N448="","STEP 1: Send WhatsApp + Email blast now (Playbook M1)",IF(N448="Bad contact","STOP: report bad contact to lead (Playbook)",IF(O448="Scheduled","DONE: scheduled via Calendly",IF(O448="","STEP 2: Check Calendly now",IF(P448="","STEP 3: Send WhatsApp nudge (Playbook M2)",IF(Q448="Scheduled","DONE: scheduled via Calendly",IF(Q448="Escalate to call","HANDED to Shyam (call queue)","STEP 4: Final Calendly check")))))))</f>
        <v/>
      </c>
      <c r="F448" s="16">
        <f>IF(N448="",B448,IF(O448="",B448+2/24,IF(AND(O448="Not yet",P448=""),B448+2/24,IF(Q448="",B448+4/24,""))))</f>
        <v/>
      </c>
      <c r="G448" s="15" t="inlineStr">
        <is>
          <t>Chetan</t>
        </is>
      </c>
      <c r="H448" s="15" t="inlineStr">
        <is>
          <t>Google</t>
        </is>
      </c>
      <c r="I448" s="15" t="inlineStr">
        <is>
          <t>Round1</t>
        </is>
      </c>
      <c r="J448" s="18" t="inlineStr">
        <is>
          <t>+91 9920264452</t>
        </is>
      </c>
      <c r="K448" s="15" t="inlineStr">
        <is>
          <t>chetan@weekday.works</t>
        </is>
      </c>
      <c r="L448" s="15" t="inlineStr">
        <is>
          <t>&lt;calendly_link&gt;</t>
        </is>
      </c>
      <c r="M448" s="15" t="inlineStr">
        <is>
          <t>Yes</t>
        </is>
      </c>
      <c r="N448" s="15" t="n"/>
      <c r="O448" s="15" t="n"/>
      <c r="P448" s="15" t="n"/>
      <c r="Q448" s="15" t="n"/>
      <c r="R448" s="15">
        <f>IF(OR(O448="Scheduled",Q448="Scheduled"),"SCHEDULED",IF(Q448="Escalate to call","ESCALATED TO CALL",IF(N448="Bad contact","BAD CONTACT",IF(N448="","NOT STARTED","IN PROGRESS"))))</f>
        <v/>
      </c>
      <c r="S448" s="15" t="n"/>
    </row>
    <row r="449">
      <c r="A449" s="15" t="inlineStr">
        <is>
          <t>REQ-0448</t>
        </is>
      </c>
      <c r="B449" s="16" t="n">
        <v>44867.82708333333</v>
      </c>
      <c r="C449" s="16">
        <f>B449+1</f>
        <v/>
      </c>
      <c r="D449" s="17">
        <f>(C449-NOW())*24</f>
        <v/>
      </c>
      <c r="E449" s="15">
        <f>IF(N449="","STEP 1: Send WhatsApp + Email blast now (Playbook M1)",IF(N449="Bad contact","STOP: report bad contact to lead (Playbook)",IF(O449="Scheduled","DONE: scheduled via Calendly",IF(O449="","STEP 2: Check Calendly now",IF(P449="","STEP 3: Send WhatsApp nudge (Playbook M2)",IF(Q449="Scheduled","DONE: scheduled via Calendly",IF(Q449="Escalate to call","HANDED to Shyam (call queue)","STEP 4: Final Calendly check")))))))</f>
        <v/>
      </c>
      <c r="F449" s="16">
        <f>IF(N449="",B449,IF(O449="",B449+2/24,IF(AND(O449="Not yet",P449=""),B449+2/24,IF(Q449="",B449+4/24,""))))</f>
        <v/>
      </c>
      <c r="G449" s="15" t="inlineStr">
        <is>
          <t>Chetan</t>
        </is>
      </c>
      <c r="H449" s="15" t="inlineStr">
        <is>
          <t>Google</t>
        </is>
      </c>
      <c r="I449" s="15" t="inlineStr">
        <is>
          <t>Round1</t>
        </is>
      </c>
      <c r="J449" s="18" t="inlineStr">
        <is>
          <t>+91 9920264452</t>
        </is>
      </c>
      <c r="K449" s="15" t="inlineStr">
        <is>
          <t>chetan@weekday.works</t>
        </is>
      </c>
      <c r="L449" s="15" t="inlineStr">
        <is>
          <t>&lt;calendly_link&gt;</t>
        </is>
      </c>
      <c r="M449" s="15" t="inlineStr">
        <is>
          <t>Yes</t>
        </is>
      </c>
      <c r="N449" s="15" t="n"/>
      <c r="O449" s="15" t="n"/>
      <c r="P449" s="15" t="n"/>
      <c r="Q449" s="15" t="n"/>
      <c r="R449" s="15">
        <f>IF(OR(O449="Scheduled",Q449="Scheduled"),"SCHEDULED",IF(Q449="Escalate to call","ESCALATED TO CALL",IF(N449="Bad contact","BAD CONTACT",IF(N449="","NOT STARTED","IN PROGRESS"))))</f>
        <v/>
      </c>
      <c r="S449" s="15" t="n"/>
    </row>
    <row r="450">
      <c r="A450" s="15" t="inlineStr">
        <is>
          <t>REQ-0449</t>
        </is>
      </c>
      <c r="B450" s="16" t="n">
        <v>44867.82708333333</v>
      </c>
      <c r="C450" s="16">
        <f>B450+1</f>
        <v/>
      </c>
      <c r="D450" s="17">
        <f>(C450-NOW())*24</f>
        <v/>
      </c>
      <c r="E450" s="15">
        <f>IF(N450="","STEP 1: Send WhatsApp + Email blast now (Playbook M1)",IF(N450="Bad contact","STOP: report bad contact to lead (Playbook)",IF(O450="Scheduled","DONE: scheduled via Calendly",IF(O450="","STEP 2: Check Calendly now",IF(P450="","STEP 3: Send WhatsApp nudge (Playbook M2)",IF(Q450="Scheduled","DONE: scheduled via Calendly",IF(Q450="Escalate to call","HANDED to Shyam (call queue)","STEP 4: Final Calendly check")))))))</f>
        <v/>
      </c>
      <c r="F450" s="16">
        <f>IF(N450="",B450,IF(O450="",B450+2/24,IF(AND(O450="Not yet",P450=""),B450+2/24,IF(Q450="",B450+4/24,""))))</f>
        <v/>
      </c>
      <c r="G450" s="15" t="inlineStr">
        <is>
          <t>Chetan</t>
        </is>
      </c>
      <c r="H450" s="15" t="inlineStr">
        <is>
          <t>Google</t>
        </is>
      </c>
      <c r="I450" s="15" t="inlineStr">
        <is>
          <t>Round1</t>
        </is>
      </c>
      <c r="J450" s="18" t="inlineStr">
        <is>
          <t>+91 9920264452</t>
        </is>
      </c>
      <c r="K450" s="15" t="inlineStr">
        <is>
          <t>chetan@weekday.works</t>
        </is>
      </c>
      <c r="L450" s="15" t="inlineStr">
        <is>
          <t>&lt;calendly_link&gt;</t>
        </is>
      </c>
      <c r="M450" s="15" t="inlineStr">
        <is>
          <t>Yes</t>
        </is>
      </c>
      <c r="N450" s="15" t="n"/>
      <c r="O450" s="15" t="n"/>
      <c r="P450" s="15" t="n"/>
      <c r="Q450" s="15" t="n"/>
      <c r="R450" s="15">
        <f>IF(OR(O450="Scheduled",Q450="Scheduled"),"SCHEDULED",IF(Q450="Escalate to call","ESCALATED TO CALL",IF(N450="Bad contact","BAD CONTACT",IF(N450="","NOT STARTED","IN PROGRESS"))))</f>
        <v/>
      </c>
      <c r="S450" s="15" t="n"/>
    </row>
    <row r="451">
      <c r="A451" s="15" t="inlineStr">
        <is>
          <t>REQ-0450</t>
        </is>
      </c>
      <c r="B451" s="16" t="n">
        <v>44867.82708333333</v>
      </c>
      <c r="C451" s="16">
        <f>B451+1</f>
        <v/>
      </c>
      <c r="D451" s="17">
        <f>(C451-NOW())*24</f>
        <v/>
      </c>
      <c r="E451" s="15">
        <f>IF(N451="","STEP 1: Send WhatsApp + Email blast now (Playbook M1)",IF(N451="Bad contact","STOP: report bad contact to lead (Playbook)",IF(O451="Scheduled","DONE: scheduled via Calendly",IF(O451="","STEP 2: Check Calendly now",IF(P451="","STEP 3: Send WhatsApp nudge (Playbook M2)",IF(Q451="Scheduled","DONE: scheduled via Calendly",IF(Q451="Escalate to call","HANDED to Shyam (call queue)","STEP 4: Final Calendly check")))))))</f>
        <v/>
      </c>
      <c r="F451" s="16">
        <f>IF(N451="",B451,IF(O451="",B451+2/24,IF(AND(O451="Not yet",P451=""),B451+2/24,IF(Q451="",B451+4/24,""))))</f>
        <v/>
      </c>
      <c r="G451" s="15" t="inlineStr">
        <is>
          <t>Chetan</t>
        </is>
      </c>
      <c r="H451" s="15" t="inlineStr">
        <is>
          <t>Google</t>
        </is>
      </c>
      <c r="I451" s="15" t="inlineStr">
        <is>
          <t>Round1</t>
        </is>
      </c>
      <c r="J451" s="18" t="inlineStr">
        <is>
          <t>+91 9920264452</t>
        </is>
      </c>
      <c r="K451" s="15" t="inlineStr">
        <is>
          <t>chetan@weekday.works</t>
        </is>
      </c>
      <c r="L451" s="15" t="inlineStr">
        <is>
          <t>&lt;calendly_link&gt;</t>
        </is>
      </c>
      <c r="M451" s="15" t="inlineStr">
        <is>
          <t>Yes</t>
        </is>
      </c>
      <c r="N451" s="15" t="n"/>
      <c r="O451" s="15" t="n"/>
      <c r="P451" s="15" t="n"/>
      <c r="Q451" s="15" t="n"/>
      <c r="R451" s="15">
        <f>IF(OR(O451="Scheduled",Q451="Scheduled"),"SCHEDULED",IF(Q451="Escalate to call","ESCALATED TO CALL",IF(N451="Bad contact","BAD CONTACT",IF(N451="","NOT STARTED","IN PROGRESS"))))</f>
        <v/>
      </c>
      <c r="S451" s="15" t="n"/>
    </row>
    <row r="452">
      <c r="A452" s="15" t="inlineStr">
        <is>
          <t>REQ-0451</t>
        </is>
      </c>
      <c r="B452" s="16" t="n">
        <v>44867.82708333333</v>
      </c>
      <c r="C452" s="16">
        <f>B452+1</f>
        <v/>
      </c>
      <c r="D452" s="17">
        <f>(C452-NOW())*24</f>
        <v/>
      </c>
      <c r="E452" s="15">
        <f>IF(N452="","STEP 1: Send WhatsApp + Email blast now (Playbook M1)",IF(N452="Bad contact","STOP: report bad contact to lead (Playbook)",IF(O452="Scheduled","DONE: scheduled via Calendly",IF(O452="","STEP 2: Check Calendly now",IF(P452="","STEP 3: Send WhatsApp nudge (Playbook M2)",IF(Q452="Scheduled","DONE: scheduled via Calendly",IF(Q452="Escalate to call","HANDED to Shyam (call queue)","STEP 4: Final Calendly check")))))))</f>
        <v/>
      </c>
      <c r="F452" s="16">
        <f>IF(N452="",B452,IF(O452="",B452+2/24,IF(AND(O452="Not yet",P452=""),B452+2/24,IF(Q452="",B452+4/24,""))))</f>
        <v/>
      </c>
      <c r="G452" s="15" t="inlineStr">
        <is>
          <t>Chetan</t>
        </is>
      </c>
      <c r="H452" s="15" t="inlineStr">
        <is>
          <t>Google</t>
        </is>
      </c>
      <c r="I452" s="15" t="inlineStr">
        <is>
          <t>Round1</t>
        </is>
      </c>
      <c r="J452" s="18" t="inlineStr">
        <is>
          <t>+91 9920264452</t>
        </is>
      </c>
      <c r="K452" s="15" t="inlineStr">
        <is>
          <t>chetan@weekday.works</t>
        </is>
      </c>
      <c r="L452" s="15" t="inlineStr">
        <is>
          <t>&lt;calendly_link&gt;</t>
        </is>
      </c>
      <c r="M452" s="15" t="inlineStr">
        <is>
          <t>Yes</t>
        </is>
      </c>
      <c r="N452" s="15" t="n"/>
      <c r="O452" s="15" t="n"/>
      <c r="P452" s="15" t="n"/>
      <c r="Q452" s="15" t="n"/>
      <c r="R452" s="15">
        <f>IF(OR(O452="Scheduled",Q452="Scheduled"),"SCHEDULED",IF(Q452="Escalate to call","ESCALATED TO CALL",IF(N452="Bad contact","BAD CONTACT",IF(N452="","NOT STARTED","IN PROGRESS"))))</f>
        <v/>
      </c>
      <c r="S452" s="15" t="n"/>
    </row>
    <row r="453">
      <c r="A453" s="15" t="inlineStr">
        <is>
          <t>REQ-0452</t>
        </is>
      </c>
      <c r="B453" s="16" t="n">
        <v>44867.82708333333</v>
      </c>
      <c r="C453" s="16">
        <f>B453+1</f>
        <v/>
      </c>
      <c r="D453" s="17">
        <f>(C453-NOW())*24</f>
        <v/>
      </c>
      <c r="E453" s="15">
        <f>IF(N453="","STEP 1: Send WhatsApp + Email blast now (Playbook M1)",IF(N453="Bad contact","STOP: report bad contact to lead (Playbook)",IF(O453="Scheduled","DONE: scheduled via Calendly",IF(O453="","STEP 2: Check Calendly now",IF(P453="","STEP 3: Send WhatsApp nudge (Playbook M2)",IF(Q453="Scheduled","DONE: scheduled via Calendly",IF(Q453="Escalate to call","HANDED to Shyam (call queue)","STEP 4: Final Calendly check")))))))</f>
        <v/>
      </c>
      <c r="F453" s="16">
        <f>IF(N453="",B453,IF(O453="",B453+2/24,IF(AND(O453="Not yet",P453=""),B453+2/24,IF(Q453="",B453+4/24,""))))</f>
        <v/>
      </c>
      <c r="G453" s="15" t="inlineStr">
        <is>
          <t>Chetan</t>
        </is>
      </c>
      <c r="H453" s="15" t="inlineStr">
        <is>
          <t>Google</t>
        </is>
      </c>
      <c r="I453" s="15" t="inlineStr">
        <is>
          <t>Round1</t>
        </is>
      </c>
      <c r="J453" s="18" t="inlineStr">
        <is>
          <t>+91 9920264452</t>
        </is>
      </c>
      <c r="K453" s="15" t="inlineStr">
        <is>
          <t>chetan@weekday.works</t>
        </is>
      </c>
      <c r="L453" s="15" t="inlineStr">
        <is>
          <t>&lt;calendly_link&gt;</t>
        </is>
      </c>
      <c r="M453" s="15" t="inlineStr">
        <is>
          <t>Yes</t>
        </is>
      </c>
      <c r="N453" s="15" t="n"/>
      <c r="O453" s="15" t="n"/>
      <c r="P453" s="15" t="n"/>
      <c r="Q453" s="15" t="n"/>
      <c r="R453" s="15">
        <f>IF(OR(O453="Scheduled",Q453="Scheduled"),"SCHEDULED",IF(Q453="Escalate to call","ESCALATED TO CALL",IF(N453="Bad contact","BAD CONTACT",IF(N453="","NOT STARTED","IN PROGRESS"))))</f>
        <v/>
      </c>
      <c r="S453" s="15" t="n"/>
    </row>
    <row r="454">
      <c r="A454" s="15" t="inlineStr">
        <is>
          <t>REQ-0453</t>
        </is>
      </c>
      <c r="B454" s="16" t="n">
        <v>44867.82708333333</v>
      </c>
      <c r="C454" s="16">
        <f>B454+1</f>
        <v/>
      </c>
      <c r="D454" s="17">
        <f>(C454-NOW())*24</f>
        <v/>
      </c>
      <c r="E454" s="15">
        <f>IF(N454="","STEP 1: Send WhatsApp + Email blast now (Playbook M1)",IF(N454="Bad contact","STOP: report bad contact to lead (Playbook)",IF(O454="Scheduled","DONE: scheduled via Calendly",IF(O454="","STEP 2: Check Calendly now",IF(P454="","STEP 3: Send WhatsApp nudge (Playbook M2)",IF(Q454="Scheduled","DONE: scheduled via Calendly",IF(Q454="Escalate to call","HANDED to Shyam (call queue)","STEP 4: Final Calendly check")))))))</f>
        <v/>
      </c>
      <c r="F454" s="16">
        <f>IF(N454="",B454,IF(O454="",B454+2/24,IF(AND(O454="Not yet",P454=""),B454+2/24,IF(Q454="",B454+4/24,""))))</f>
        <v/>
      </c>
      <c r="G454" s="15" t="inlineStr">
        <is>
          <t>Chetan</t>
        </is>
      </c>
      <c r="H454" s="15" t="inlineStr">
        <is>
          <t>Google</t>
        </is>
      </c>
      <c r="I454" s="15" t="inlineStr">
        <is>
          <t>Round1</t>
        </is>
      </c>
      <c r="J454" s="18" t="inlineStr">
        <is>
          <t>+91 9920264452</t>
        </is>
      </c>
      <c r="K454" s="15" t="inlineStr">
        <is>
          <t>chetan@weekday.works</t>
        </is>
      </c>
      <c r="L454" s="15" t="inlineStr">
        <is>
          <t>&lt;calendly_link&gt;</t>
        </is>
      </c>
      <c r="M454" s="15" t="inlineStr">
        <is>
          <t>Yes</t>
        </is>
      </c>
      <c r="N454" s="15" t="n"/>
      <c r="O454" s="15" t="n"/>
      <c r="P454" s="15" t="n"/>
      <c r="Q454" s="15" t="n"/>
      <c r="R454" s="15">
        <f>IF(OR(O454="Scheduled",Q454="Scheduled"),"SCHEDULED",IF(Q454="Escalate to call","ESCALATED TO CALL",IF(N454="Bad contact","BAD CONTACT",IF(N454="","NOT STARTED","IN PROGRESS"))))</f>
        <v/>
      </c>
      <c r="S454" s="15" t="n"/>
    </row>
    <row r="455">
      <c r="A455" s="15" t="inlineStr">
        <is>
          <t>REQ-0454</t>
        </is>
      </c>
      <c r="B455" s="16" t="n">
        <v>44867.82708333333</v>
      </c>
      <c r="C455" s="16">
        <f>B455+1</f>
        <v/>
      </c>
      <c r="D455" s="17">
        <f>(C455-NOW())*24</f>
        <v/>
      </c>
      <c r="E455" s="15">
        <f>IF(N455="","STEP 1: Send WhatsApp + Email blast now (Playbook M1)",IF(N455="Bad contact","STOP: report bad contact to lead (Playbook)",IF(O455="Scheduled","DONE: scheduled via Calendly",IF(O455="","STEP 2: Check Calendly now",IF(P455="","STEP 3: Send WhatsApp nudge (Playbook M2)",IF(Q455="Scheduled","DONE: scheduled via Calendly",IF(Q455="Escalate to call","HANDED to Shyam (call queue)","STEP 4: Final Calendly check")))))))</f>
        <v/>
      </c>
      <c r="F455" s="16">
        <f>IF(N455="",B455,IF(O455="",B455+2/24,IF(AND(O455="Not yet",P455=""),B455+2/24,IF(Q455="",B455+4/24,""))))</f>
        <v/>
      </c>
      <c r="G455" s="15" t="inlineStr">
        <is>
          <t>Chetan</t>
        </is>
      </c>
      <c r="H455" s="15" t="inlineStr">
        <is>
          <t>Google</t>
        </is>
      </c>
      <c r="I455" s="15" t="inlineStr">
        <is>
          <t>Round1</t>
        </is>
      </c>
      <c r="J455" s="18" t="inlineStr">
        <is>
          <t>+91 9920264452</t>
        </is>
      </c>
      <c r="K455" s="15" t="inlineStr">
        <is>
          <t>chetan@weekday.works</t>
        </is>
      </c>
      <c r="L455" s="15" t="inlineStr">
        <is>
          <t>&lt;calendly_link&gt;</t>
        </is>
      </c>
      <c r="M455" s="15" t="inlineStr">
        <is>
          <t>Yes</t>
        </is>
      </c>
      <c r="N455" s="15" t="n"/>
      <c r="O455" s="15" t="n"/>
      <c r="P455" s="15" t="n"/>
      <c r="Q455" s="15" t="n"/>
      <c r="R455" s="15">
        <f>IF(OR(O455="Scheduled",Q455="Scheduled"),"SCHEDULED",IF(Q455="Escalate to call","ESCALATED TO CALL",IF(N455="Bad contact","BAD CONTACT",IF(N455="","NOT STARTED","IN PROGRESS"))))</f>
        <v/>
      </c>
      <c r="S455" s="15" t="n"/>
    </row>
    <row r="456">
      <c r="A456" s="15" t="inlineStr">
        <is>
          <t>REQ-0455</t>
        </is>
      </c>
      <c r="B456" s="16" t="n">
        <v>44867.82708333333</v>
      </c>
      <c r="C456" s="16">
        <f>B456+1</f>
        <v/>
      </c>
      <c r="D456" s="17">
        <f>(C456-NOW())*24</f>
        <v/>
      </c>
      <c r="E456" s="15">
        <f>IF(N456="","STEP 1: Send WhatsApp + Email blast now (Playbook M1)",IF(N456="Bad contact","STOP: report bad contact to lead (Playbook)",IF(O456="Scheduled","DONE: scheduled via Calendly",IF(O456="","STEP 2: Check Calendly now",IF(P456="","STEP 3: Send WhatsApp nudge (Playbook M2)",IF(Q456="Scheduled","DONE: scheduled via Calendly",IF(Q456="Escalate to call","HANDED to Shyam (call queue)","STEP 4: Final Calendly check")))))))</f>
        <v/>
      </c>
      <c r="F456" s="16">
        <f>IF(N456="",B456,IF(O456="",B456+2/24,IF(AND(O456="Not yet",P456=""),B456+2/24,IF(Q456="",B456+4/24,""))))</f>
        <v/>
      </c>
      <c r="G456" s="15" t="inlineStr">
        <is>
          <t>Chetan</t>
        </is>
      </c>
      <c r="H456" s="15" t="inlineStr">
        <is>
          <t>Google</t>
        </is>
      </c>
      <c r="I456" s="15" t="inlineStr">
        <is>
          <t>Round1</t>
        </is>
      </c>
      <c r="J456" s="18" t="inlineStr">
        <is>
          <t>+91 9920264452</t>
        </is>
      </c>
      <c r="K456" s="15" t="inlineStr">
        <is>
          <t>chetan@weekday.works</t>
        </is>
      </c>
      <c r="L456" s="15" t="inlineStr">
        <is>
          <t>&lt;calendly_link&gt;</t>
        </is>
      </c>
      <c r="M456" s="15" t="inlineStr">
        <is>
          <t>Yes</t>
        </is>
      </c>
      <c r="N456" s="15" t="n"/>
      <c r="O456" s="15" t="n"/>
      <c r="P456" s="15" t="n"/>
      <c r="Q456" s="15" t="n"/>
      <c r="R456" s="15">
        <f>IF(OR(O456="Scheduled",Q456="Scheduled"),"SCHEDULED",IF(Q456="Escalate to call","ESCALATED TO CALL",IF(N456="Bad contact","BAD CONTACT",IF(N456="","NOT STARTED","IN PROGRESS"))))</f>
        <v/>
      </c>
      <c r="S456" s="15" t="n"/>
    </row>
    <row r="457">
      <c r="A457" s="15" t="inlineStr">
        <is>
          <t>REQ-0456</t>
        </is>
      </c>
      <c r="B457" s="16" t="n">
        <v>44867.82708333333</v>
      </c>
      <c r="C457" s="16">
        <f>B457+1</f>
        <v/>
      </c>
      <c r="D457" s="17">
        <f>(C457-NOW())*24</f>
        <v/>
      </c>
      <c r="E457" s="15">
        <f>IF(N457="","STEP 1: Send WhatsApp + Email blast now (Playbook M1)",IF(N457="Bad contact","STOP: report bad contact to lead (Playbook)",IF(O457="Scheduled","DONE: scheduled via Calendly",IF(O457="","STEP 2: Check Calendly now",IF(P457="","STEP 3: Send WhatsApp nudge (Playbook M2)",IF(Q457="Scheduled","DONE: scheduled via Calendly",IF(Q457="Escalate to call","HANDED to Shyam (call queue)","STEP 4: Final Calendly check")))))))</f>
        <v/>
      </c>
      <c r="F457" s="16">
        <f>IF(N457="",B457,IF(O457="",B457+2/24,IF(AND(O457="Not yet",P457=""),B457+2/24,IF(Q457="",B457+4/24,""))))</f>
        <v/>
      </c>
      <c r="G457" s="15" t="inlineStr">
        <is>
          <t>Chetan</t>
        </is>
      </c>
      <c r="H457" s="15" t="inlineStr">
        <is>
          <t>Google</t>
        </is>
      </c>
      <c r="I457" s="15" t="inlineStr">
        <is>
          <t>Round1</t>
        </is>
      </c>
      <c r="J457" s="18" t="inlineStr">
        <is>
          <t>+91 9920264452</t>
        </is>
      </c>
      <c r="K457" s="15" t="inlineStr">
        <is>
          <t>chetan@weekday.works</t>
        </is>
      </c>
      <c r="L457" s="15" t="inlineStr">
        <is>
          <t>&lt;calendly_link&gt;</t>
        </is>
      </c>
      <c r="M457" s="15" t="inlineStr">
        <is>
          <t>Yes</t>
        </is>
      </c>
      <c r="N457" s="15" t="n"/>
      <c r="O457" s="15" t="n"/>
      <c r="P457" s="15" t="n"/>
      <c r="Q457" s="15" t="n"/>
      <c r="R457" s="15">
        <f>IF(OR(O457="Scheduled",Q457="Scheduled"),"SCHEDULED",IF(Q457="Escalate to call","ESCALATED TO CALL",IF(N457="Bad contact","BAD CONTACT",IF(N457="","NOT STARTED","IN PROGRESS"))))</f>
        <v/>
      </c>
      <c r="S457" s="15" t="n"/>
    </row>
    <row r="458">
      <c r="A458" s="15" t="inlineStr">
        <is>
          <t>REQ-0457</t>
        </is>
      </c>
      <c r="B458" s="16" t="n">
        <v>44867.82708333333</v>
      </c>
      <c r="C458" s="16">
        <f>B458+1</f>
        <v/>
      </c>
      <c r="D458" s="17">
        <f>(C458-NOW())*24</f>
        <v/>
      </c>
      <c r="E458" s="15">
        <f>IF(N458="","STEP 1: Send WhatsApp + Email blast now (Playbook M1)",IF(N458="Bad contact","STOP: report bad contact to lead (Playbook)",IF(O458="Scheduled","DONE: scheduled via Calendly",IF(O458="","STEP 2: Check Calendly now",IF(P458="","STEP 3: Send WhatsApp nudge (Playbook M2)",IF(Q458="Scheduled","DONE: scheduled via Calendly",IF(Q458="Escalate to call","HANDED to Shyam (call queue)","STEP 4: Final Calendly check")))))))</f>
        <v/>
      </c>
      <c r="F458" s="16">
        <f>IF(N458="",B458,IF(O458="",B458+2/24,IF(AND(O458="Not yet",P458=""),B458+2/24,IF(Q458="",B458+4/24,""))))</f>
        <v/>
      </c>
      <c r="G458" s="15" t="inlineStr">
        <is>
          <t>Chetan</t>
        </is>
      </c>
      <c r="H458" s="15" t="inlineStr">
        <is>
          <t>Google</t>
        </is>
      </c>
      <c r="I458" s="15" t="inlineStr">
        <is>
          <t>Round1</t>
        </is>
      </c>
      <c r="J458" s="18" t="inlineStr">
        <is>
          <t>+91 9920264452</t>
        </is>
      </c>
      <c r="K458" s="15" t="inlineStr">
        <is>
          <t>chetan@weekday.works</t>
        </is>
      </c>
      <c r="L458" s="15" t="inlineStr">
        <is>
          <t>&lt;calendly_link&gt;</t>
        </is>
      </c>
      <c r="M458" s="15" t="inlineStr">
        <is>
          <t>Yes</t>
        </is>
      </c>
      <c r="N458" s="15" t="n"/>
      <c r="O458" s="15" t="n"/>
      <c r="P458" s="15" t="n"/>
      <c r="Q458" s="15" t="n"/>
      <c r="R458" s="15">
        <f>IF(OR(O458="Scheduled",Q458="Scheduled"),"SCHEDULED",IF(Q458="Escalate to call","ESCALATED TO CALL",IF(N458="Bad contact","BAD CONTACT",IF(N458="","NOT STARTED","IN PROGRESS"))))</f>
        <v/>
      </c>
      <c r="S458" s="15" t="n"/>
    </row>
    <row r="459">
      <c r="A459" s="15" t="inlineStr">
        <is>
          <t>REQ-0458</t>
        </is>
      </c>
      <c r="B459" s="16" t="n">
        <v>44867.82708333333</v>
      </c>
      <c r="C459" s="16">
        <f>B459+1</f>
        <v/>
      </c>
      <c r="D459" s="17">
        <f>(C459-NOW())*24</f>
        <v/>
      </c>
      <c r="E459" s="15">
        <f>IF(N459="","STEP 1: Send WhatsApp + Email blast now (Playbook M1)",IF(N459="Bad contact","STOP: report bad contact to lead (Playbook)",IF(O459="Scheduled","DONE: scheduled via Calendly",IF(O459="","STEP 2: Check Calendly now",IF(P459="","STEP 3: Send WhatsApp nudge (Playbook M2)",IF(Q459="Scheduled","DONE: scheduled via Calendly",IF(Q459="Escalate to call","HANDED to Shyam (call queue)","STEP 4: Final Calendly check")))))))</f>
        <v/>
      </c>
      <c r="F459" s="16">
        <f>IF(N459="",B459,IF(O459="",B459+2/24,IF(AND(O459="Not yet",P459=""),B459+2/24,IF(Q459="",B459+4/24,""))))</f>
        <v/>
      </c>
      <c r="G459" s="15" t="inlineStr">
        <is>
          <t>Chetan</t>
        </is>
      </c>
      <c r="H459" s="15" t="inlineStr">
        <is>
          <t>Google</t>
        </is>
      </c>
      <c r="I459" s="15" t="inlineStr">
        <is>
          <t>Round1</t>
        </is>
      </c>
      <c r="J459" s="18" t="inlineStr">
        <is>
          <t>+91 9920264452</t>
        </is>
      </c>
      <c r="K459" s="15" t="inlineStr">
        <is>
          <t>chetan@weekday.works</t>
        </is>
      </c>
      <c r="L459" s="15" t="inlineStr">
        <is>
          <t>&lt;calendly_link&gt;</t>
        </is>
      </c>
      <c r="M459" s="15" t="inlineStr">
        <is>
          <t>Yes</t>
        </is>
      </c>
      <c r="N459" s="15" t="n"/>
      <c r="O459" s="15" t="n"/>
      <c r="P459" s="15" t="n"/>
      <c r="Q459" s="15" t="n"/>
      <c r="R459" s="15">
        <f>IF(OR(O459="Scheduled",Q459="Scheduled"),"SCHEDULED",IF(Q459="Escalate to call","ESCALATED TO CALL",IF(N459="Bad contact","BAD CONTACT",IF(N459="","NOT STARTED","IN PROGRESS"))))</f>
        <v/>
      </c>
      <c r="S459" s="15" t="n"/>
    </row>
    <row r="460">
      <c r="A460" s="15" t="inlineStr">
        <is>
          <t>REQ-0459</t>
        </is>
      </c>
      <c r="B460" s="16" t="n">
        <v>44867.82708333333</v>
      </c>
      <c r="C460" s="16">
        <f>B460+1</f>
        <v/>
      </c>
      <c r="D460" s="17">
        <f>(C460-NOW())*24</f>
        <v/>
      </c>
      <c r="E460" s="15">
        <f>IF(N460="","STEP 1: Send WhatsApp + Email blast now (Playbook M1)",IF(N460="Bad contact","STOP: report bad contact to lead (Playbook)",IF(O460="Scheduled","DONE: scheduled via Calendly",IF(O460="","STEP 2: Check Calendly now",IF(P460="","STEP 3: Send WhatsApp nudge (Playbook M2)",IF(Q460="Scheduled","DONE: scheduled via Calendly",IF(Q460="Escalate to call","HANDED to Shyam (call queue)","STEP 4: Final Calendly check")))))))</f>
        <v/>
      </c>
      <c r="F460" s="16">
        <f>IF(N460="",B460,IF(O460="",B460+2/24,IF(AND(O460="Not yet",P460=""),B460+2/24,IF(Q460="",B460+4/24,""))))</f>
        <v/>
      </c>
      <c r="G460" s="15" t="inlineStr">
        <is>
          <t>Chetan</t>
        </is>
      </c>
      <c r="H460" s="15" t="inlineStr">
        <is>
          <t>Google</t>
        </is>
      </c>
      <c r="I460" s="15" t="inlineStr">
        <is>
          <t>Round1</t>
        </is>
      </c>
      <c r="J460" s="18" t="inlineStr">
        <is>
          <t>+91 9920264452</t>
        </is>
      </c>
      <c r="K460" s="15" t="inlineStr">
        <is>
          <t>chetan@weekday.works</t>
        </is>
      </c>
      <c r="L460" s="15" t="inlineStr">
        <is>
          <t>&lt;calendly_link&gt;</t>
        </is>
      </c>
      <c r="M460" s="15" t="inlineStr">
        <is>
          <t>Yes</t>
        </is>
      </c>
      <c r="N460" s="15" t="n"/>
      <c r="O460" s="15" t="n"/>
      <c r="P460" s="15" t="n"/>
      <c r="Q460" s="15" t="n"/>
      <c r="R460" s="15">
        <f>IF(OR(O460="Scheduled",Q460="Scheduled"),"SCHEDULED",IF(Q460="Escalate to call","ESCALATED TO CALL",IF(N460="Bad contact","BAD CONTACT",IF(N460="","NOT STARTED","IN PROGRESS"))))</f>
        <v/>
      </c>
      <c r="S460" s="15" t="n"/>
    </row>
    <row r="461">
      <c r="A461" s="15" t="inlineStr">
        <is>
          <t>REQ-0460</t>
        </is>
      </c>
      <c r="B461" s="16" t="n">
        <v>44867.82708333333</v>
      </c>
      <c r="C461" s="16">
        <f>B461+1</f>
        <v/>
      </c>
      <c r="D461" s="17">
        <f>(C461-NOW())*24</f>
        <v/>
      </c>
      <c r="E461" s="15">
        <f>IF(N461="","STEP 1: Send WhatsApp + Email blast now (Playbook M1)",IF(N461="Bad contact","STOP: report bad contact to lead (Playbook)",IF(O461="Scheduled","DONE: scheduled via Calendly",IF(O461="","STEP 2: Check Calendly now",IF(P461="","STEP 3: Send WhatsApp nudge (Playbook M2)",IF(Q461="Scheduled","DONE: scheduled via Calendly",IF(Q461="Escalate to call","HANDED to Shyam (call queue)","STEP 4: Final Calendly check")))))))</f>
        <v/>
      </c>
      <c r="F461" s="16">
        <f>IF(N461="",B461,IF(O461="",B461+2/24,IF(AND(O461="Not yet",P461=""),B461+2/24,IF(Q461="",B461+4/24,""))))</f>
        <v/>
      </c>
      <c r="G461" s="15" t="inlineStr">
        <is>
          <t>Chetan</t>
        </is>
      </c>
      <c r="H461" s="15" t="inlineStr">
        <is>
          <t>Google</t>
        </is>
      </c>
      <c r="I461" s="15" t="inlineStr">
        <is>
          <t>Round1</t>
        </is>
      </c>
      <c r="J461" s="18" t="inlineStr">
        <is>
          <t>+91 9920264452</t>
        </is>
      </c>
      <c r="K461" s="15" t="inlineStr">
        <is>
          <t>chetan@weekday.works</t>
        </is>
      </c>
      <c r="L461" s="15" t="inlineStr">
        <is>
          <t>&lt;calendly_link&gt;</t>
        </is>
      </c>
      <c r="M461" s="15" t="inlineStr">
        <is>
          <t>Yes</t>
        </is>
      </c>
      <c r="N461" s="15" t="n"/>
      <c r="O461" s="15" t="n"/>
      <c r="P461" s="15" t="n"/>
      <c r="Q461" s="15" t="n"/>
      <c r="R461" s="15">
        <f>IF(OR(O461="Scheduled",Q461="Scheduled"),"SCHEDULED",IF(Q461="Escalate to call","ESCALATED TO CALL",IF(N461="Bad contact","BAD CONTACT",IF(N461="","NOT STARTED","IN PROGRESS"))))</f>
        <v/>
      </c>
      <c r="S461" s="15" t="n"/>
    </row>
    <row r="462">
      <c r="A462" s="15" t="inlineStr">
        <is>
          <t>REQ-0461</t>
        </is>
      </c>
      <c r="B462" s="16" t="n">
        <v>44867.82708333333</v>
      </c>
      <c r="C462" s="16">
        <f>B462+1</f>
        <v/>
      </c>
      <c r="D462" s="17">
        <f>(C462-NOW())*24</f>
        <v/>
      </c>
      <c r="E462" s="15">
        <f>IF(N462="","STEP 1: Send WhatsApp + Email blast now (Playbook M1)",IF(N462="Bad contact","STOP: report bad contact to lead (Playbook)",IF(O462="Scheduled","DONE: scheduled via Calendly",IF(O462="","STEP 2: Check Calendly now",IF(P462="","STEP 3: Send WhatsApp nudge (Playbook M2)",IF(Q462="Scheduled","DONE: scheduled via Calendly",IF(Q462="Escalate to call","HANDED to Shyam (call queue)","STEP 4: Final Calendly check")))))))</f>
        <v/>
      </c>
      <c r="F462" s="16">
        <f>IF(N462="",B462,IF(O462="",B462+2/24,IF(AND(O462="Not yet",P462=""),B462+2/24,IF(Q462="",B462+4/24,""))))</f>
        <v/>
      </c>
      <c r="G462" s="15" t="inlineStr">
        <is>
          <t>Chetan</t>
        </is>
      </c>
      <c r="H462" s="15" t="inlineStr">
        <is>
          <t>Google</t>
        </is>
      </c>
      <c r="I462" s="15" t="inlineStr">
        <is>
          <t>Round1</t>
        </is>
      </c>
      <c r="J462" s="18" t="inlineStr">
        <is>
          <t>+91 9920264452</t>
        </is>
      </c>
      <c r="K462" s="15" t="inlineStr">
        <is>
          <t>chetan@weekday.works</t>
        </is>
      </c>
      <c r="L462" s="15" t="inlineStr">
        <is>
          <t>&lt;calendly_link&gt;</t>
        </is>
      </c>
      <c r="M462" s="15" t="inlineStr">
        <is>
          <t>Yes</t>
        </is>
      </c>
      <c r="N462" s="15" t="n"/>
      <c r="O462" s="15" t="n"/>
      <c r="P462" s="15" t="n"/>
      <c r="Q462" s="15" t="n"/>
      <c r="R462" s="15">
        <f>IF(OR(O462="Scheduled",Q462="Scheduled"),"SCHEDULED",IF(Q462="Escalate to call","ESCALATED TO CALL",IF(N462="Bad contact","BAD CONTACT",IF(N462="","NOT STARTED","IN PROGRESS"))))</f>
        <v/>
      </c>
      <c r="S462" s="15" t="n"/>
    </row>
    <row r="463">
      <c r="A463" s="15" t="inlineStr">
        <is>
          <t>REQ-0462</t>
        </is>
      </c>
      <c r="B463" s="16" t="n">
        <v>44867.82708333333</v>
      </c>
      <c r="C463" s="16">
        <f>B463+1</f>
        <v/>
      </c>
      <c r="D463" s="17">
        <f>(C463-NOW())*24</f>
        <v/>
      </c>
      <c r="E463" s="15">
        <f>IF(N463="","STEP 1: Send WhatsApp + Email blast now (Playbook M1)",IF(N463="Bad contact","STOP: report bad contact to lead (Playbook)",IF(O463="Scheduled","DONE: scheduled via Calendly",IF(O463="","STEP 2: Check Calendly now",IF(P463="","STEP 3: Send WhatsApp nudge (Playbook M2)",IF(Q463="Scheduled","DONE: scheduled via Calendly",IF(Q463="Escalate to call","HANDED to Shyam (call queue)","STEP 4: Final Calendly check")))))))</f>
        <v/>
      </c>
      <c r="F463" s="16">
        <f>IF(N463="",B463,IF(O463="",B463+2/24,IF(AND(O463="Not yet",P463=""),B463+2/24,IF(Q463="",B463+4/24,""))))</f>
        <v/>
      </c>
      <c r="G463" s="15" t="inlineStr">
        <is>
          <t>Chetan</t>
        </is>
      </c>
      <c r="H463" s="15" t="inlineStr">
        <is>
          <t>Google</t>
        </is>
      </c>
      <c r="I463" s="15" t="inlineStr">
        <is>
          <t>Round1</t>
        </is>
      </c>
      <c r="J463" s="18" t="inlineStr">
        <is>
          <t>+91 9920264452</t>
        </is>
      </c>
      <c r="K463" s="15" t="inlineStr">
        <is>
          <t>chetan@weekday.works</t>
        </is>
      </c>
      <c r="L463" s="15" t="inlineStr">
        <is>
          <t>&lt;calendly_link&gt;</t>
        </is>
      </c>
      <c r="M463" s="15" t="inlineStr">
        <is>
          <t>Yes</t>
        </is>
      </c>
      <c r="N463" s="15" t="n"/>
      <c r="O463" s="15" t="n"/>
      <c r="P463" s="15" t="n"/>
      <c r="Q463" s="15" t="n"/>
      <c r="R463" s="15">
        <f>IF(OR(O463="Scheduled",Q463="Scheduled"),"SCHEDULED",IF(Q463="Escalate to call","ESCALATED TO CALL",IF(N463="Bad contact","BAD CONTACT",IF(N463="","NOT STARTED","IN PROGRESS"))))</f>
        <v/>
      </c>
      <c r="S463" s="15" t="n"/>
    </row>
    <row r="464">
      <c r="A464" s="15" t="inlineStr">
        <is>
          <t>REQ-0463</t>
        </is>
      </c>
      <c r="B464" s="16" t="n">
        <v>44867.82708333333</v>
      </c>
      <c r="C464" s="16">
        <f>B464+1</f>
        <v/>
      </c>
      <c r="D464" s="17">
        <f>(C464-NOW())*24</f>
        <v/>
      </c>
      <c r="E464" s="15">
        <f>IF(N464="","STEP 1: Send WhatsApp + Email blast now (Playbook M1)",IF(N464="Bad contact","STOP: report bad contact to lead (Playbook)",IF(O464="Scheduled","DONE: scheduled via Calendly",IF(O464="","STEP 2: Check Calendly now",IF(P464="","STEP 3: Send WhatsApp nudge (Playbook M2)",IF(Q464="Scheduled","DONE: scheduled via Calendly",IF(Q464="Escalate to call","HANDED to Shyam (call queue)","STEP 4: Final Calendly check")))))))</f>
        <v/>
      </c>
      <c r="F464" s="16">
        <f>IF(N464="",B464,IF(O464="",B464+2/24,IF(AND(O464="Not yet",P464=""),B464+2/24,IF(Q464="",B464+4/24,""))))</f>
        <v/>
      </c>
      <c r="G464" s="15" t="inlineStr">
        <is>
          <t>Chetan</t>
        </is>
      </c>
      <c r="H464" s="15" t="inlineStr">
        <is>
          <t>Google</t>
        </is>
      </c>
      <c r="I464" s="15" t="inlineStr">
        <is>
          <t>Round1</t>
        </is>
      </c>
      <c r="J464" s="18" t="inlineStr">
        <is>
          <t>+91 9920264452</t>
        </is>
      </c>
      <c r="K464" s="15" t="inlineStr">
        <is>
          <t>chetan@weekday.works</t>
        </is>
      </c>
      <c r="L464" s="15" t="inlineStr">
        <is>
          <t>&lt;calendly_link&gt;</t>
        </is>
      </c>
      <c r="M464" s="15" t="inlineStr">
        <is>
          <t>Yes</t>
        </is>
      </c>
      <c r="N464" s="15" t="n"/>
      <c r="O464" s="15" t="n"/>
      <c r="P464" s="15" t="n"/>
      <c r="Q464" s="15" t="n"/>
      <c r="R464" s="15">
        <f>IF(OR(O464="Scheduled",Q464="Scheduled"),"SCHEDULED",IF(Q464="Escalate to call","ESCALATED TO CALL",IF(N464="Bad contact","BAD CONTACT",IF(N464="","NOT STARTED","IN PROGRESS"))))</f>
        <v/>
      </c>
      <c r="S464" s="15" t="n"/>
    </row>
    <row r="465">
      <c r="A465" s="15" t="inlineStr">
        <is>
          <t>REQ-0464</t>
        </is>
      </c>
      <c r="B465" s="16" t="n">
        <v>44867.82708333333</v>
      </c>
      <c r="C465" s="16">
        <f>B465+1</f>
        <v/>
      </c>
      <c r="D465" s="17">
        <f>(C465-NOW())*24</f>
        <v/>
      </c>
      <c r="E465" s="15">
        <f>IF(N465="","STEP 1: Send WhatsApp + Email blast now (Playbook M1)",IF(N465="Bad contact","STOP: report bad contact to lead (Playbook)",IF(O465="Scheduled","DONE: scheduled via Calendly",IF(O465="","STEP 2: Check Calendly now",IF(P465="","STEP 3: Send WhatsApp nudge (Playbook M2)",IF(Q465="Scheduled","DONE: scheduled via Calendly",IF(Q465="Escalate to call","HANDED to Shyam (call queue)","STEP 4: Final Calendly check")))))))</f>
        <v/>
      </c>
      <c r="F465" s="16">
        <f>IF(N465="",B465,IF(O465="",B465+2/24,IF(AND(O465="Not yet",P465=""),B465+2/24,IF(Q465="",B465+4/24,""))))</f>
        <v/>
      </c>
      <c r="G465" s="15" t="inlineStr">
        <is>
          <t>Chetan</t>
        </is>
      </c>
      <c r="H465" s="15" t="inlineStr">
        <is>
          <t>Google</t>
        </is>
      </c>
      <c r="I465" s="15" t="inlineStr">
        <is>
          <t>Round1</t>
        </is>
      </c>
      <c r="J465" s="18" t="inlineStr">
        <is>
          <t>+91 9920264452</t>
        </is>
      </c>
      <c r="K465" s="15" t="inlineStr">
        <is>
          <t>chetan@weekday.works</t>
        </is>
      </c>
      <c r="L465" s="15" t="inlineStr">
        <is>
          <t>&lt;calendly_link&gt;</t>
        </is>
      </c>
      <c r="M465" s="15" t="inlineStr">
        <is>
          <t>Yes</t>
        </is>
      </c>
      <c r="N465" s="15" t="n"/>
      <c r="O465" s="15" t="n"/>
      <c r="P465" s="15" t="n"/>
      <c r="Q465" s="15" t="n"/>
      <c r="R465" s="15">
        <f>IF(OR(O465="Scheduled",Q465="Scheduled"),"SCHEDULED",IF(Q465="Escalate to call","ESCALATED TO CALL",IF(N465="Bad contact","BAD CONTACT",IF(N465="","NOT STARTED","IN PROGRESS"))))</f>
        <v/>
      </c>
      <c r="S465" s="15" t="n"/>
    </row>
    <row r="466">
      <c r="A466" s="15" t="inlineStr">
        <is>
          <t>REQ-0465</t>
        </is>
      </c>
      <c r="B466" s="16" t="n">
        <v>44867.82708333333</v>
      </c>
      <c r="C466" s="16">
        <f>B466+1</f>
        <v/>
      </c>
      <c r="D466" s="17">
        <f>(C466-NOW())*24</f>
        <v/>
      </c>
      <c r="E466" s="15">
        <f>IF(N466="","STEP 1: Send WhatsApp + Email blast now (Playbook M1)",IF(N466="Bad contact","STOP: report bad contact to lead (Playbook)",IF(O466="Scheduled","DONE: scheduled via Calendly",IF(O466="","STEP 2: Check Calendly now",IF(P466="","STEP 3: Send WhatsApp nudge (Playbook M2)",IF(Q466="Scheduled","DONE: scheduled via Calendly",IF(Q466="Escalate to call","HANDED to Shyam (call queue)","STEP 4: Final Calendly check")))))))</f>
        <v/>
      </c>
      <c r="F466" s="16">
        <f>IF(N466="",B466,IF(O466="",B466+2/24,IF(AND(O466="Not yet",P466=""),B466+2/24,IF(Q466="",B466+4/24,""))))</f>
        <v/>
      </c>
      <c r="G466" s="15" t="inlineStr">
        <is>
          <t>Chetan</t>
        </is>
      </c>
      <c r="H466" s="15" t="inlineStr">
        <is>
          <t>Google</t>
        </is>
      </c>
      <c r="I466" s="15" t="inlineStr">
        <is>
          <t>Round1</t>
        </is>
      </c>
      <c r="J466" s="18" t="inlineStr">
        <is>
          <t>+91 9920264452</t>
        </is>
      </c>
      <c r="K466" s="15" t="inlineStr">
        <is>
          <t>chetan@weekday.works</t>
        </is>
      </c>
      <c r="L466" s="15" t="inlineStr">
        <is>
          <t>&lt;calendly_link&gt;</t>
        </is>
      </c>
      <c r="M466" s="15" t="inlineStr">
        <is>
          <t>Yes</t>
        </is>
      </c>
      <c r="N466" s="15" t="n"/>
      <c r="O466" s="15" t="n"/>
      <c r="P466" s="15" t="n"/>
      <c r="Q466" s="15" t="n"/>
      <c r="R466" s="15">
        <f>IF(OR(O466="Scheduled",Q466="Scheduled"),"SCHEDULED",IF(Q466="Escalate to call","ESCALATED TO CALL",IF(N466="Bad contact","BAD CONTACT",IF(N466="","NOT STARTED","IN PROGRESS"))))</f>
        <v/>
      </c>
      <c r="S466" s="15" t="n"/>
    </row>
    <row r="467">
      <c r="A467" s="15" t="inlineStr">
        <is>
          <t>REQ-0466</t>
        </is>
      </c>
      <c r="B467" s="16" t="n">
        <v>44867.82708333333</v>
      </c>
      <c r="C467" s="16">
        <f>B467+1</f>
        <v/>
      </c>
      <c r="D467" s="17">
        <f>(C467-NOW())*24</f>
        <v/>
      </c>
      <c r="E467" s="15">
        <f>IF(N467="","STEP 1: Send WhatsApp + Email blast now (Playbook M1)",IF(N467="Bad contact","STOP: report bad contact to lead (Playbook)",IF(O467="Scheduled","DONE: scheduled via Calendly",IF(O467="","STEP 2: Check Calendly now",IF(P467="","STEP 3: Send WhatsApp nudge (Playbook M2)",IF(Q467="Scheduled","DONE: scheduled via Calendly",IF(Q467="Escalate to call","HANDED to Shyam (call queue)","STEP 4: Final Calendly check")))))))</f>
        <v/>
      </c>
      <c r="F467" s="16">
        <f>IF(N467="",B467,IF(O467="",B467+2/24,IF(AND(O467="Not yet",P467=""),B467+2/24,IF(Q467="",B467+4/24,""))))</f>
        <v/>
      </c>
      <c r="G467" s="15" t="inlineStr">
        <is>
          <t>Chetan</t>
        </is>
      </c>
      <c r="H467" s="15" t="inlineStr">
        <is>
          <t>Google</t>
        </is>
      </c>
      <c r="I467" s="15" t="inlineStr">
        <is>
          <t>Round1</t>
        </is>
      </c>
      <c r="J467" s="18" t="inlineStr">
        <is>
          <t>+91 9920264452</t>
        </is>
      </c>
      <c r="K467" s="15" t="inlineStr">
        <is>
          <t>chetan@weekday.works</t>
        </is>
      </c>
      <c r="L467" s="15" t="inlineStr">
        <is>
          <t>&lt;calendly_link&gt;</t>
        </is>
      </c>
      <c r="M467" s="15" t="inlineStr">
        <is>
          <t>Yes</t>
        </is>
      </c>
      <c r="N467" s="15" t="n"/>
      <c r="O467" s="15" t="n"/>
      <c r="P467" s="15" t="n"/>
      <c r="Q467" s="15" t="n"/>
      <c r="R467" s="15">
        <f>IF(OR(O467="Scheduled",Q467="Scheduled"),"SCHEDULED",IF(Q467="Escalate to call","ESCALATED TO CALL",IF(N467="Bad contact","BAD CONTACT",IF(N467="","NOT STARTED","IN PROGRESS"))))</f>
        <v/>
      </c>
      <c r="S467" s="15" t="n"/>
    </row>
    <row r="468">
      <c r="A468" s="15" t="inlineStr">
        <is>
          <t>REQ-0467</t>
        </is>
      </c>
      <c r="B468" s="16" t="n">
        <v>44867.82708333333</v>
      </c>
      <c r="C468" s="16">
        <f>B468+1</f>
        <v/>
      </c>
      <c r="D468" s="17">
        <f>(C468-NOW())*24</f>
        <v/>
      </c>
      <c r="E468" s="15">
        <f>IF(N468="","STEP 1: Send WhatsApp + Email blast now (Playbook M1)",IF(N468="Bad contact","STOP: report bad contact to lead (Playbook)",IF(O468="Scheduled","DONE: scheduled via Calendly",IF(O468="","STEP 2: Check Calendly now",IF(P468="","STEP 3: Send WhatsApp nudge (Playbook M2)",IF(Q468="Scheduled","DONE: scheduled via Calendly",IF(Q468="Escalate to call","HANDED to Shyam (call queue)","STEP 4: Final Calendly check")))))))</f>
        <v/>
      </c>
      <c r="F468" s="16">
        <f>IF(N468="",B468,IF(O468="",B468+2/24,IF(AND(O468="Not yet",P468=""),B468+2/24,IF(Q468="",B468+4/24,""))))</f>
        <v/>
      </c>
      <c r="G468" s="15" t="inlineStr">
        <is>
          <t>Chetan</t>
        </is>
      </c>
      <c r="H468" s="15" t="inlineStr">
        <is>
          <t>Google</t>
        </is>
      </c>
      <c r="I468" s="15" t="inlineStr">
        <is>
          <t>Round1</t>
        </is>
      </c>
      <c r="J468" s="18" t="inlineStr">
        <is>
          <t>+91 9920264452</t>
        </is>
      </c>
      <c r="K468" s="15" t="inlineStr">
        <is>
          <t>chetan@weekday.works</t>
        </is>
      </c>
      <c r="L468" s="15" t="inlineStr">
        <is>
          <t>&lt;calendly_link&gt;</t>
        </is>
      </c>
      <c r="M468" s="15" t="inlineStr">
        <is>
          <t>Yes</t>
        </is>
      </c>
      <c r="N468" s="15" t="n"/>
      <c r="O468" s="15" t="n"/>
      <c r="P468" s="15" t="n"/>
      <c r="Q468" s="15" t="n"/>
      <c r="R468" s="15">
        <f>IF(OR(O468="Scheduled",Q468="Scheduled"),"SCHEDULED",IF(Q468="Escalate to call","ESCALATED TO CALL",IF(N468="Bad contact","BAD CONTACT",IF(N468="","NOT STARTED","IN PROGRESS"))))</f>
        <v/>
      </c>
      <c r="S468" s="15" t="n"/>
    </row>
    <row r="469">
      <c r="A469" s="15" t="inlineStr">
        <is>
          <t>REQ-0468</t>
        </is>
      </c>
      <c r="B469" s="16" t="n">
        <v>44867.82708333333</v>
      </c>
      <c r="C469" s="16">
        <f>B469+1</f>
        <v/>
      </c>
      <c r="D469" s="17">
        <f>(C469-NOW())*24</f>
        <v/>
      </c>
      <c r="E469" s="15">
        <f>IF(N469="","STEP 1: Send WhatsApp + Email blast now (Playbook M1)",IF(N469="Bad contact","STOP: report bad contact to lead (Playbook)",IF(O469="Scheduled","DONE: scheduled via Calendly",IF(O469="","STEP 2: Check Calendly now",IF(P469="","STEP 3: Send WhatsApp nudge (Playbook M2)",IF(Q469="Scheduled","DONE: scheduled via Calendly",IF(Q469="Escalate to call","HANDED to Shyam (call queue)","STEP 4: Final Calendly check")))))))</f>
        <v/>
      </c>
      <c r="F469" s="16">
        <f>IF(N469="",B469,IF(O469="",B469+2/24,IF(AND(O469="Not yet",P469=""),B469+2/24,IF(Q469="",B469+4/24,""))))</f>
        <v/>
      </c>
      <c r="G469" s="15" t="inlineStr">
        <is>
          <t>Chetan</t>
        </is>
      </c>
      <c r="H469" s="15" t="inlineStr">
        <is>
          <t>Google</t>
        </is>
      </c>
      <c r="I469" s="15" t="inlineStr">
        <is>
          <t>Round1</t>
        </is>
      </c>
      <c r="J469" s="18" t="inlineStr">
        <is>
          <t>+91 9920264452</t>
        </is>
      </c>
      <c r="K469" s="15" t="inlineStr">
        <is>
          <t>chetan@weekday.works</t>
        </is>
      </c>
      <c r="L469" s="15" t="inlineStr">
        <is>
          <t>&lt;calendly_link&gt;</t>
        </is>
      </c>
      <c r="M469" s="15" t="inlineStr">
        <is>
          <t>Yes</t>
        </is>
      </c>
      <c r="N469" s="15" t="n"/>
      <c r="O469" s="15" t="n"/>
      <c r="P469" s="15" t="n"/>
      <c r="Q469" s="15" t="n"/>
      <c r="R469" s="15">
        <f>IF(OR(O469="Scheduled",Q469="Scheduled"),"SCHEDULED",IF(Q469="Escalate to call","ESCALATED TO CALL",IF(N469="Bad contact","BAD CONTACT",IF(N469="","NOT STARTED","IN PROGRESS"))))</f>
        <v/>
      </c>
      <c r="S469" s="15" t="n"/>
    </row>
    <row r="470">
      <c r="A470" s="15" t="inlineStr">
        <is>
          <t>REQ-0469</t>
        </is>
      </c>
      <c r="B470" s="16" t="n">
        <v>44867.82708333333</v>
      </c>
      <c r="C470" s="16">
        <f>B470+1</f>
        <v/>
      </c>
      <c r="D470" s="17">
        <f>(C470-NOW())*24</f>
        <v/>
      </c>
      <c r="E470" s="15">
        <f>IF(N470="","STEP 1: Send WhatsApp + Email blast now (Playbook M1)",IF(N470="Bad contact","STOP: report bad contact to lead (Playbook)",IF(O470="Scheduled","DONE: scheduled via Calendly",IF(O470="","STEP 2: Check Calendly now",IF(P470="","STEP 3: Send WhatsApp nudge (Playbook M2)",IF(Q470="Scheduled","DONE: scheduled via Calendly",IF(Q470="Escalate to call","HANDED to Shyam (call queue)","STEP 4: Final Calendly check")))))))</f>
        <v/>
      </c>
      <c r="F470" s="16">
        <f>IF(N470="",B470,IF(O470="",B470+2/24,IF(AND(O470="Not yet",P470=""),B470+2/24,IF(Q470="",B470+4/24,""))))</f>
        <v/>
      </c>
      <c r="G470" s="15" t="inlineStr">
        <is>
          <t>Chetan</t>
        </is>
      </c>
      <c r="H470" s="15" t="inlineStr">
        <is>
          <t>Google</t>
        </is>
      </c>
      <c r="I470" s="15" t="inlineStr">
        <is>
          <t>Round1</t>
        </is>
      </c>
      <c r="J470" s="18" t="inlineStr">
        <is>
          <t>+91 9920264452</t>
        </is>
      </c>
      <c r="K470" s="15" t="inlineStr">
        <is>
          <t>chetan@weekday.works</t>
        </is>
      </c>
      <c r="L470" s="15" t="inlineStr">
        <is>
          <t>&lt;calendly_link&gt;</t>
        </is>
      </c>
      <c r="M470" s="15" t="inlineStr">
        <is>
          <t>Yes</t>
        </is>
      </c>
      <c r="N470" s="15" t="n"/>
      <c r="O470" s="15" t="n"/>
      <c r="P470" s="15" t="n"/>
      <c r="Q470" s="15" t="n"/>
      <c r="R470" s="15">
        <f>IF(OR(O470="Scheduled",Q470="Scheduled"),"SCHEDULED",IF(Q470="Escalate to call","ESCALATED TO CALL",IF(N470="Bad contact","BAD CONTACT",IF(N470="","NOT STARTED","IN PROGRESS"))))</f>
        <v/>
      </c>
      <c r="S470" s="15" t="n"/>
    </row>
    <row r="471">
      <c r="A471" s="15" t="inlineStr">
        <is>
          <t>REQ-0470</t>
        </is>
      </c>
      <c r="B471" s="16" t="n">
        <v>44867.82708333333</v>
      </c>
      <c r="C471" s="16">
        <f>B471+1</f>
        <v/>
      </c>
      <c r="D471" s="17">
        <f>(C471-NOW())*24</f>
        <v/>
      </c>
      <c r="E471" s="15">
        <f>IF(N471="","STEP 1: Send WhatsApp + Email blast now (Playbook M1)",IF(N471="Bad contact","STOP: report bad contact to lead (Playbook)",IF(O471="Scheduled","DONE: scheduled via Calendly",IF(O471="","STEP 2: Check Calendly now",IF(P471="","STEP 3: Send WhatsApp nudge (Playbook M2)",IF(Q471="Scheduled","DONE: scheduled via Calendly",IF(Q471="Escalate to call","HANDED to Shyam (call queue)","STEP 4: Final Calendly check")))))))</f>
        <v/>
      </c>
      <c r="F471" s="16">
        <f>IF(N471="",B471,IF(O471="",B471+2/24,IF(AND(O471="Not yet",P471=""),B471+2/24,IF(Q471="",B471+4/24,""))))</f>
        <v/>
      </c>
      <c r="G471" s="15" t="inlineStr">
        <is>
          <t>Chetan</t>
        </is>
      </c>
      <c r="H471" s="15" t="inlineStr">
        <is>
          <t>Google</t>
        </is>
      </c>
      <c r="I471" s="15" t="inlineStr">
        <is>
          <t>Round1</t>
        </is>
      </c>
      <c r="J471" s="18" t="inlineStr">
        <is>
          <t>+91 9920264452</t>
        </is>
      </c>
      <c r="K471" s="15" t="inlineStr">
        <is>
          <t>chetan@weekday.works</t>
        </is>
      </c>
      <c r="L471" s="15" t="inlineStr">
        <is>
          <t>&lt;calendly_link&gt;</t>
        </is>
      </c>
      <c r="M471" s="15" t="inlineStr">
        <is>
          <t>Yes</t>
        </is>
      </c>
      <c r="N471" s="15" t="n"/>
      <c r="O471" s="15" t="n"/>
      <c r="P471" s="15" t="n"/>
      <c r="Q471" s="15" t="n"/>
      <c r="R471" s="15">
        <f>IF(OR(O471="Scheduled",Q471="Scheduled"),"SCHEDULED",IF(Q471="Escalate to call","ESCALATED TO CALL",IF(N471="Bad contact","BAD CONTACT",IF(N471="","NOT STARTED","IN PROGRESS"))))</f>
        <v/>
      </c>
      <c r="S471" s="15" t="n"/>
    </row>
    <row r="472">
      <c r="A472" s="15" t="inlineStr">
        <is>
          <t>REQ-0471</t>
        </is>
      </c>
      <c r="B472" s="16" t="n">
        <v>44867.82708333333</v>
      </c>
      <c r="C472" s="16">
        <f>B472+1</f>
        <v/>
      </c>
      <c r="D472" s="17">
        <f>(C472-NOW())*24</f>
        <v/>
      </c>
      <c r="E472" s="15">
        <f>IF(N472="","STEP 1: Send WhatsApp + Email blast now (Playbook M1)",IF(N472="Bad contact","STOP: report bad contact to lead (Playbook)",IF(O472="Scheduled","DONE: scheduled via Calendly",IF(O472="","STEP 2: Check Calendly now",IF(P472="","STEP 3: Send WhatsApp nudge (Playbook M2)",IF(Q472="Scheduled","DONE: scheduled via Calendly",IF(Q472="Escalate to call","HANDED to Shyam (call queue)","STEP 4: Final Calendly check")))))))</f>
        <v/>
      </c>
      <c r="F472" s="16">
        <f>IF(N472="",B472,IF(O472="",B472+2/24,IF(AND(O472="Not yet",P472=""),B472+2/24,IF(Q472="",B472+4/24,""))))</f>
        <v/>
      </c>
      <c r="G472" s="15" t="inlineStr">
        <is>
          <t>Chetan</t>
        </is>
      </c>
      <c r="H472" s="15" t="inlineStr">
        <is>
          <t>Google</t>
        </is>
      </c>
      <c r="I472" s="15" t="inlineStr">
        <is>
          <t>Round1</t>
        </is>
      </c>
      <c r="J472" s="18" t="inlineStr">
        <is>
          <t>+91 9920264452</t>
        </is>
      </c>
      <c r="K472" s="15" t="inlineStr">
        <is>
          <t>chetan@weekday.works</t>
        </is>
      </c>
      <c r="L472" s="15" t="inlineStr">
        <is>
          <t>&lt;calendly_link&gt;</t>
        </is>
      </c>
      <c r="M472" s="15" t="inlineStr">
        <is>
          <t>Yes</t>
        </is>
      </c>
      <c r="N472" s="15" t="n"/>
      <c r="O472" s="15" t="n"/>
      <c r="P472" s="15" t="n"/>
      <c r="Q472" s="15" t="n"/>
      <c r="R472" s="15">
        <f>IF(OR(O472="Scheduled",Q472="Scheduled"),"SCHEDULED",IF(Q472="Escalate to call","ESCALATED TO CALL",IF(N472="Bad contact","BAD CONTACT",IF(N472="","NOT STARTED","IN PROGRESS"))))</f>
        <v/>
      </c>
      <c r="S472" s="15" t="n"/>
    </row>
    <row r="473">
      <c r="A473" s="15" t="inlineStr">
        <is>
          <t>REQ-0472</t>
        </is>
      </c>
      <c r="B473" s="16" t="n">
        <v>44867.82708333333</v>
      </c>
      <c r="C473" s="16">
        <f>B473+1</f>
        <v/>
      </c>
      <c r="D473" s="17">
        <f>(C473-NOW())*24</f>
        <v/>
      </c>
      <c r="E473" s="15">
        <f>IF(N473="","STEP 1: Send WhatsApp + Email blast now (Playbook M1)",IF(N473="Bad contact","STOP: report bad contact to lead (Playbook)",IF(O473="Scheduled","DONE: scheduled via Calendly",IF(O473="","STEP 2: Check Calendly now",IF(P473="","STEP 3: Send WhatsApp nudge (Playbook M2)",IF(Q473="Scheduled","DONE: scheduled via Calendly",IF(Q473="Escalate to call","HANDED to Shyam (call queue)","STEP 4: Final Calendly check")))))))</f>
        <v/>
      </c>
      <c r="F473" s="16">
        <f>IF(N473="",B473,IF(O473="",B473+2/24,IF(AND(O473="Not yet",P473=""),B473+2/24,IF(Q473="",B473+4/24,""))))</f>
        <v/>
      </c>
      <c r="G473" s="15" t="inlineStr">
        <is>
          <t>Chetan</t>
        </is>
      </c>
      <c r="H473" s="15" t="inlineStr">
        <is>
          <t>Google</t>
        </is>
      </c>
      <c r="I473" s="15" t="inlineStr">
        <is>
          <t>Round1</t>
        </is>
      </c>
      <c r="J473" s="18" t="inlineStr">
        <is>
          <t>+91 9920264452</t>
        </is>
      </c>
      <c r="K473" s="15" t="inlineStr">
        <is>
          <t>chetan@weekday.works</t>
        </is>
      </c>
      <c r="L473" s="15" t="inlineStr">
        <is>
          <t>&lt;calendly_link&gt;</t>
        </is>
      </c>
      <c r="M473" s="15" t="inlineStr">
        <is>
          <t>Yes</t>
        </is>
      </c>
      <c r="N473" s="15" t="n"/>
      <c r="O473" s="15" t="n"/>
      <c r="P473" s="15" t="n"/>
      <c r="Q473" s="15" t="n"/>
      <c r="R473" s="15">
        <f>IF(OR(O473="Scheduled",Q473="Scheduled"),"SCHEDULED",IF(Q473="Escalate to call","ESCALATED TO CALL",IF(N473="Bad contact","BAD CONTACT",IF(N473="","NOT STARTED","IN PROGRESS"))))</f>
        <v/>
      </c>
      <c r="S473" s="15" t="n"/>
    </row>
    <row r="474">
      <c r="A474" s="15" t="inlineStr">
        <is>
          <t>REQ-0473</t>
        </is>
      </c>
      <c r="B474" s="16" t="n">
        <v>44867.82708333333</v>
      </c>
      <c r="C474" s="16">
        <f>B474+1</f>
        <v/>
      </c>
      <c r="D474" s="17">
        <f>(C474-NOW())*24</f>
        <v/>
      </c>
      <c r="E474" s="15">
        <f>IF(N474="","STEP 1: Send WhatsApp + Email blast now (Playbook M1)",IF(N474="Bad contact","STOP: report bad contact to lead (Playbook)",IF(O474="Scheduled","DONE: scheduled via Calendly",IF(O474="","STEP 2: Check Calendly now",IF(P474="","STEP 3: Send WhatsApp nudge (Playbook M2)",IF(Q474="Scheduled","DONE: scheduled via Calendly",IF(Q474="Escalate to call","HANDED to Shyam (call queue)","STEP 4: Final Calendly check")))))))</f>
        <v/>
      </c>
      <c r="F474" s="16">
        <f>IF(N474="",B474,IF(O474="",B474+2/24,IF(AND(O474="Not yet",P474=""),B474+2/24,IF(Q474="",B474+4/24,""))))</f>
        <v/>
      </c>
      <c r="G474" s="15" t="inlineStr">
        <is>
          <t>Chetan</t>
        </is>
      </c>
      <c r="H474" s="15" t="inlineStr">
        <is>
          <t>Google</t>
        </is>
      </c>
      <c r="I474" s="15" t="inlineStr">
        <is>
          <t>Round1</t>
        </is>
      </c>
      <c r="J474" s="18" t="inlineStr">
        <is>
          <t>+91 9920264452</t>
        </is>
      </c>
      <c r="K474" s="15" t="inlineStr">
        <is>
          <t>chetan@weekday.works</t>
        </is>
      </c>
      <c r="L474" s="15" t="inlineStr">
        <is>
          <t>&lt;calendly_link&gt;</t>
        </is>
      </c>
      <c r="M474" s="15" t="inlineStr">
        <is>
          <t>Yes</t>
        </is>
      </c>
      <c r="N474" s="15" t="n"/>
      <c r="O474" s="15" t="n"/>
      <c r="P474" s="15" t="n"/>
      <c r="Q474" s="15" t="n"/>
      <c r="R474" s="15">
        <f>IF(OR(O474="Scheduled",Q474="Scheduled"),"SCHEDULED",IF(Q474="Escalate to call","ESCALATED TO CALL",IF(N474="Bad contact","BAD CONTACT",IF(N474="","NOT STARTED","IN PROGRESS"))))</f>
        <v/>
      </c>
      <c r="S474" s="15" t="n"/>
    </row>
    <row r="475">
      <c r="A475" s="15" t="inlineStr">
        <is>
          <t>REQ-0474</t>
        </is>
      </c>
      <c r="B475" s="16" t="n">
        <v>44867.82708333333</v>
      </c>
      <c r="C475" s="16">
        <f>B475+1</f>
        <v/>
      </c>
      <c r="D475" s="17">
        <f>(C475-NOW())*24</f>
        <v/>
      </c>
      <c r="E475" s="15">
        <f>IF(N475="","STEP 1: Send WhatsApp + Email blast now (Playbook M1)",IF(N475="Bad contact","STOP: report bad contact to lead (Playbook)",IF(O475="Scheduled","DONE: scheduled via Calendly",IF(O475="","STEP 2: Check Calendly now",IF(P475="","STEP 3: Send WhatsApp nudge (Playbook M2)",IF(Q475="Scheduled","DONE: scheduled via Calendly",IF(Q475="Escalate to call","HANDED to Shyam (call queue)","STEP 4: Final Calendly check")))))))</f>
        <v/>
      </c>
      <c r="F475" s="16">
        <f>IF(N475="",B475,IF(O475="",B475+2/24,IF(AND(O475="Not yet",P475=""),B475+2/24,IF(Q475="",B475+4/24,""))))</f>
        <v/>
      </c>
      <c r="G475" s="15" t="inlineStr">
        <is>
          <t>Chetan</t>
        </is>
      </c>
      <c r="H475" s="15" t="inlineStr">
        <is>
          <t>Google</t>
        </is>
      </c>
      <c r="I475" s="15" t="inlineStr">
        <is>
          <t>Round1</t>
        </is>
      </c>
      <c r="J475" s="18" t="inlineStr">
        <is>
          <t>+91 9920264452</t>
        </is>
      </c>
      <c r="K475" s="15" t="inlineStr">
        <is>
          <t>chetan@weekday.works</t>
        </is>
      </c>
      <c r="L475" s="15" t="inlineStr">
        <is>
          <t>&lt;calendly_link&gt;</t>
        </is>
      </c>
      <c r="M475" s="15" t="inlineStr">
        <is>
          <t>Yes</t>
        </is>
      </c>
      <c r="N475" s="15" t="n"/>
      <c r="O475" s="15" t="n"/>
      <c r="P475" s="15" t="n"/>
      <c r="Q475" s="15" t="n"/>
      <c r="R475" s="15">
        <f>IF(OR(O475="Scheduled",Q475="Scheduled"),"SCHEDULED",IF(Q475="Escalate to call","ESCALATED TO CALL",IF(N475="Bad contact","BAD CONTACT",IF(N475="","NOT STARTED","IN PROGRESS"))))</f>
        <v/>
      </c>
      <c r="S475" s="15" t="n"/>
    </row>
    <row r="476">
      <c r="A476" s="15" t="inlineStr">
        <is>
          <t>REQ-0475</t>
        </is>
      </c>
      <c r="B476" s="16" t="n">
        <v>44867.82708333333</v>
      </c>
      <c r="C476" s="16">
        <f>B476+1</f>
        <v/>
      </c>
      <c r="D476" s="17">
        <f>(C476-NOW())*24</f>
        <v/>
      </c>
      <c r="E476" s="15">
        <f>IF(N476="","STEP 1: Send WhatsApp + Email blast now (Playbook M1)",IF(N476="Bad contact","STOP: report bad contact to lead (Playbook)",IF(O476="Scheduled","DONE: scheduled via Calendly",IF(O476="","STEP 2: Check Calendly now",IF(P476="","STEP 3: Send WhatsApp nudge (Playbook M2)",IF(Q476="Scheduled","DONE: scheduled via Calendly",IF(Q476="Escalate to call","HANDED to Shyam (call queue)","STEP 4: Final Calendly check")))))))</f>
        <v/>
      </c>
      <c r="F476" s="16">
        <f>IF(N476="",B476,IF(O476="",B476+2/24,IF(AND(O476="Not yet",P476=""),B476+2/24,IF(Q476="",B476+4/24,""))))</f>
        <v/>
      </c>
      <c r="G476" s="15" t="inlineStr">
        <is>
          <t>Chetan</t>
        </is>
      </c>
      <c r="H476" s="15" t="inlineStr">
        <is>
          <t>Google</t>
        </is>
      </c>
      <c r="I476" s="15" t="inlineStr">
        <is>
          <t>Round1</t>
        </is>
      </c>
      <c r="J476" s="18" t="inlineStr">
        <is>
          <t>+91 9920264452</t>
        </is>
      </c>
      <c r="K476" s="15" t="inlineStr">
        <is>
          <t>chetan@weekday.works</t>
        </is>
      </c>
      <c r="L476" s="15" t="inlineStr">
        <is>
          <t>&lt;calendly_link&gt;</t>
        </is>
      </c>
      <c r="M476" s="15" t="inlineStr">
        <is>
          <t>Yes</t>
        </is>
      </c>
      <c r="N476" s="15" t="n"/>
      <c r="O476" s="15" t="n"/>
      <c r="P476" s="15" t="n"/>
      <c r="Q476" s="15" t="n"/>
      <c r="R476" s="15">
        <f>IF(OR(O476="Scheduled",Q476="Scheduled"),"SCHEDULED",IF(Q476="Escalate to call","ESCALATED TO CALL",IF(N476="Bad contact","BAD CONTACT",IF(N476="","NOT STARTED","IN PROGRESS"))))</f>
        <v/>
      </c>
      <c r="S476" s="15" t="n"/>
    </row>
    <row r="477">
      <c r="A477" s="15" t="inlineStr">
        <is>
          <t>REQ-0476</t>
        </is>
      </c>
      <c r="B477" s="16" t="n">
        <v>44867.82708333333</v>
      </c>
      <c r="C477" s="16">
        <f>B477+1</f>
        <v/>
      </c>
      <c r="D477" s="17">
        <f>(C477-NOW())*24</f>
        <v/>
      </c>
      <c r="E477" s="15">
        <f>IF(N477="","STEP 1: Send WhatsApp + Email blast now (Playbook M1)",IF(N477="Bad contact","STOP: report bad contact to lead (Playbook)",IF(O477="Scheduled","DONE: scheduled via Calendly",IF(O477="","STEP 2: Check Calendly now",IF(P477="","STEP 3: Send WhatsApp nudge (Playbook M2)",IF(Q477="Scheduled","DONE: scheduled via Calendly",IF(Q477="Escalate to call","HANDED to Shyam (call queue)","STEP 4: Final Calendly check")))))))</f>
        <v/>
      </c>
      <c r="F477" s="16">
        <f>IF(N477="",B477,IF(O477="",B477+2/24,IF(AND(O477="Not yet",P477=""),B477+2/24,IF(Q477="",B477+4/24,""))))</f>
        <v/>
      </c>
      <c r="G477" s="15" t="inlineStr">
        <is>
          <t>Chetan</t>
        </is>
      </c>
      <c r="H477" s="15" t="inlineStr">
        <is>
          <t>Google</t>
        </is>
      </c>
      <c r="I477" s="15" t="inlineStr">
        <is>
          <t>Round1</t>
        </is>
      </c>
      <c r="J477" s="18" t="inlineStr">
        <is>
          <t>+91 9920264452</t>
        </is>
      </c>
      <c r="K477" s="15" t="inlineStr">
        <is>
          <t>chetan@weekday.works</t>
        </is>
      </c>
      <c r="L477" s="15" t="inlineStr">
        <is>
          <t>&lt;calendly_link&gt;</t>
        </is>
      </c>
      <c r="M477" s="15" t="inlineStr">
        <is>
          <t>Yes</t>
        </is>
      </c>
      <c r="N477" s="15" t="n"/>
      <c r="O477" s="15" t="n"/>
      <c r="P477" s="15" t="n"/>
      <c r="Q477" s="15" t="n"/>
      <c r="R477" s="15">
        <f>IF(OR(O477="Scheduled",Q477="Scheduled"),"SCHEDULED",IF(Q477="Escalate to call","ESCALATED TO CALL",IF(N477="Bad contact","BAD CONTACT",IF(N477="","NOT STARTED","IN PROGRESS"))))</f>
        <v/>
      </c>
      <c r="S477" s="15" t="n"/>
    </row>
    <row r="478">
      <c r="A478" s="15" t="inlineStr">
        <is>
          <t>REQ-0477</t>
        </is>
      </c>
      <c r="B478" s="16" t="n">
        <v>44867.82708333333</v>
      </c>
      <c r="C478" s="16">
        <f>B478+1</f>
        <v/>
      </c>
      <c r="D478" s="17">
        <f>(C478-NOW())*24</f>
        <v/>
      </c>
      <c r="E478" s="15">
        <f>IF(N478="","STEP 1: Send WhatsApp + Email blast now (Playbook M1)",IF(N478="Bad contact","STOP: report bad contact to lead (Playbook)",IF(O478="Scheduled","DONE: scheduled via Calendly",IF(O478="","STEP 2: Check Calendly now",IF(P478="","STEP 3: Send WhatsApp nudge (Playbook M2)",IF(Q478="Scheduled","DONE: scheduled via Calendly",IF(Q478="Escalate to call","HANDED to Shyam (call queue)","STEP 4: Final Calendly check")))))))</f>
        <v/>
      </c>
      <c r="F478" s="16">
        <f>IF(N478="",B478,IF(O478="",B478+2/24,IF(AND(O478="Not yet",P478=""),B478+2/24,IF(Q478="",B478+4/24,""))))</f>
        <v/>
      </c>
      <c r="G478" s="15" t="inlineStr">
        <is>
          <t>Chetan</t>
        </is>
      </c>
      <c r="H478" s="15" t="inlineStr">
        <is>
          <t>Google</t>
        </is>
      </c>
      <c r="I478" s="15" t="inlineStr">
        <is>
          <t>Round1</t>
        </is>
      </c>
      <c r="J478" s="18" t="inlineStr">
        <is>
          <t>+91 9920264452</t>
        </is>
      </c>
      <c r="K478" s="15" t="inlineStr">
        <is>
          <t>chetan@weekday.works</t>
        </is>
      </c>
      <c r="L478" s="15" t="inlineStr">
        <is>
          <t>&lt;calendly_link&gt;</t>
        </is>
      </c>
      <c r="M478" s="15" t="inlineStr">
        <is>
          <t>Yes</t>
        </is>
      </c>
      <c r="N478" s="15" t="n"/>
      <c r="O478" s="15" t="n"/>
      <c r="P478" s="15" t="n"/>
      <c r="Q478" s="15" t="n"/>
      <c r="R478" s="15">
        <f>IF(OR(O478="Scheduled",Q478="Scheduled"),"SCHEDULED",IF(Q478="Escalate to call","ESCALATED TO CALL",IF(N478="Bad contact","BAD CONTACT",IF(N478="","NOT STARTED","IN PROGRESS"))))</f>
        <v/>
      </c>
      <c r="S478" s="15" t="n"/>
    </row>
    <row r="479">
      <c r="A479" s="15" t="inlineStr">
        <is>
          <t>REQ-0478</t>
        </is>
      </c>
      <c r="B479" s="16" t="n">
        <v>44867.82708333333</v>
      </c>
      <c r="C479" s="16">
        <f>B479+1</f>
        <v/>
      </c>
      <c r="D479" s="17">
        <f>(C479-NOW())*24</f>
        <v/>
      </c>
      <c r="E479" s="15">
        <f>IF(N479="","STEP 1: Send WhatsApp + Email blast now (Playbook M1)",IF(N479="Bad contact","STOP: report bad contact to lead (Playbook)",IF(O479="Scheduled","DONE: scheduled via Calendly",IF(O479="","STEP 2: Check Calendly now",IF(P479="","STEP 3: Send WhatsApp nudge (Playbook M2)",IF(Q479="Scheduled","DONE: scheduled via Calendly",IF(Q479="Escalate to call","HANDED to Shyam (call queue)","STEP 4: Final Calendly check")))))))</f>
        <v/>
      </c>
      <c r="F479" s="16">
        <f>IF(N479="",B479,IF(O479="",B479+2/24,IF(AND(O479="Not yet",P479=""),B479+2/24,IF(Q479="",B479+4/24,""))))</f>
        <v/>
      </c>
      <c r="G479" s="15" t="inlineStr">
        <is>
          <t>Chetan</t>
        </is>
      </c>
      <c r="H479" s="15" t="inlineStr">
        <is>
          <t>Google</t>
        </is>
      </c>
      <c r="I479" s="15" t="inlineStr">
        <is>
          <t>Round1</t>
        </is>
      </c>
      <c r="J479" s="18" t="inlineStr">
        <is>
          <t>+91 9920264452</t>
        </is>
      </c>
      <c r="K479" s="15" t="inlineStr">
        <is>
          <t>chetan@weekday.works</t>
        </is>
      </c>
      <c r="L479" s="15" t="inlineStr">
        <is>
          <t>&lt;calendly_link&gt;</t>
        </is>
      </c>
      <c r="M479" s="15" t="inlineStr">
        <is>
          <t>Yes</t>
        </is>
      </c>
      <c r="N479" s="15" t="n"/>
      <c r="O479" s="15" t="n"/>
      <c r="P479" s="15" t="n"/>
      <c r="Q479" s="15" t="n"/>
      <c r="R479" s="15">
        <f>IF(OR(O479="Scheduled",Q479="Scheduled"),"SCHEDULED",IF(Q479="Escalate to call","ESCALATED TO CALL",IF(N479="Bad contact","BAD CONTACT",IF(N479="","NOT STARTED","IN PROGRESS"))))</f>
        <v/>
      </c>
      <c r="S479" s="15" t="n"/>
    </row>
    <row r="480">
      <c r="A480" s="15" t="inlineStr">
        <is>
          <t>REQ-0479</t>
        </is>
      </c>
      <c r="B480" s="16" t="n">
        <v>44867.82708333333</v>
      </c>
      <c r="C480" s="16">
        <f>B480+1</f>
        <v/>
      </c>
      <c r="D480" s="17">
        <f>(C480-NOW())*24</f>
        <v/>
      </c>
      <c r="E480" s="15">
        <f>IF(N480="","STEP 1: Send WhatsApp + Email blast now (Playbook M1)",IF(N480="Bad contact","STOP: report bad contact to lead (Playbook)",IF(O480="Scheduled","DONE: scheduled via Calendly",IF(O480="","STEP 2: Check Calendly now",IF(P480="","STEP 3: Send WhatsApp nudge (Playbook M2)",IF(Q480="Scheduled","DONE: scheduled via Calendly",IF(Q480="Escalate to call","HANDED to Shyam (call queue)","STEP 4: Final Calendly check")))))))</f>
        <v/>
      </c>
      <c r="F480" s="16">
        <f>IF(N480="",B480,IF(O480="",B480+2/24,IF(AND(O480="Not yet",P480=""),B480+2/24,IF(Q480="",B480+4/24,""))))</f>
        <v/>
      </c>
      <c r="G480" s="15" t="inlineStr">
        <is>
          <t>Chetan</t>
        </is>
      </c>
      <c r="H480" s="15" t="inlineStr">
        <is>
          <t>Google</t>
        </is>
      </c>
      <c r="I480" s="15" t="inlineStr">
        <is>
          <t>Round1</t>
        </is>
      </c>
      <c r="J480" s="18" t="inlineStr">
        <is>
          <t>+91 9920264452</t>
        </is>
      </c>
      <c r="K480" s="15" t="inlineStr">
        <is>
          <t>chetan@weekday.works</t>
        </is>
      </c>
      <c r="L480" s="15" t="inlineStr">
        <is>
          <t>&lt;calendly_link&gt;</t>
        </is>
      </c>
      <c r="M480" s="15" t="inlineStr">
        <is>
          <t>Yes</t>
        </is>
      </c>
      <c r="N480" s="15" t="n"/>
      <c r="O480" s="15" t="n"/>
      <c r="P480" s="15" t="n"/>
      <c r="Q480" s="15" t="n"/>
      <c r="R480" s="15">
        <f>IF(OR(O480="Scheduled",Q480="Scheduled"),"SCHEDULED",IF(Q480="Escalate to call","ESCALATED TO CALL",IF(N480="Bad contact","BAD CONTACT",IF(N480="","NOT STARTED","IN PROGRESS"))))</f>
        <v/>
      </c>
      <c r="S480" s="15" t="n"/>
    </row>
    <row r="481">
      <c r="A481" s="15" t="inlineStr">
        <is>
          <t>REQ-0480</t>
        </is>
      </c>
      <c r="B481" s="16" t="n">
        <v>44867.82708333333</v>
      </c>
      <c r="C481" s="16">
        <f>B481+1</f>
        <v/>
      </c>
      <c r="D481" s="17">
        <f>(C481-NOW())*24</f>
        <v/>
      </c>
      <c r="E481" s="15">
        <f>IF(N481="","STEP 1: Send WhatsApp + Email blast now (Playbook M1)",IF(N481="Bad contact","STOP: report bad contact to lead (Playbook)",IF(O481="Scheduled","DONE: scheduled via Calendly",IF(O481="","STEP 2: Check Calendly now",IF(P481="","STEP 3: Send WhatsApp nudge (Playbook M2)",IF(Q481="Scheduled","DONE: scheduled via Calendly",IF(Q481="Escalate to call","HANDED to Shyam (call queue)","STEP 4: Final Calendly check")))))))</f>
        <v/>
      </c>
      <c r="F481" s="16">
        <f>IF(N481="",B481,IF(O481="",B481+2/24,IF(AND(O481="Not yet",P481=""),B481+2/24,IF(Q481="",B481+4/24,""))))</f>
        <v/>
      </c>
      <c r="G481" s="15" t="inlineStr">
        <is>
          <t>Chetan</t>
        </is>
      </c>
      <c r="H481" s="15" t="inlineStr">
        <is>
          <t>Google</t>
        </is>
      </c>
      <c r="I481" s="15" t="inlineStr">
        <is>
          <t>Round1</t>
        </is>
      </c>
      <c r="J481" s="18" t="inlineStr">
        <is>
          <t>+91 9920264452</t>
        </is>
      </c>
      <c r="K481" s="15" t="inlineStr">
        <is>
          <t>chetan@weekday.works</t>
        </is>
      </c>
      <c r="L481" s="15" t="inlineStr">
        <is>
          <t>&lt;calendly_link&gt;</t>
        </is>
      </c>
      <c r="M481" s="15" t="inlineStr">
        <is>
          <t>Yes</t>
        </is>
      </c>
      <c r="N481" s="15" t="n"/>
      <c r="O481" s="15" t="n"/>
      <c r="P481" s="15" t="n"/>
      <c r="Q481" s="15" t="n"/>
      <c r="R481" s="15">
        <f>IF(OR(O481="Scheduled",Q481="Scheduled"),"SCHEDULED",IF(Q481="Escalate to call","ESCALATED TO CALL",IF(N481="Bad contact","BAD CONTACT",IF(N481="","NOT STARTED","IN PROGRESS"))))</f>
        <v/>
      </c>
      <c r="S481" s="15" t="n"/>
    </row>
    <row r="482">
      <c r="A482" s="15" t="inlineStr">
        <is>
          <t>REQ-0481</t>
        </is>
      </c>
      <c r="B482" s="16" t="n">
        <v>44867.82708333333</v>
      </c>
      <c r="C482" s="16">
        <f>B482+1</f>
        <v/>
      </c>
      <c r="D482" s="17">
        <f>(C482-NOW())*24</f>
        <v/>
      </c>
      <c r="E482" s="15">
        <f>IF(N482="","STEP 1: Send WhatsApp + Email blast now (Playbook M1)",IF(N482="Bad contact","STOP: report bad contact to lead (Playbook)",IF(O482="Scheduled","DONE: scheduled via Calendly",IF(O482="","STEP 2: Check Calendly now",IF(P482="","STEP 3: Send WhatsApp nudge (Playbook M2)",IF(Q482="Scheduled","DONE: scheduled via Calendly",IF(Q482="Escalate to call","HANDED to Shyam (call queue)","STEP 4: Final Calendly check")))))))</f>
        <v/>
      </c>
      <c r="F482" s="16">
        <f>IF(N482="",B482,IF(O482="",B482+2/24,IF(AND(O482="Not yet",P482=""),B482+2/24,IF(Q482="",B482+4/24,""))))</f>
        <v/>
      </c>
      <c r="G482" s="15" t="inlineStr">
        <is>
          <t>Chetan</t>
        </is>
      </c>
      <c r="H482" s="15" t="inlineStr">
        <is>
          <t>Google</t>
        </is>
      </c>
      <c r="I482" s="15" t="inlineStr">
        <is>
          <t>Round1</t>
        </is>
      </c>
      <c r="J482" s="18" t="inlineStr">
        <is>
          <t>+91 9920264452</t>
        </is>
      </c>
      <c r="K482" s="15" t="inlineStr">
        <is>
          <t>chetan@weekday.works</t>
        </is>
      </c>
      <c r="L482" s="15" t="inlineStr">
        <is>
          <t>&lt;calendly_link&gt;</t>
        </is>
      </c>
      <c r="M482" s="15" t="inlineStr">
        <is>
          <t>Yes</t>
        </is>
      </c>
      <c r="N482" s="15" t="n"/>
      <c r="O482" s="15" t="n"/>
      <c r="P482" s="15" t="n"/>
      <c r="Q482" s="15" t="n"/>
      <c r="R482" s="15">
        <f>IF(OR(O482="Scheduled",Q482="Scheduled"),"SCHEDULED",IF(Q482="Escalate to call","ESCALATED TO CALL",IF(N482="Bad contact","BAD CONTACT",IF(N482="","NOT STARTED","IN PROGRESS"))))</f>
        <v/>
      </c>
      <c r="S482" s="15" t="n"/>
    </row>
    <row r="483">
      <c r="A483" s="15" t="inlineStr">
        <is>
          <t>REQ-0482</t>
        </is>
      </c>
      <c r="B483" s="16" t="n">
        <v>44867.82708333333</v>
      </c>
      <c r="C483" s="16">
        <f>B483+1</f>
        <v/>
      </c>
      <c r="D483" s="17">
        <f>(C483-NOW())*24</f>
        <v/>
      </c>
      <c r="E483" s="15">
        <f>IF(N483="","STEP 1: Send WhatsApp + Email blast now (Playbook M1)",IF(N483="Bad contact","STOP: report bad contact to lead (Playbook)",IF(O483="Scheduled","DONE: scheduled via Calendly",IF(O483="","STEP 2: Check Calendly now",IF(P483="","STEP 3: Send WhatsApp nudge (Playbook M2)",IF(Q483="Scheduled","DONE: scheduled via Calendly",IF(Q483="Escalate to call","HANDED to Shyam (call queue)","STEP 4: Final Calendly check")))))))</f>
        <v/>
      </c>
      <c r="F483" s="16">
        <f>IF(N483="",B483,IF(O483="",B483+2/24,IF(AND(O483="Not yet",P483=""),B483+2/24,IF(Q483="",B483+4/24,""))))</f>
        <v/>
      </c>
      <c r="G483" s="15" t="inlineStr">
        <is>
          <t>Chetan</t>
        </is>
      </c>
      <c r="H483" s="15" t="inlineStr">
        <is>
          <t>Google</t>
        </is>
      </c>
      <c r="I483" s="15" t="inlineStr">
        <is>
          <t>Round1</t>
        </is>
      </c>
      <c r="J483" s="18" t="inlineStr">
        <is>
          <t>+91 9920264452</t>
        </is>
      </c>
      <c r="K483" s="15" t="inlineStr">
        <is>
          <t>chetan@weekday.works</t>
        </is>
      </c>
      <c r="L483" s="15" t="inlineStr">
        <is>
          <t>&lt;calendly_link&gt;</t>
        </is>
      </c>
      <c r="M483" s="15" t="inlineStr">
        <is>
          <t>Yes</t>
        </is>
      </c>
      <c r="N483" s="15" t="n"/>
      <c r="O483" s="15" t="n"/>
      <c r="P483" s="15" t="n"/>
      <c r="Q483" s="15" t="n"/>
      <c r="R483" s="15">
        <f>IF(OR(O483="Scheduled",Q483="Scheduled"),"SCHEDULED",IF(Q483="Escalate to call","ESCALATED TO CALL",IF(N483="Bad contact","BAD CONTACT",IF(N483="","NOT STARTED","IN PROGRESS"))))</f>
        <v/>
      </c>
      <c r="S483" s="15" t="n"/>
    </row>
    <row r="484">
      <c r="A484" s="15" t="inlineStr">
        <is>
          <t>REQ-0483</t>
        </is>
      </c>
      <c r="B484" s="16" t="n">
        <v>44867.82708333333</v>
      </c>
      <c r="C484" s="16">
        <f>B484+1</f>
        <v/>
      </c>
      <c r="D484" s="17">
        <f>(C484-NOW())*24</f>
        <v/>
      </c>
      <c r="E484" s="15">
        <f>IF(N484="","STEP 1: Send WhatsApp + Email blast now (Playbook M1)",IF(N484="Bad contact","STOP: report bad contact to lead (Playbook)",IF(O484="Scheduled","DONE: scheduled via Calendly",IF(O484="","STEP 2: Check Calendly now",IF(P484="","STEP 3: Send WhatsApp nudge (Playbook M2)",IF(Q484="Scheduled","DONE: scheduled via Calendly",IF(Q484="Escalate to call","HANDED to Shyam (call queue)","STEP 4: Final Calendly check")))))))</f>
        <v/>
      </c>
      <c r="F484" s="16">
        <f>IF(N484="",B484,IF(O484="",B484+2/24,IF(AND(O484="Not yet",P484=""),B484+2/24,IF(Q484="",B484+4/24,""))))</f>
        <v/>
      </c>
      <c r="G484" s="15" t="inlineStr">
        <is>
          <t>Chetan</t>
        </is>
      </c>
      <c r="H484" s="15" t="inlineStr">
        <is>
          <t>Google</t>
        </is>
      </c>
      <c r="I484" s="15" t="inlineStr">
        <is>
          <t>Round1</t>
        </is>
      </c>
      <c r="J484" s="18" t="inlineStr">
        <is>
          <t>+91 9920264452</t>
        </is>
      </c>
      <c r="K484" s="15" t="inlineStr">
        <is>
          <t>chetan@weekday.works</t>
        </is>
      </c>
      <c r="L484" s="15" t="inlineStr">
        <is>
          <t>&lt;calendly_link&gt;</t>
        </is>
      </c>
      <c r="M484" s="15" t="inlineStr">
        <is>
          <t>Yes</t>
        </is>
      </c>
      <c r="N484" s="15" t="n"/>
      <c r="O484" s="15" t="n"/>
      <c r="P484" s="15" t="n"/>
      <c r="Q484" s="15" t="n"/>
      <c r="R484" s="15">
        <f>IF(OR(O484="Scheduled",Q484="Scheduled"),"SCHEDULED",IF(Q484="Escalate to call","ESCALATED TO CALL",IF(N484="Bad contact","BAD CONTACT",IF(N484="","NOT STARTED","IN PROGRESS"))))</f>
        <v/>
      </c>
      <c r="S484" s="15" t="n"/>
    </row>
    <row r="485">
      <c r="A485" s="15" t="inlineStr">
        <is>
          <t>REQ-0484</t>
        </is>
      </c>
      <c r="B485" s="16" t="n">
        <v>44867.82708333333</v>
      </c>
      <c r="C485" s="16">
        <f>B485+1</f>
        <v/>
      </c>
      <c r="D485" s="17">
        <f>(C485-NOW())*24</f>
        <v/>
      </c>
      <c r="E485" s="15">
        <f>IF(N485="","STEP 1: Send WhatsApp + Email blast now (Playbook M1)",IF(N485="Bad contact","STOP: report bad contact to lead (Playbook)",IF(O485="Scheduled","DONE: scheduled via Calendly",IF(O485="","STEP 2: Check Calendly now",IF(P485="","STEP 3: Send WhatsApp nudge (Playbook M2)",IF(Q485="Scheduled","DONE: scheduled via Calendly",IF(Q485="Escalate to call","HANDED to Shyam (call queue)","STEP 4: Final Calendly check")))))))</f>
        <v/>
      </c>
      <c r="F485" s="16">
        <f>IF(N485="",B485,IF(O485="",B485+2/24,IF(AND(O485="Not yet",P485=""),B485+2/24,IF(Q485="",B485+4/24,""))))</f>
        <v/>
      </c>
      <c r="G485" s="15" t="inlineStr">
        <is>
          <t>Chetan</t>
        </is>
      </c>
      <c r="H485" s="15" t="inlineStr">
        <is>
          <t>Google</t>
        </is>
      </c>
      <c r="I485" s="15" t="inlineStr">
        <is>
          <t>Round1</t>
        </is>
      </c>
      <c r="J485" s="18" t="inlineStr">
        <is>
          <t>+91 9920264452</t>
        </is>
      </c>
      <c r="K485" s="15" t="inlineStr">
        <is>
          <t>chetan@weekday.works</t>
        </is>
      </c>
      <c r="L485" s="15" t="inlineStr">
        <is>
          <t>&lt;calendly_link&gt;</t>
        </is>
      </c>
      <c r="M485" s="15" t="inlineStr">
        <is>
          <t>Yes</t>
        </is>
      </c>
      <c r="N485" s="15" t="n"/>
      <c r="O485" s="15" t="n"/>
      <c r="P485" s="15" t="n"/>
      <c r="Q485" s="15" t="n"/>
      <c r="R485" s="15">
        <f>IF(OR(O485="Scheduled",Q485="Scheduled"),"SCHEDULED",IF(Q485="Escalate to call","ESCALATED TO CALL",IF(N485="Bad contact","BAD CONTACT",IF(N485="","NOT STARTED","IN PROGRESS"))))</f>
        <v/>
      </c>
      <c r="S485" s="15" t="n"/>
    </row>
    <row r="486">
      <c r="A486" s="15" t="inlineStr">
        <is>
          <t>REQ-0485</t>
        </is>
      </c>
      <c r="B486" s="16" t="n">
        <v>44867.82708333333</v>
      </c>
      <c r="C486" s="16">
        <f>B486+1</f>
        <v/>
      </c>
      <c r="D486" s="17">
        <f>(C486-NOW())*24</f>
        <v/>
      </c>
      <c r="E486" s="15">
        <f>IF(N486="","STEP 1: Send WhatsApp + Email blast now (Playbook M1)",IF(N486="Bad contact","STOP: report bad contact to lead (Playbook)",IF(O486="Scheduled","DONE: scheduled via Calendly",IF(O486="","STEP 2: Check Calendly now",IF(P486="","STEP 3: Send WhatsApp nudge (Playbook M2)",IF(Q486="Scheduled","DONE: scheduled via Calendly",IF(Q486="Escalate to call","HANDED to Shyam (call queue)","STEP 4: Final Calendly check")))))))</f>
        <v/>
      </c>
      <c r="F486" s="16">
        <f>IF(N486="",B486,IF(O486="",B486+2/24,IF(AND(O486="Not yet",P486=""),B486+2/24,IF(Q486="",B486+4/24,""))))</f>
        <v/>
      </c>
      <c r="G486" s="15" t="inlineStr">
        <is>
          <t>Chetan</t>
        </is>
      </c>
      <c r="H486" s="15" t="inlineStr">
        <is>
          <t>Google</t>
        </is>
      </c>
      <c r="I486" s="15" t="inlineStr">
        <is>
          <t>Round1</t>
        </is>
      </c>
      <c r="J486" s="18" t="inlineStr">
        <is>
          <t>+91 9920264452</t>
        </is>
      </c>
      <c r="K486" s="15" t="inlineStr">
        <is>
          <t>chetan@weekday.works</t>
        </is>
      </c>
      <c r="L486" s="15" t="inlineStr">
        <is>
          <t>&lt;calendly_link&gt;</t>
        </is>
      </c>
      <c r="M486" s="15" t="inlineStr">
        <is>
          <t>Yes</t>
        </is>
      </c>
      <c r="N486" s="15" t="n"/>
      <c r="O486" s="15" t="n"/>
      <c r="P486" s="15" t="n"/>
      <c r="Q486" s="15" t="n"/>
      <c r="R486" s="15">
        <f>IF(OR(O486="Scheduled",Q486="Scheduled"),"SCHEDULED",IF(Q486="Escalate to call","ESCALATED TO CALL",IF(N486="Bad contact","BAD CONTACT",IF(N486="","NOT STARTED","IN PROGRESS"))))</f>
        <v/>
      </c>
      <c r="S486" s="15" t="n"/>
    </row>
    <row r="487">
      <c r="A487" s="15" t="inlineStr">
        <is>
          <t>REQ-0486</t>
        </is>
      </c>
      <c r="B487" s="16" t="n">
        <v>44867.82708333333</v>
      </c>
      <c r="C487" s="16">
        <f>B487+1</f>
        <v/>
      </c>
      <c r="D487" s="17">
        <f>(C487-NOW())*24</f>
        <v/>
      </c>
      <c r="E487" s="15">
        <f>IF(N487="","STEP 1: Send WhatsApp + Email blast now (Playbook M1)",IF(N487="Bad contact","STOP: report bad contact to lead (Playbook)",IF(O487="Scheduled","DONE: scheduled via Calendly",IF(O487="","STEP 2: Check Calendly now",IF(P487="","STEP 3: Send WhatsApp nudge (Playbook M2)",IF(Q487="Scheduled","DONE: scheduled via Calendly",IF(Q487="Escalate to call","HANDED to Shyam (call queue)","STEP 4: Final Calendly check")))))))</f>
        <v/>
      </c>
      <c r="F487" s="16">
        <f>IF(N487="",B487,IF(O487="",B487+2/24,IF(AND(O487="Not yet",P487=""),B487+2/24,IF(Q487="",B487+4/24,""))))</f>
        <v/>
      </c>
      <c r="G487" s="15" t="inlineStr">
        <is>
          <t>Chetan</t>
        </is>
      </c>
      <c r="H487" s="15" t="inlineStr">
        <is>
          <t>Google</t>
        </is>
      </c>
      <c r="I487" s="15" t="inlineStr">
        <is>
          <t>Round1</t>
        </is>
      </c>
      <c r="J487" s="18" t="inlineStr">
        <is>
          <t>+91 9920264452</t>
        </is>
      </c>
      <c r="K487" s="15" t="inlineStr">
        <is>
          <t>chetan@weekday.works</t>
        </is>
      </c>
      <c r="L487" s="15" t="inlineStr">
        <is>
          <t>&lt;calendly_link&gt;</t>
        </is>
      </c>
      <c r="M487" s="15" t="inlineStr">
        <is>
          <t>Yes</t>
        </is>
      </c>
      <c r="N487" s="15" t="n"/>
      <c r="O487" s="15" t="n"/>
      <c r="P487" s="15" t="n"/>
      <c r="Q487" s="15" t="n"/>
      <c r="R487" s="15">
        <f>IF(OR(O487="Scheduled",Q487="Scheduled"),"SCHEDULED",IF(Q487="Escalate to call","ESCALATED TO CALL",IF(N487="Bad contact","BAD CONTACT",IF(N487="","NOT STARTED","IN PROGRESS"))))</f>
        <v/>
      </c>
      <c r="S487" s="15" t="n"/>
    </row>
    <row r="488">
      <c r="A488" s="15" t="inlineStr">
        <is>
          <t>REQ-0487</t>
        </is>
      </c>
      <c r="B488" s="16" t="n">
        <v>44867.82708333333</v>
      </c>
      <c r="C488" s="16">
        <f>B488+1</f>
        <v/>
      </c>
      <c r="D488" s="17">
        <f>(C488-NOW())*24</f>
        <v/>
      </c>
      <c r="E488" s="15">
        <f>IF(N488="","STEP 1: Send WhatsApp + Email blast now (Playbook M1)",IF(N488="Bad contact","STOP: report bad contact to lead (Playbook)",IF(O488="Scheduled","DONE: scheduled via Calendly",IF(O488="","STEP 2: Check Calendly now",IF(P488="","STEP 3: Send WhatsApp nudge (Playbook M2)",IF(Q488="Scheduled","DONE: scheduled via Calendly",IF(Q488="Escalate to call","HANDED to Shyam (call queue)","STEP 4: Final Calendly check")))))))</f>
        <v/>
      </c>
      <c r="F488" s="16">
        <f>IF(N488="",B488,IF(O488="",B488+2/24,IF(AND(O488="Not yet",P488=""),B488+2/24,IF(Q488="",B488+4/24,""))))</f>
        <v/>
      </c>
      <c r="G488" s="15" t="inlineStr">
        <is>
          <t>Chetan</t>
        </is>
      </c>
      <c r="H488" s="15" t="inlineStr">
        <is>
          <t>Google</t>
        </is>
      </c>
      <c r="I488" s="15" t="inlineStr">
        <is>
          <t>Round1</t>
        </is>
      </c>
      <c r="J488" s="18" t="inlineStr">
        <is>
          <t>+91 9920264452</t>
        </is>
      </c>
      <c r="K488" s="15" t="inlineStr">
        <is>
          <t>chetan@weekday.works</t>
        </is>
      </c>
      <c r="L488" s="15" t="inlineStr">
        <is>
          <t>&lt;calendly_link&gt;</t>
        </is>
      </c>
      <c r="M488" s="15" t="inlineStr">
        <is>
          <t>Yes</t>
        </is>
      </c>
      <c r="N488" s="15" t="n"/>
      <c r="O488" s="15" t="n"/>
      <c r="P488" s="15" t="n"/>
      <c r="Q488" s="15" t="n"/>
      <c r="R488" s="15">
        <f>IF(OR(O488="Scheduled",Q488="Scheduled"),"SCHEDULED",IF(Q488="Escalate to call","ESCALATED TO CALL",IF(N488="Bad contact","BAD CONTACT",IF(N488="","NOT STARTED","IN PROGRESS"))))</f>
        <v/>
      </c>
      <c r="S488" s="15" t="n"/>
    </row>
    <row r="489">
      <c r="A489" s="15" t="inlineStr">
        <is>
          <t>REQ-0488</t>
        </is>
      </c>
      <c r="B489" s="16" t="n">
        <v>44867.82708333333</v>
      </c>
      <c r="C489" s="16">
        <f>B489+1</f>
        <v/>
      </c>
      <c r="D489" s="17">
        <f>(C489-NOW())*24</f>
        <v/>
      </c>
      <c r="E489" s="15">
        <f>IF(N489="","STEP 1: Send WhatsApp + Email blast now (Playbook M1)",IF(N489="Bad contact","STOP: report bad contact to lead (Playbook)",IF(O489="Scheduled","DONE: scheduled via Calendly",IF(O489="","STEP 2: Check Calendly now",IF(P489="","STEP 3: Send WhatsApp nudge (Playbook M2)",IF(Q489="Scheduled","DONE: scheduled via Calendly",IF(Q489="Escalate to call","HANDED to Shyam (call queue)","STEP 4: Final Calendly check")))))))</f>
        <v/>
      </c>
      <c r="F489" s="16">
        <f>IF(N489="",B489,IF(O489="",B489+2/24,IF(AND(O489="Not yet",P489=""),B489+2/24,IF(Q489="",B489+4/24,""))))</f>
        <v/>
      </c>
      <c r="G489" s="15" t="inlineStr">
        <is>
          <t>Chetan</t>
        </is>
      </c>
      <c r="H489" s="15" t="inlineStr">
        <is>
          <t>Google</t>
        </is>
      </c>
      <c r="I489" s="15" t="inlineStr">
        <is>
          <t>Round1</t>
        </is>
      </c>
      <c r="J489" s="18" t="inlineStr">
        <is>
          <t>+91 9920264452</t>
        </is>
      </c>
      <c r="K489" s="15" t="inlineStr">
        <is>
          <t>chetan@weekday.works</t>
        </is>
      </c>
      <c r="L489" s="15" t="inlineStr">
        <is>
          <t>&lt;calendly_link&gt;</t>
        </is>
      </c>
      <c r="M489" s="15" t="inlineStr">
        <is>
          <t>Yes</t>
        </is>
      </c>
      <c r="N489" s="15" t="n"/>
      <c r="O489" s="15" t="n"/>
      <c r="P489" s="15" t="n"/>
      <c r="Q489" s="15" t="n"/>
      <c r="R489" s="15">
        <f>IF(OR(O489="Scheduled",Q489="Scheduled"),"SCHEDULED",IF(Q489="Escalate to call","ESCALATED TO CALL",IF(N489="Bad contact","BAD CONTACT",IF(N489="","NOT STARTED","IN PROGRESS"))))</f>
        <v/>
      </c>
      <c r="S489" s="15" t="n"/>
    </row>
    <row r="490">
      <c r="A490" s="15" t="inlineStr">
        <is>
          <t>REQ-0489</t>
        </is>
      </c>
      <c r="B490" s="16" t="n">
        <v>44867.82708333333</v>
      </c>
      <c r="C490" s="16">
        <f>B490+1</f>
        <v/>
      </c>
      <c r="D490" s="17">
        <f>(C490-NOW())*24</f>
        <v/>
      </c>
      <c r="E490" s="15">
        <f>IF(N490="","STEP 1: Send WhatsApp + Email blast now (Playbook M1)",IF(N490="Bad contact","STOP: report bad contact to lead (Playbook)",IF(O490="Scheduled","DONE: scheduled via Calendly",IF(O490="","STEP 2: Check Calendly now",IF(P490="","STEP 3: Send WhatsApp nudge (Playbook M2)",IF(Q490="Scheduled","DONE: scheduled via Calendly",IF(Q490="Escalate to call","HANDED to Shyam (call queue)","STEP 4: Final Calendly check")))))))</f>
        <v/>
      </c>
      <c r="F490" s="16">
        <f>IF(N490="",B490,IF(O490="",B490+2/24,IF(AND(O490="Not yet",P490=""),B490+2/24,IF(Q490="",B490+4/24,""))))</f>
        <v/>
      </c>
      <c r="G490" s="15" t="inlineStr">
        <is>
          <t>Chetan</t>
        </is>
      </c>
      <c r="H490" s="15" t="inlineStr">
        <is>
          <t>Google</t>
        </is>
      </c>
      <c r="I490" s="15" t="inlineStr">
        <is>
          <t>Round1</t>
        </is>
      </c>
      <c r="J490" s="18" t="inlineStr">
        <is>
          <t>+91 9920264452</t>
        </is>
      </c>
      <c r="K490" s="15" t="inlineStr">
        <is>
          <t>chetan@weekday.works</t>
        </is>
      </c>
      <c r="L490" s="15" t="inlineStr">
        <is>
          <t>&lt;calendly_link&gt;</t>
        </is>
      </c>
      <c r="M490" s="15" t="inlineStr">
        <is>
          <t>Yes</t>
        </is>
      </c>
      <c r="N490" s="15" t="n"/>
      <c r="O490" s="15" t="n"/>
      <c r="P490" s="15" t="n"/>
      <c r="Q490" s="15" t="n"/>
      <c r="R490" s="15">
        <f>IF(OR(O490="Scheduled",Q490="Scheduled"),"SCHEDULED",IF(Q490="Escalate to call","ESCALATED TO CALL",IF(N490="Bad contact","BAD CONTACT",IF(N490="","NOT STARTED","IN PROGRESS"))))</f>
        <v/>
      </c>
      <c r="S490" s="15" t="n"/>
    </row>
    <row r="491">
      <c r="A491" s="15" t="inlineStr">
        <is>
          <t>REQ-0490</t>
        </is>
      </c>
      <c r="B491" s="16" t="n">
        <v>44867.82708333333</v>
      </c>
      <c r="C491" s="16">
        <f>B491+1</f>
        <v/>
      </c>
      <c r="D491" s="17">
        <f>(C491-NOW())*24</f>
        <v/>
      </c>
      <c r="E491" s="15">
        <f>IF(N491="","STEP 1: Send WhatsApp + Email blast now (Playbook M1)",IF(N491="Bad contact","STOP: report bad contact to lead (Playbook)",IF(O491="Scheduled","DONE: scheduled via Calendly",IF(O491="","STEP 2: Check Calendly now",IF(P491="","STEP 3: Send WhatsApp nudge (Playbook M2)",IF(Q491="Scheduled","DONE: scheduled via Calendly",IF(Q491="Escalate to call","HANDED to Shyam (call queue)","STEP 4: Final Calendly check")))))))</f>
        <v/>
      </c>
      <c r="F491" s="16">
        <f>IF(N491="",B491,IF(O491="",B491+2/24,IF(AND(O491="Not yet",P491=""),B491+2/24,IF(Q491="",B491+4/24,""))))</f>
        <v/>
      </c>
      <c r="G491" s="15" t="inlineStr">
        <is>
          <t>Chetan</t>
        </is>
      </c>
      <c r="H491" s="15" t="inlineStr">
        <is>
          <t>Google</t>
        </is>
      </c>
      <c r="I491" s="15" t="inlineStr">
        <is>
          <t>Round1</t>
        </is>
      </c>
      <c r="J491" s="18" t="inlineStr">
        <is>
          <t>+91 9920264452</t>
        </is>
      </c>
      <c r="K491" s="15" t="inlineStr">
        <is>
          <t>chetan@weekday.works</t>
        </is>
      </c>
      <c r="L491" s="15" t="inlineStr">
        <is>
          <t>&lt;calendly_link&gt;</t>
        </is>
      </c>
      <c r="M491" s="15" t="inlineStr">
        <is>
          <t>Yes</t>
        </is>
      </c>
      <c r="N491" s="15" t="n"/>
      <c r="O491" s="15" t="n"/>
      <c r="P491" s="15" t="n"/>
      <c r="Q491" s="15" t="n"/>
      <c r="R491" s="15">
        <f>IF(OR(O491="Scheduled",Q491="Scheduled"),"SCHEDULED",IF(Q491="Escalate to call","ESCALATED TO CALL",IF(N491="Bad contact","BAD CONTACT",IF(N491="","NOT STARTED","IN PROGRESS"))))</f>
        <v/>
      </c>
      <c r="S491" s="15" t="n"/>
    </row>
    <row r="492">
      <c r="A492" s="15" t="inlineStr">
        <is>
          <t>REQ-0491</t>
        </is>
      </c>
      <c r="B492" s="16" t="n">
        <v>44867.82708333333</v>
      </c>
      <c r="C492" s="16">
        <f>B492+1</f>
        <v/>
      </c>
      <c r="D492" s="17">
        <f>(C492-NOW())*24</f>
        <v/>
      </c>
      <c r="E492" s="15">
        <f>IF(N492="","STEP 1: Send WhatsApp + Email blast now (Playbook M1)",IF(N492="Bad contact","STOP: report bad contact to lead (Playbook)",IF(O492="Scheduled","DONE: scheduled via Calendly",IF(O492="","STEP 2: Check Calendly now",IF(P492="","STEP 3: Send WhatsApp nudge (Playbook M2)",IF(Q492="Scheduled","DONE: scheduled via Calendly",IF(Q492="Escalate to call","HANDED to Shyam (call queue)","STEP 4: Final Calendly check")))))))</f>
        <v/>
      </c>
      <c r="F492" s="16">
        <f>IF(N492="",B492,IF(O492="",B492+2/24,IF(AND(O492="Not yet",P492=""),B492+2/24,IF(Q492="",B492+4/24,""))))</f>
        <v/>
      </c>
      <c r="G492" s="15" t="inlineStr">
        <is>
          <t>Chetan</t>
        </is>
      </c>
      <c r="H492" s="15" t="inlineStr">
        <is>
          <t>Google</t>
        </is>
      </c>
      <c r="I492" s="15" t="inlineStr">
        <is>
          <t>Round1</t>
        </is>
      </c>
      <c r="J492" s="18" t="inlineStr">
        <is>
          <t>+91 9920264452</t>
        </is>
      </c>
      <c r="K492" s="15" t="inlineStr">
        <is>
          <t>chetan@weekday.works</t>
        </is>
      </c>
      <c r="L492" s="15" t="inlineStr">
        <is>
          <t>&lt;calendly_link&gt;</t>
        </is>
      </c>
      <c r="M492" s="15" t="inlineStr">
        <is>
          <t>Yes</t>
        </is>
      </c>
      <c r="N492" s="15" t="n"/>
      <c r="O492" s="15" t="n"/>
      <c r="P492" s="15" t="n"/>
      <c r="Q492" s="15" t="n"/>
      <c r="R492" s="15">
        <f>IF(OR(O492="Scheduled",Q492="Scheduled"),"SCHEDULED",IF(Q492="Escalate to call","ESCALATED TO CALL",IF(N492="Bad contact","BAD CONTACT",IF(N492="","NOT STARTED","IN PROGRESS"))))</f>
        <v/>
      </c>
      <c r="S492" s="15" t="n"/>
    </row>
    <row r="493">
      <c r="A493" s="15" t="inlineStr">
        <is>
          <t>REQ-0492</t>
        </is>
      </c>
      <c r="B493" s="16" t="n">
        <v>44867.82708333333</v>
      </c>
      <c r="C493" s="16">
        <f>B493+1</f>
        <v/>
      </c>
      <c r="D493" s="17">
        <f>(C493-NOW())*24</f>
        <v/>
      </c>
      <c r="E493" s="15">
        <f>IF(N493="","STEP 1: Send WhatsApp + Email blast now (Playbook M1)",IF(N493="Bad contact","STOP: report bad contact to lead (Playbook)",IF(O493="Scheduled","DONE: scheduled via Calendly",IF(O493="","STEP 2: Check Calendly now",IF(P493="","STEP 3: Send WhatsApp nudge (Playbook M2)",IF(Q493="Scheduled","DONE: scheduled via Calendly",IF(Q493="Escalate to call","HANDED to Shyam (call queue)","STEP 4: Final Calendly check")))))))</f>
        <v/>
      </c>
      <c r="F493" s="16">
        <f>IF(N493="",B493,IF(O493="",B493+2/24,IF(AND(O493="Not yet",P493=""),B493+2/24,IF(Q493="",B493+4/24,""))))</f>
        <v/>
      </c>
      <c r="G493" s="15" t="inlineStr">
        <is>
          <t>Chetan</t>
        </is>
      </c>
      <c r="H493" s="15" t="inlineStr">
        <is>
          <t>Google</t>
        </is>
      </c>
      <c r="I493" s="15" t="inlineStr">
        <is>
          <t>Round1</t>
        </is>
      </c>
      <c r="J493" s="18" t="inlineStr">
        <is>
          <t>+91 9920264452</t>
        </is>
      </c>
      <c r="K493" s="15" t="inlineStr">
        <is>
          <t>chetan@weekday.works</t>
        </is>
      </c>
      <c r="L493" s="15" t="inlineStr">
        <is>
          <t>&lt;calendly_link&gt;</t>
        </is>
      </c>
      <c r="M493" s="15" t="inlineStr">
        <is>
          <t>Yes</t>
        </is>
      </c>
      <c r="N493" s="15" t="n"/>
      <c r="O493" s="15" t="n"/>
      <c r="P493" s="15" t="n"/>
      <c r="Q493" s="15" t="n"/>
      <c r="R493" s="15">
        <f>IF(OR(O493="Scheduled",Q493="Scheduled"),"SCHEDULED",IF(Q493="Escalate to call","ESCALATED TO CALL",IF(N493="Bad contact","BAD CONTACT",IF(N493="","NOT STARTED","IN PROGRESS"))))</f>
        <v/>
      </c>
      <c r="S493" s="15" t="n"/>
    </row>
    <row r="494">
      <c r="A494" s="15" t="inlineStr">
        <is>
          <t>REQ-0493</t>
        </is>
      </c>
      <c r="B494" s="16" t="n">
        <v>44867.82708333333</v>
      </c>
      <c r="C494" s="16">
        <f>B494+1</f>
        <v/>
      </c>
      <c r="D494" s="17">
        <f>(C494-NOW())*24</f>
        <v/>
      </c>
      <c r="E494" s="15">
        <f>IF(N494="","STEP 1: Send WhatsApp + Email blast now (Playbook M1)",IF(N494="Bad contact","STOP: report bad contact to lead (Playbook)",IF(O494="Scheduled","DONE: scheduled via Calendly",IF(O494="","STEP 2: Check Calendly now",IF(P494="","STEP 3: Send WhatsApp nudge (Playbook M2)",IF(Q494="Scheduled","DONE: scheduled via Calendly",IF(Q494="Escalate to call","HANDED to Shyam (call queue)","STEP 4: Final Calendly check")))))))</f>
        <v/>
      </c>
      <c r="F494" s="16">
        <f>IF(N494="",B494,IF(O494="",B494+2/24,IF(AND(O494="Not yet",P494=""),B494+2/24,IF(Q494="",B494+4/24,""))))</f>
        <v/>
      </c>
      <c r="G494" s="15" t="inlineStr">
        <is>
          <t>Chetan</t>
        </is>
      </c>
      <c r="H494" s="15" t="inlineStr">
        <is>
          <t>Google</t>
        </is>
      </c>
      <c r="I494" s="15" t="inlineStr">
        <is>
          <t>Round1</t>
        </is>
      </c>
      <c r="J494" s="18" t="inlineStr">
        <is>
          <t>+91 9920264452</t>
        </is>
      </c>
      <c r="K494" s="15" t="inlineStr">
        <is>
          <t>chetan@weekday.works</t>
        </is>
      </c>
      <c r="L494" s="15" t="inlineStr">
        <is>
          <t>&lt;calendly_link&gt;</t>
        </is>
      </c>
      <c r="M494" s="15" t="inlineStr">
        <is>
          <t>Yes</t>
        </is>
      </c>
      <c r="N494" s="15" t="n"/>
      <c r="O494" s="15" t="n"/>
      <c r="P494" s="15" t="n"/>
      <c r="Q494" s="15" t="n"/>
      <c r="R494" s="15">
        <f>IF(OR(O494="Scheduled",Q494="Scheduled"),"SCHEDULED",IF(Q494="Escalate to call","ESCALATED TO CALL",IF(N494="Bad contact","BAD CONTACT",IF(N494="","NOT STARTED","IN PROGRESS"))))</f>
        <v/>
      </c>
      <c r="S494" s="15" t="n"/>
    </row>
    <row r="495">
      <c r="A495" s="15" t="inlineStr">
        <is>
          <t>REQ-0494</t>
        </is>
      </c>
      <c r="B495" s="16" t="n">
        <v>44867.82708333333</v>
      </c>
      <c r="C495" s="16">
        <f>B495+1</f>
        <v/>
      </c>
      <c r="D495" s="17">
        <f>(C495-NOW())*24</f>
        <v/>
      </c>
      <c r="E495" s="15">
        <f>IF(N495="","STEP 1: Send WhatsApp + Email blast now (Playbook M1)",IF(N495="Bad contact","STOP: report bad contact to lead (Playbook)",IF(O495="Scheduled","DONE: scheduled via Calendly",IF(O495="","STEP 2: Check Calendly now",IF(P495="","STEP 3: Send WhatsApp nudge (Playbook M2)",IF(Q495="Scheduled","DONE: scheduled via Calendly",IF(Q495="Escalate to call","HANDED to Shyam (call queue)","STEP 4: Final Calendly check")))))))</f>
        <v/>
      </c>
      <c r="F495" s="16">
        <f>IF(N495="",B495,IF(O495="",B495+2/24,IF(AND(O495="Not yet",P495=""),B495+2/24,IF(Q495="",B495+4/24,""))))</f>
        <v/>
      </c>
      <c r="G495" s="15" t="inlineStr">
        <is>
          <t>Chetan</t>
        </is>
      </c>
      <c r="H495" s="15" t="inlineStr">
        <is>
          <t>Google</t>
        </is>
      </c>
      <c r="I495" s="15" t="inlineStr">
        <is>
          <t>Round1</t>
        </is>
      </c>
      <c r="J495" s="18" t="inlineStr">
        <is>
          <t>+91 9920264452</t>
        </is>
      </c>
      <c r="K495" s="15" t="inlineStr">
        <is>
          <t>chetan@weekday.works</t>
        </is>
      </c>
      <c r="L495" s="15" t="inlineStr">
        <is>
          <t>&lt;calendly_link&gt;</t>
        </is>
      </c>
      <c r="M495" s="15" t="inlineStr">
        <is>
          <t>Yes</t>
        </is>
      </c>
      <c r="N495" s="15" t="n"/>
      <c r="O495" s="15" t="n"/>
      <c r="P495" s="15" t="n"/>
      <c r="Q495" s="15" t="n"/>
      <c r="R495" s="15">
        <f>IF(OR(O495="Scheduled",Q495="Scheduled"),"SCHEDULED",IF(Q495="Escalate to call","ESCALATED TO CALL",IF(N495="Bad contact","BAD CONTACT",IF(N495="","NOT STARTED","IN PROGRESS"))))</f>
        <v/>
      </c>
      <c r="S495" s="15" t="n"/>
    </row>
    <row r="496">
      <c r="A496" s="15" t="inlineStr">
        <is>
          <t>REQ-0495</t>
        </is>
      </c>
      <c r="B496" s="16" t="n">
        <v>44867.82708333333</v>
      </c>
      <c r="C496" s="16">
        <f>B496+1</f>
        <v/>
      </c>
      <c r="D496" s="17">
        <f>(C496-NOW())*24</f>
        <v/>
      </c>
      <c r="E496" s="15">
        <f>IF(N496="","STEP 1: Send WhatsApp + Email blast now (Playbook M1)",IF(N496="Bad contact","STOP: report bad contact to lead (Playbook)",IF(O496="Scheduled","DONE: scheduled via Calendly",IF(O496="","STEP 2: Check Calendly now",IF(P496="","STEP 3: Send WhatsApp nudge (Playbook M2)",IF(Q496="Scheduled","DONE: scheduled via Calendly",IF(Q496="Escalate to call","HANDED to Shyam (call queue)","STEP 4: Final Calendly check")))))))</f>
        <v/>
      </c>
      <c r="F496" s="16">
        <f>IF(N496="",B496,IF(O496="",B496+2/24,IF(AND(O496="Not yet",P496=""),B496+2/24,IF(Q496="",B496+4/24,""))))</f>
        <v/>
      </c>
      <c r="G496" s="15" t="inlineStr">
        <is>
          <t>Chetan</t>
        </is>
      </c>
      <c r="H496" s="15" t="inlineStr">
        <is>
          <t>Google</t>
        </is>
      </c>
      <c r="I496" s="15" t="inlineStr">
        <is>
          <t>Round1</t>
        </is>
      </c>
      <c r="J496" s="18" t="inlineStr">
        <is>
          <t>+91 9920264452</t>
        </is>
      </c>
      <c r="K496" s="15" t="inlineStr">
        <is>
          <t>chetan@weekday.works</t>
        </is>
      </c>
      <c r="L496" s="15" t="inlineStr">
        <is>
          <t>&lt;calendly_link&gt;</t>
        </is>
      </c>
      <c r="M496" s="15" t="inlineStr">
        <is>
          <t>Yes</t>
        </is>
      </c>
      <c r="N496" s="15" t="n"/>
      <c r="O496" s="15" t="n"/>
      <c r="P496" s="15" t="n"/>
      <c r="Q496" s="15" t="n"/>
      <c r="R496" s="15">
        <f>IF(OR(O496="Scheduled",Q496="Scheduled"),"SCHEDULED",IF(Q496="Escalate to call","ESCALATED TO CALL",IF(N496="Bad contact","BAD CONTACT",IF(N496="","NOT STARTED","IN PROGRESS"))))</f>
        <v/>
      </c>
      <c r="S496" s="15" t="n"/>
    </row>
    <row r="497">
      <c r="A497" s="15" t="inlineStr">
        <is>
          <t>REQ-0496</t>
        </is>
      </c>
      <c r="B497" s="16" t="n">
        <v>44867.82708333333</v>
      </c>
      <c r="C497" s="16">
        <f>B497+1</f>
        <v/>
      </c>
      <c r="D497" s="17">
        <f>(C497-NOW())*24</f>
        <v/>
      </c>
      <c r="E497" s="15">
        <f>IF(N497="","STEP 1: Send WhatsApp + Email blast now (Playbook M1)",IF(N497="Bad contact","STOP: report bad contact to lead (Playbook)",IF(O497="Scheduled","DONE: scheduled via Calendly",IF(O497="","STEP 2: Check Calendly now",IF(P497="","STEP 3: Send WhatsApp nudge (Playbook M2)",IF(Q497="Scheduled","DONE: scheduled via Calendly",IF(Q497="Escalate to call","HANDED to Shyam (call queue)","STEP 4: Final Calendly check")))))))</f>
        <v/>
      </c>
      <c r="F497" s="16">
        <f>IF(N497="",B497,IF(O497="",B497+2/24,IF(AND(O497="Not yet",P497=""),B497+2/24,IF(Q497="",B497+4/24,""))))</f>
        <v/>
      </c>
      <c r="G497" s="15" t="inlineStr">
        <is>
          <t>Chetan</t>
        </is>
      </c>
      <c r="H497" s="15" t="inlineStr">
        <is>
          <t>Google</t>
        </is>
      </c>
      <c r="I497" s="15" t="inlineStr">
        <is>
          <t>Round1</t>
        </is>
      </c>
      <c r="J497" s="18" t="inlineStr">
        <is>
          <t>+91 9920264452</t>
        </is>
      </c>
      <c r="K497" s="15" t="inlineStr">
        <is>
          <t>chetan@weekday.works</t>
        </is>
      </c>
      <c r="L497" s="15" t="inlineStr">
        <is>
          <t>&lt;calendly_link&gt;</t>
        </is>
      </c>
      <c r="M497" s="15" t="inlineStr">
        <is>
          <t>Yes</t>
        </is>
      </c>
      <c r="N497" s="15" t="n"/>
      <c r="O497" s="15" t="n"/>
      <c r="P497" s="15" t="n"/>
      <c r="Q497" s="15" t="n"/>
      <c r="R497" s="15">
        <f>IF(OR(O497="Scheduled",Q497="Scheduled"),"SCHEDULED",IF(Q497="Escalate to call","ESCALATED TO CALL",IF(N497="Bad contact","BAD CONTACT",IF(N497="","NOT STARTED","IN PROGRESS"))))</f>
        <v/>
      </c>
      <c r="S497" s="15" t="n"/>
    </row>
    <row r="498">
      <c r="A498" s="15" t="inlineStr">
        <is>
          <t>REQ-0497</t>
        </is>
      </c>
      <c r="B498" s="16" t="n">
        <v>44867.82708333333</v>
      </c>
      <c r="C498" s="16">
        <f>B498+1</f>
        <v/>
      </c>
      <c r="D498" s="17">
        <f>(C498-NOW())*24</f>
        <v/>
      </c>
      <c r="E498" s="15">
        <f>IF(N498="","STEP 1: Send WhatsApp + Email blast now (Playbook M1)",IF(N498="Bad contact","STOP: report bad contact to lead (Playbook)",IF(O498="Scheduled","DONE: scheduled via Calendly",IF(O498="","STEP 2: Check Calendly now",IF(P498="","STEP 3: Send WhatsApp nudge (Playbook M2)",IF(Q498="Scheduled","DONE: scheduled via Calendly",IF(Q498="Escalate to call","HANDED to Shyam (call queue)","STEP 4: Final Calendly check")))))))</f>
        <v/>
      </c>
      <c r="F498" s="16">
        <f>IF(N498="",B498,IF(O498="",B498+2/24,IF(AND(O498="Not yet",P498=""),B498+2/24,IF(Q498="",B498+4/24,""))))</f>
        <v/>
      </c>
      <c r="G498" s="15" t="inlineStr">
        <is>
          <t>Chetan</t>
        </is>
      </c>
      <c r="H498" s="15" t="inlineStr">
        <is>
          <t>Google</t>
        </is>
      </c>
      <c r="I498" s="15" t="inlineStr">
        <is>
          <t>Round1</t>
        </is>
      </c>
      <c r="J498" s="18" t="inlineStr">
        <is>
          <t>+91 9920264452</t>
        </is>
      </c>
      <c r="K498" s="15" t="inlineStr">
        <is>
          <t>chetan@weekday.works</t>
        </is>
      </c>
      <c r="L498" s="15" t="inlineStr">
        <is>
          <t>&lt;calendly_link&gt;</t>
        </is>
      </c>
      <c r="M498" s="15" t="inlineStr">
        <is>
          <t>Yes</t>
        </is>
      </c>
      <c r="N498" s="15" t="n"/>
      <c r="O498" s="15" t="n"/>
      <c r="P498" s="15" t="n"/>
      <c r="Q498" s="15" t="n"/>
      <c r="R498" s="15">
        <f>IF(OR(O498="Scheduled",Q498="Scheduled"),"SCHEDULED",IF(Q498="Escalate to call","ESCALATED TO CALL",IF(N498="Bad contact","BAD CONTACT",IF(N498="","NOT STARTED","IN PROGRESS"))))</f>
        <v/>
      </c>
      <c r="S498" s="15" t="n"/>
    </row>
    <row r="499">
      <c r="A499" s="15" t="inlineStr">
        <is>
          <t>REQ-0498</t>
        </is>
      </c>
      <c r="B499" s="16" t="n">
        <v>44867.82708333333</v>
      </c>
      <c r="C499" s="16">
        <f>B499+1</f>
        <v/>
      </c>
      <c r="D499" s="17">
        <f>(C499-NOW())*24</f>
        <v/>
      </c>
      <c r="E499" s="15">
        <f>IF(N499="","STEP 1: Send WhatsApp + Email blast now (Playbook M1)",IF(N499="Bad contact","STOP: report bad contact to lead (Playbook)",IF(O499="Scheduled","DONE: scheduled via Calendly",IF(O499="","STEP 2: Check Calendly now",IF(P499="","STEP 3: Send WhatsApp nudge (Playbook M2)",IF(Q499="Scheduled","DONE: scheduled via Calendly",IF(Q499="Escalate to call","HANDED to Shyam (call queue)","STEP 4: Final Calendly check")))))))</f>
        <v/>
      </c>
      <c r="F499" s="16">
        <f>IF(N499="",B499,IF(O499="",B499+2/24,IF(AND(O499="Not yet",P499=""),B499+2/24,IF(Q499="",B499+4/24,""))))</f>
        <v/>
      </c>
      <c r="G499" s="15" t="inlineStr">
        <is>
          <t>Chetan</t>
        </is>
      </c>
      <c r="H499" s="15" t="inlineStr">
        <is>
          <t>Google</t>
        </is>
      </c>
      <c r="I499" s="15" t="inlineStr">
        <is>
          <t>Round1</t>
        </is>
      </c>
      <c r="J499" s="18" t="inlineStr">
        <is>
          <t>+91 9920264452</t>
        </is>
      </c>
      <c r="K499" s="15" t="inlineStr">
        <is>
          <t>chetan@weekday.works</t>
        </is>
      </c>
      <c r="L499" s="15" t="inlineStr">
        <is>
          <t>&lt;calendly_link&gt;</t>
        </is>
      </c>
      <c r="M499" s="15" t="inlineStr">
        <is>
          <t>Yes</t>
        </is>
      </c>
      <c r="N499" s="15" t="n"/>
      <c r="O499" s="15" t="n"/>
      <c r="P499" s="15" t="n"/>
      <c r="Q499" s="15" t="n"/>
      <c r="R499" s="15">
        <f>IF(OR(O499="Scheduled",Q499="Scheduled"),"SCHEDULED",IF(Q499="Escalate to call","ESCALATED TO CALL",IF(N499="Bad contact","BAD CONTACT",IF(N499="","NOT STARTED","IN PROGRESS"))))</f>
        <v/>
      </c>
      <c r="S499" s="15" t="n"/>
    </row>
    <row r="500">
      <c r="A500" s="15" t="inlineStr">
        <is>
          <t>REQ-0499</t>
        </is>
      </c>
      <c r="B500" s="16" t="n">
        <v>44867.82708333333</v>
      </c>
      <c r="C500" s="16">
        <f>B500+1</f>
        <v/>
      </c>
      <c r="D500" s="17">
        <f>(C500-NOW())*24</f>
        <v/>
      </c>
      <c r="E500" s="15">
        <f>IF(N500="","STEP 1: Send WhatsApp + Email blast now (Playbook M1)",IF(N500="Bad contact","STOP: report bad contact to lead (Playbook)",IF(O500="Scheduled","DONE: scheduled via Calendly",IF(O500="","STEP 2: Check Calendly now",IF(P500="","STEP 3: Send WhatsApp nudge (Playbook M2)",IF(Q500="Scheduled","DONE: scheduled via Calendly",IF(Q500="Escalate to call","HANDED to Shyam (call queue)","STEP 4: Final Calendly check")))))))</f>
        <v/>
      </c>
      <c r="F500" s="16">
        <f>IF(N500="",B500,IF(O500="",B500+2/24,IF(AND(O500="Not yet",P500=""),B500+2/24,IF(Q500="",B500+4/24,""))))</f>
        <v/>
      </c>
      <c r="G500" s="15" t="inlineStr">
        <is>
          <t>Chetan</t>
        </is>
      </c>
      <c r="H500" s="15" t="inlineStr">
        <is>
          <t>Google</t>
        </is>
      </c>
      <c r="I500" s="15" t="inlineStr">
        <is>
          <t>Round1</t>
        </is>
      </c>
      <c r="J500" s="18" t="inlineStr">
        <is>
          <t>+91 9920264452</t>
        </is>
      </c>
      <c r="K500" s="15" t="inlineStr">
        <is>
          <t>chetan@weekday.works</t>
        </is>
      </c>
      <c r="L500" s="15" t="inlineStr">
        <is>
          <t>&lt;calendly_link&gt;</t>
        </is>
      </c>
      <c r="M500" s="15" t="inlineStr">
        <is>
          <t>Yes</t>
        </is>
      </c>
      <c r="N500" s="15" t="n"/>
      <c r="O500" s="15" t="n"/>
      <c r="P500" s="15" t="n"/>
      <c r="Q500" s="15" t="n"/>
      <c r="R500" s="15">
        <f>IF(OR(O500="Scheduled",Q500="Scheduled"),"SCHEDULED",IF(Q500="Escalate to call","ESCALATED TO CALL",IF(N500="Bad contact","BAD CONTACT",IF(N500="","NOT STARTED","IN PROGRESS"))))</f>
        <v/>
      </c>
      <c r="S500" s="15" t="n"/>
    </row>
    <row r="501">
      <c r="A501" s="15" t="inlineStr">
        <is>
          <t>REQ-0500</t>
        </is>
      </c>
      <c r="B501" s="16" t="n">
        <v>44867.82708333333</v>
      </c>
      <c r="C501" s="16">
        <f>B501+1</f>
        <v/>
      </c>
      <c r="D501" s="17">
        <f>(C501-NOW())*24</f>
        <v/>
      </c>
      <c r="E501" s="15">
        <f>IF(N501="","STEP 1: Send WhatsApp + Email blast now (Playbook M1)",IF(N501="Bad contact","STOP: report bad contact to lead (Playbook)",IF(O501="Scheduled","DONE: scheduled via Calendly",IF(O501="","STEP 2: Check Calendly now",IF(P501="","STEP 3: Send WhatsApp nudge (Playbook M2)",IF(Q501="Scheduled","DONE: scheduled via Calendly",IF(Q501="Escalate to call","HANDED to Shyam (call queue)","STEP 4: Final Calendly check")))))))</f>
        <v/>
      </c>
      <c r="F501" s="16">
        <f>IF(N501="",B501,IF(O501="",B501+2/24,IF(AND(O501="Not yet",P501=""),B501+2/24,IF(Q501="",B501+4/24,""))))</f>
        <v/>
      </c>
      <c r="G501" s="15" t="inlineStr">
        <is>
          <t>Chetan</t>
        </is>
      </c>
      <c r="H501" s="15" t="inlineStr">
        <is>
          <t>Google</t>
        </is>
      </c>
      <c r="I501" s="15" t="inlineStr">
        <is>
          <t>Round1</t>
        </is>
      </c>
      <c r="J501" s="18" t="inlineStr">
        <is>
          <t>+91 9920264452</t>
        </is>
      </c>
      <c r="K501" s="15" t="inlineStr">
        <is>
          <t>chetan@weekday.works</t>
        </is>
      </c>
      <c r="L501" s="15" t="inlineStr">
        <is>
          <t>&lt;calendly_link&gt;</t>
        </is>
      </c>
      <c r="M501" s="15" t="inlineStr">
        <is>
          <t>Yes</t>
        </is>
      </c>
      <c r="N501" s="15" t="n"/>
      <c r="O501" s="15" t="n"/>
      <c r="P501" s="15" t="n"/>
      <c r="Q501" s="15" t="n"/>
      <c r="R501" s="15">
        <f>IF(OR(O501="Scheduled",Q501="Scheduled"),"SCHEDULED",IF(Q501="Escalate to call","ESCALATED TO CALL",IF(N501="Bad contact","BAD CONTACT",IF(N501="","NOT STARTED","IN PROGRESS"))))</f>
        <v/>
      </c>
      <c r="S501" s="15" t="n"/>
    </row>
    <row r="502">
      <c r="A502" s="15" t="inlineStr">
        <is>
          <t>REQ-0501</t>
        </is>
      </c>
      <c r="B502" s="16" t="n">
        <v>44867.82708333333</v>
      </c>
      <c r="C502" s="16">
        <f>B502+1</f>
        <v/>
      </c>
      <c r="D502" s="17">
        <f>(C502-NOW())*24</f>
        <v/>
      </c>
      <c r="E502" s="15">
        <f>IF(N502="","STEP 1: Send WhatsApp + Email blast now (Playbook M1)",IF(N502="Bad contact","STOP: report bad contact to lead (Playbook)",IF(O502="Scheduled","DONE: scheduled via Calendly",IF(O502="","STEP 2: Check Calendly now",IF(P502="","STEP 3: Send WhatsApp nudge (Playbook M2)",IF(Q502="Scheduled","DONE: scheduled via Calendly",IF(Q502="Escalate to call","HANDED to Shyam (call queue)","STEP 4: Final Calendly check")))))))</f>
        <v/>
      </c>
      <c r="F502" s="16">
        <f>IF(N502="",B502,IF(O502="",B502+2/24,IF(AND(O502="Not yet",P502=""),B502+2/24,IF(Q502="",B502+4/24,""))))</f>
        <v/>
      </c>
      <c r="G502" s="15" t="inlineStr">
        <is>
          <t>Chetan</t>
        </is>
      </c>
      <c r="H502" s="15" t="inlineStr">
        <is>
          <t>Google</t>
        </is>
      </c>
      <c r="I502" s="15" t="inlineStr">
        <is>
          <t>Round1</t>
        </is>
      </c>
      <c r="J502" s="18" t="inlineStr">
        <is>
          <t>+91 9920264452</t>
        </is>
      </c>
      <c r="K502" s="15" t="inlineStr">
        <is>
          <t>chetan@weekday.works</t>
        </is>
      </c>
      <c r="L502" s="15" t="inlineStr">
        <is>
          <t>&lt;calendly_link&gt;</t>
        </is>
      </c>
      <c r="M502" s="15" t="inlineStr">
        <is>
          <t>Yes</t>
        </is>
      </c>
      <c r="N502" s="15" t="n"/>
      <c r="O502" s="15" t="n"/>
      <c r="P502" s="15" t="n"/>
      <c r="Q502" s="15" t="n"/>
      <c r="R502" s="15">
        <f>IF(OR(O502="Scheduled",Q502="Scheduled"),"SCHEDULED",IF(Q502="Escalate to call","ESCALATED TO CALL",IF(N502="Bad contact","BAD CONTACT",IF(N502="","NOT STARTED","IN PROGRESS"))))</f>
        <v/>
      </c>
      <c r="S502" s="15" t="n"/>
    </row>
    <row r="503">
      <c r="A503" s="15" t="inlineStr">
        <is>
          <t>REQ-0502</t>
        </is>
      </c>
      <c r="B503" s="16" t="n">
        <v>44867.82708333333</v>
      </c>
      <c r="C503" s="16">
        <f>B503+1</f>
        <v/>
      </c>
      <c r="D503" s="17">
        <f>(C503-NOW())*24</f>
        <v/>
      </c>
      <c r="E503" s="15">
        <f>IF(N503="","STEP 1: Send WhatsApp + Email blast now (Playbook M1)",IF(N503="Bad contact","STOP: report bad contact to lead (Playbook)",IF(O503="Scheduled","DONE: scheduled via Calendly",IF(O503="","STEP 2: Check Calendly now",IF(P503="","STEP 3: Send WhatsApp nudge (Playbook M2)",IF(Q503="Scheduled","DONE: scheduled via Calendly",IF(Q503="Escalate to call","HANDED to Shyam (call queue)","STEP 4: Final Calendly check")))))))</f>
        <v/>
      </c>
      <c r="F503" s="16">
        <f>IF(N503="",B503,IF(O503="",B503+2/24,IF(AND(O503="Not yet",P503=""),B503+2/24,IF(Q503="",B503+4/24,""))))</f>
        <v/>
      </c>
      <c r="G503" s="15" t="inlineStr">
        <is>
          <t>Chetan</t>
        </is>
      </c>
      <c r="H503" s="15" t="inlineStr">
        <is>
          <t>Google</t>
        </is>
      </c>
      <c r="I503" s="15" t="inlineStr">
        <is>
          <t>Round1</t>
        </is>
      </c>
      <c r="J503" s="18" t="inlineStr">
        <is>
          <t>+91 9920264452</t>
        </is>
      </c>
      <c r="K503" s="15" t="inlineStr">
        <is>
          <t>chetan@weekday.works</t>
        </is>
      </c>
      <c r="L503" s="15" t="inlineStr">
        <is>
          <t>&lt;calendly_link&gt;</t>
        </is>
      </c>
      <c r="M503" s="15" t="inlineStr">
        <is>
          <t>Yes</t>
        </is>
      </c>
      <c r="N503" s="15" t="n"/>
      <c r="O503" s="15" t="n"/>
      <c r="P503" s="15" t="n"/>
      <c r="Q503" s="15" t="n"/>
      <c r="R503" s="15">
        <f>IF(OR(O503="Scheduled",Q503="Scheduled"),"SCHEDULED",IF(Q503="Escalate to call","ESCALATED TO CALL",IF(N503="Bad contact","BAD CONTACT",IF(N503="","NOT STARTED","IN PROGRESS"))))</f>
        <v/>
      </c>
      <c r="S503" s="15" t="n"/>
    </row>
    <row r="504">
      <c r="A504" s="15" t="inlineStr">
        <is>
          <t>REQ-0503</t>
        </is>
      </c>
      <c r="B504" s="16" t="n">
        <v>44867.82708333333</v>
      </c>
      <c r="C504" s="16">
        <f>B504+1</f>
        <v/>
      </c>
      <c r="D504" s="17">
        <f>(C504-NOW())*24</f>
        <v/>
      </c>
      <c r="E504" s="15">
        <f>IF(N504="","STEP 1: Send WhatsApp + Email blast now (Playbook M1)",IF(N504="Bad contact","STOP: report bad contact to lead (Playbook)",IF(O504="Scheduled","DONE: scheduled via Calendly",IF(O504="","STEP 2: Check Calendly now",IF(P504="","STEP 3: Send WhatsApp nudge (Playbook M2)",IF(Q504="Scheduled","DONE: scheduled via Calendly",IF(Q504="Escalate to call","HANDED to Shyam (call queue)","STEP 4: Final Calendly check")))))))</f>
        <v/>
      </c>
      <c r="F504" s="16">
        <f>IF(N504="",B504,IF(O504="",B504+2/24,IF(AND(O504="Not yet",P504=""),B504+2/24,IF(Q504="",B504+4/24,""))))</f>
        <v/>
      </c>
      <c r="G504" s="15" t="inlineStr">
        <is>
          <t>Chetan</t>
        </is>
      </c>
      <c r="H504" s="15" t="inlineStr">
        <is>
          <t>Google</t>
        </is>
      </c>
      <c r="I504" s="15" t="inlineStr">
        <is>
          <t>Round1</t>
        </is>
      </c>
      <c r="J504" s="18" t="inlineStr">
        <is>
          <t>+91 9920264452</t>
        </is>
      </c>
      <c r="K504" s="15" t="inlineStr">
        <is>
          <t>chetan@weekday.works</t>
        </is>
      </c>
      <c r="L504" s="15" t="inlineStr">
        <is>
          <t>&lt;calendly_link&gt;</t>
        </is>
      </c>
      <c r="M504" s="15" t="inlineStr">
        <is>
          <t>Yes</t>
        </is>
      </c>
      <c r="N504" s="15" t="n"/>
      <c r="O504" s="15" t="n"/>
      <c r="P504" s="15" t="n"/>
      <c r="Q504" s="15" t="n"/>
      <c r="R504" s="15">
        <f>IF(OR(O504="Scheduled",Q504="Scheduled"),"SCHEDULED",IF(Q504="Escalate to call","ESCALATED TO CALL",IF(N504="Bad contact","BAD CONTACT",IF(N504="","NOT STARTED","IN PROGRESS"))))</f>
        <v/>
      </c>
      <c r="S504" s="15" t="n"/>
    </row>
    <row r="505">
      <c r="A505" s="15" t="inlineStr">
        <is>
          <t>REQ-0504</t>
        </is>
      </c>
      <c r="B505" s="16" t="n">
        <v>44867.82708333333</v>
      </c>
      <c r="C505" s="16">
        <f>B505+1</f>
        <v/>
      </c>
      <c r="D505" s="17">
        <f>(C505-NOW())*24</f>
        <v/>
      </c>
      <c r="E505" s="15">
        <f>IF(N505="","STEP 1: Send WhatsApp + Email blast now (Playbook M1)",IF(N505="Bad contact","STOP: report bad contact to lead (Playbook)",IF(O505="Scheduled","DONE: scheduled via Calendly",IF(O505="","STEP 2: Check Calendly now",IF(P505="","STEP 3: Send WhatsApp nudge (Playbook M2)",IF(Q505="Scheduled","DONE: scheduled via Calendly",IF(Q505="Escalate to call","HANDED to Shyam (call queue)","STEP 4: Final Calendly check")))))))</f>
        <v/>
      </c>
      <c r="F505" s="16">
        <f>IF(N505="",B505,IF(O505="",B505+2/24,IF(AND(O505="Not yet",P505=""),B505+2/24,IF(Q505="",B505+4/24,""))))</f>
        <v/>
      </c>
      <c r="G505" s="15" t="inlineStr">
        <is>
          <t>Chetan</t>
        </is>
      </c>
      <c r="H505" s="15" t="inlineStr">
        <is>
          <t>Google</t>
        </is>
      </c>
      <c r="I505" s="15" t="inlineStr">
        <is>
          <t>Round1</t>
        </is>
      </c>
      <c r="J505" s="18" t="inlineStr">
        <is>
          <t>+91 9920264452</t>
        </is>
      </c>
      <c r="K505" s="15" t="inlineStr">
        <is>
          <t>chetan@weekday.works</t>
        </is>
      </c>
      <c r="L505" s="15" t="inlineStr">
        <is>
          <t>&lt;calendly_link&gt;</t>
        </is>
      </c>
      <c r="M505" s="15" t="inlineStr">
        <is>
          <t>Yes</t>
        </is>
      </c>
      <c r="N505" s="15" t="n"/>
      <c r="O505" s="15" t="n"/>
      <c r="P505" s="15" t="n"/>
      <c r="Q505" s="15" t="n"/>
      <c r="R505" s="15">
        <f>IF(OR(O505="Scheduled",Q505="Scheduled"),"SCHEDULED",IF(Q505="Escalate to call","ESCALATED TO CALL",IF(N505="Bad contact","BAD CONTACT",IF(N505="","NOT STARTED","IN PROGRESS"))))</f>
        <v/>
      </c>
      <c r="S505" s="15" t="n"/>
    </row>
    <row r="506">
      <c r="A506" s="15" t="inlineStr">
        <is>
          <t>REQ-0505</t>
        </is>
      </c>
      <c r="B506" s="16" t="n">
        <v>44867.82708333333</v>
      </c>
      <c r="C506" s="16">
        <f>B506+1</f>
        <v/>
      </c>
      <c r="D506" s="17">
        <f>(C506-NOW())*24</f>
        <v/>
      </c>
      <c r="E506" s="15">
        <f>IF(N506="","STEP 1: Send WhatsApp + Email blast now (Playbook M1)",IF(N506="Bad contact","STOP: report bad contact to lead (Playbook)",IF(O506="Scheduled","DONE: scheduled via Calendly",IF(O506="","STEP 2: Check Calendly now",IF(P506="","STEP 3: Send WhatsApp nudge (Playbook M2)",IF(Q506="Scheduled","DONE: scheduled via Calendly",IF(Q506="Escalate to call","HANDED to Shyam (call queue)","STEP 4: Final Calendly check")))))))</f>
        <v/>
      </c>
      <c r="F506" s="16">
        <f>IF(N506="",B506,IF(O506="",B506+2/24,IF(AND(O506="Not yet",P506=""),B506+2/24,IF(Q506="",B506+4/24,""))))</f>
        <v/>
      </c>
      <c r="G506" s="15" t="inlineStr">
        <is>
          <t>Chetan</t>
        </is>
      </c>
      <c r="H506" s="15" t="inlineStr">
        <is>
          <t>Google</t>
        </is>
      </c>
      <c r="I506" s="15" t="inlineStr">
        <is>
          <t>Round1</t>
        </is>
      </c>
      <c r="J506" s="18" t="inlineStr">
        <is>
          <t>+91 9920264452</t>
        </is>
      </c>
      <c r="K506" s="15" t="inlineStr">
        <is>
          <t>chetan@weekday.works</t>
        </is>
      </c>
      <c r="L506" s="15" t="inlineStr">
        <is>
          <t>&lt;calendly_link&gt;</t>
        </is>
      </c>
      <c r="M506" s="15" t="inlineStr">
        <is>
          <t>Yes</t>
        </is>
      </c>
      <c r="N506" s="15" t="n"/>
      <c r="O506" s="15" t="n"/>
      <c r="P506" s="15" t="n"/>
      <c r="Q506" s="15" t="n"/>
      <c r="R506" s="15">
        <f>IF(OR(O506="Scheduled",Q506="Scheduled"),"SCHEDULED",IF(Q506="Escalate to call","ESCALATED TO CALL",IF(N506="Bad contact","BAD CONTACT",IF(N506="","NOT STARTED","IN PROGRESS"))))</f>
        <v/>
      </c>
      <c r="S506" s="15" t="n"/>
    </row>
    <row r="507">
      <c r="A507" s="15" t="inlineStr">
        <is>
          <t>REQ-0506</t>
        </is>
      </c>
      <c r="B507" s="16" t="n">
        <v>44867.82708333333</v>
      </c>
      <c r="C507" s="16">
        <f>B507+1</f>
        <v/>
      </c>
      <c r="D507" s="17">
        <f>(C507-NOW())*24</f>
        <v/>
      </c>
      <c r="E507" s="15">
        <f>IF(N507="","STEP 1: Send WhatsApp + Email blast now (Playbook M1)",IF(N507="Bad contact","STOP: report bad contact to lead (Playbook)",IF(O507="Scheduled","DONE: scheduled via Calendly",IF(O507="","STEP 2: Check Calendly now",IF(P507="","STEP 3: Send WhatsApp nudge (Playbook M2)",IF(Q507="Scheduled","DONE: scheduled via Calendly",IF(Q507="Escalate to call","HANDED to Shyam (call queue)","STEP 4: Final Calendly check")))))))</f>
        <v/>
      </c>
      <c r="F507" s="16">
        <f>IF(N507="",B507,IF(O507="",B507+2/24,IF(AND(O507="Not yet",P507=""),B507+2/24,IF(Q507="",B507+4/24,""))))</f>
        <v/>
      </c>
      <c r="G507" s="15" t="inlineStr">
        <is>
          <t>Chetan</t>
        </is>
      </c>
      <c r="H507" s="15" t="inlineStr">
        <is>
          <t>Google</t>
        </is>
      </c>
      <c r="I507" s="15" t="inlineStr">
        <is>
          <t>Round1</t>
        </is>
      </c>
      <c r="J507" s="18" t="inlineStr">
        <is>
          <t>+91 9920264452</t>
        </is>
      </c>
      <c r="K507" s="15" t="inlineStr">
        <is>
          <t>chetan@weekday.works</t>
        </is>
      </c>
      <c r="L507" s="15" t="inlineStr">
        <is>
          <t>&lt;calendly_link&gt;</t>
        </is>
      </c>
      <c r="M507" s="15" t="inlineStr">
        <is>
          <t>Yes</t>
        </is>
      </c>
      <c r="N507" s="15" t="n"/>
      <c r="O507" s="15" t="n"/>
      <c r="P507" s="15" t="n"/>
      <c r="Q507" s="15" t="n"/>
      <c r="R507" s="15">
        <f>IF(OR(O507="Scheduled",Q507="Scheduled"),"SCHEDULED",IF(Q507="Escalate to call","ESCALATED TO CALL",IF(N507="Bad contact","BAD CONTACT",IF(N507="","NOT STARTED","IN PROGRESS"))))</f>
        <v/>
      </c>
      <c r="S507" s="15" t="n"/>
    </row>
    <row r="508">
      <c r="A508" s="15" t="inlineStr">
        <is>
          <t>REQ-0507</t>
        </is>
      </c>
      <c r="B508" s="16" t="n">
        <v>44867.82708333333</v>
      </c>
      <c r="C508" s="16">
        <f>B508+1</f>
        <v/>
      </c>
      <c r="D508" s="17">
        <f>(C508-NOW())*24</f>
        <v/>
      </c>
      <c r="E508" s="15">
        <f>IF(N508="","STEP 1: Send WhatsApp + Email blast now (Playbook M1)",IF(N508="Bad contact","STOP: report bad contact to lead (Playbook)",IF(O508="Scheduled","DONE: scheduled via Calendly",IF(O508="","STEP 2: Check Calendly now",IF(P508="","STEP 3: Send WhatsApp nudge (Playbook M2)",IF(Q508="Scheduled","DONE: scheduled via Calendly",IF(Q508="Escalate to call","HANDED to Shyam (call queue)","STEP 4: Final Calendly check")))))))</f>
        <v/>
      </c>
      <c r="F508" s="16">
        <f>IF(N508="",B508,IF(O508="",B508+2/24,IF(AND(O508="Not yet",P508=""),B508+2/24,IF(Q508="",B508+4/24,""))))</f>
        <v/>
      </c>
      <c r="G508" s="15" t="inlineStr">
        <is>
          <t>Chetan</t>
        </is>
      </c>
      <c r="H508" s="15" t="inlineStr">
        <is>
          <t>Google</t>
        </is>
      </c>
      <c r="I508" s="15" t="inlineStr">
        <is>
          <t>Round1</t>
        </is>
      </c>
      <c r="J508" s="18" t="inlineStr">
        <is>
          <t>+91 9920264452</t>
        </is>
      </c>
      <c r="K508" s="15" t="inlineStr">
        <is>
          <t>chetan@weekday.works</t>
        </is>
      </c>
      <c r="L508" s="15" t="inlineStr">
        <is>
          <t>&lt;calendly_link&gt;</t>
        </is>
      </c>
      <c r="M508" s="15" t="inlineStr">
        <is>
          <t>Yes</t>
        </is>
      </c>
      <c r="N508" s="15" t="n"/>
      <c r="O508" s="15" t="n"/>
      <c r="P508" s="15" t="n"/>
      <c r="Q508" s="15" t="n"/>
      <c r="R508" s="15">
        <f>IF(OR(O508="Scheduled",Q508="Scheduled"),"SCHEDULED",IF(Q508="Escalate to call","ESCALATED TO CALL",IF(N508="Bad contact","BAD CONTACT",IF(N508="","NOT STARTED","IN PROGRESS"))))</f>
        <v/>
      </c>
      <c r="S508" s="15" t="n"/>
    </row>
    <row r="509">
      <c r="A509" s="15" t="inlineStr">
        <is>
          <t>REQ-0508</t>
        </is>
      </c>
      <c r="B509" s="16" t="n">
        <v>44867.82708333333</v>
      </c>
      <c r="C509" s="16">
        <f>B509+1</f>
        <v/>
      </c>
      <c r="D509" s="17">
        <f>(C509-NOW())*24</f>
        <v/>
      </c>
      <c r="E509" s="15">
        <f>IF(N509="","STEP 1: Send WhatsApp + Email blast now (Playbook M1)",IF(N509="Bad contact","STOP: report bad contact to lead (Playbook)",IF(O509="Scheduled","DONE: scheduled via Calendly",IF(O509="","STEP 2: Check Calendly now",IF(P509="","STEP 3: Send WhatsApp nudge (Playbook M2)",IF(Q509="Scheduled","DONE: scheduled via Calendly",IF(Q509="Escalate to call","HANDED to Shyam (call queue)","STEP 4: Final Calendly check")))))))</f>
        <v/>
      </c>
      <c r="F509" s="16">
        <f>IF(N509="",B509,IF(O509="",B509+2/24,IF(AND(O509="Not yet",P509=""),B509+2/24,IF(Q509="",B509+4/24,""))))</f>
        <v/>
      </c>
      <c r="G509" s="15" t="inlineStr">
        <is>
          <t>Chetan</t>
        </is>
      </c>
      <c r="H509" s="15" t="inlineStr">
        <is>
          <t>Google</t>
        </is>
      </c>
      <c r="I509" s="15" t="inlineStr">
        <is>
          <t>Round1</t>
        </is>
      </c>
      <c r="J509" s="18" t="inlineStr">
        <is>
          <t>+91 9920264452</t>
        </is>
      </c>
      <c r="K509" s="15" t="inlineStr">
        <is>
          <t>chetan@weekday.works</t>
        </is>
      </c>
      <c r="L509" s="15" t="inlineStr">
        <is>
          <t>&lt;calendly_link&gt;</t>
        </is>
      </c>
      <c r="M509" s="15" t="inlineStr">
        <is>
          <t>Yes</t>
        </is>
      </c>
      <c r="N509" s="15" t="n"/>
      <c r="O509" s="15" t="n"/>
      <c r="P509" s="15" t="n"/>
      <c r="Q509" s="15" t="n"/>
      <c r="R509" s="15">
        <f>IF(OR(O509="Scheduled",Q509="Scheduled"),"SCHEDULED",IF(Q509="Escalate to call","ESCALATED TO CALL",IF(N509="Bad contact","BAD CONTACT",IF(N509="","NOT STARTED","IN PROGRESS"))))</f>
        <v/>
      </c>
      <c r="S509" s="15" t="n"/>
    </row>
    <row r="510">
      <c r="A510" s="15" t="inlineStr">
        <is>
          <t>REQ-0509</t>
        </is>
      </c>
      <c r="B510" s="16" t="n">
        <v>44867.82708333333</v>
      </c>
      <c r="C510" s="16">
        <f>B510+1</f>
        <v/>
      </c>
      <c r="D510" s="17">
        <f>(C510-NOW())*24</f>
        <v/>
      </c>
      <c r="E510" s="15">
        <f>IF(N510="","STEP 1: Send WhatsApp + Email blast now (Playbook M1)",IF(N510="Bad contact","STOP: report bad contact to lead (Playbook)",IF(O510="Scheduled","DONE: scheduled via Calendly",IF(O510="","STEP 2: Check Calendly now",IF(P510="","STEP 3: Send WhatsApp nudge (Playbook M2)",IF(Q510="Scheduled","DONE: scheduled via Calendly",IF(Q510="Escalate to call","HANDED to Shyam (call queue)","STEP 4: Final Calendly check")))))))</f>
        <v/>
      </c>
      <c r="F510" s="16">
        <f>IF(N510="",B510,IF(O510="",B510+2/24,IF(AND(O510="Not yet",P510=""),B510+2/24,IF(Q510="",B510+4/24,""))))</f>
        <v/>
      </c>
      <c r="G510" s="15" t="inlineStr">
        <is>
          <t>Chetan</t>
        </is>
      </c>
      <c r="H510" s="15" t="inlineStr">
        <is>
          <t>Google</t>
        </is>
      </c>
      <c r="I510" s="15" t="inlineStr">
        <is>
          <t>Round1</t>
        </is>
      </c>
      <c r="J510" s="18" t="inlineStr">
        <is>
          <t>+91 9920264452</t>
        </is>
      </c>
      <c r="K510" s="15" t="inlineStr">
        <is>
          <t>chetan@weekday.works</t>
        </is>
      </c>
      <c r="L510" s="15" t="inlineStr">
        <is>
          <t>&lt;calendly_link&gt;</t>
        </is>
      </c>
      <c r="M510" s="15" t="inlineStr">
        <is>
          <t>Yes</t>
        </is>
      </c>
      <c r="N510" s="15" t="n"/>
      <c r="O510" s="15" t="n"/>
      <c r="P510" s="15" t="n"/>
      <c r="Q510" s="15" t="n"/>
      <c r="R510" s="15">
        <f>IF(OR(O510="Scheduled",Q510="Scheduled"),"SCHEDULED",IF(Q510="Escalate to call","ESCALATED TO CALL",IF(N510="Bad contact","BAD CONTACT",IF(N510="","NOT STARTED","IN PROGRESS"))))</f>
        <v/>
      </c>
      <c r="S510" s="15" t="n"/>
    </row>
    <row r="511">
      <c r="A511" s="15" t="inlineStr">
        <is>
          <t>REQ-0510</t>
        </is>
      </c>
      <c r="B511" s="16" t="n">
        <v>44867.82708333333</v>
      </c>
      <c r="C511" s="16">
        <f>B511+1</f>
        <v/>
      </c>
      <c r="D511" s="17">
        <f>(C511-NOW())*24</f>
        <v/>
      </c>
      <c r="E511" s="15">
        <f>IF(N511="","STEP 1: Send WhatsApp + Email blast now (Playbook M1)",IF(N511="Bad contact","STOP: report bad contact to lead (Playbook)",IF(O511="Scheduled","DONE: scheduled via Calendly",IF(O511="","STEP 2: Check Calendly now",IF(P511="","STEP 3: Send WhatsApp nudge (Playbook M2)",IF(Q511="Scheduled","DONE: scheduled via Calendly",IF(Q511="Escalate to call","HANDED to Shyam (call queue)","STEP 4: Final Calendly check")))))))</f>
        <v/>
      </c>
      <c r="F511" s="16">
        <f>IF(N511="",B511,IF(O511="",B511+2/24,IF(AND(O511="Not yet",P511=""),B511+2/24,IF(Q511="",B511+4/24,""))))</f>
        <v/>
      </c>
      <c r="G511" s="15" t="inlineStr">
        <is>
          <t>Chetan</t>
        </is>
      </c>
      <c r="H511" s="15" t="inlineStr">
        <is>
          <t>Google</t>
        </is>
      </c>
      <c r="I511" s="15" t="inlineStr">
        <is>
          <t>Round1</t>
        </is>
      </c>
      <c r="J511" s="18" t="inlineStr">
        <is>
          <t>+91 9920264452</t>
        </is>
      </c>
      <c r="K511" s="15" t="inlineStr">
        <is>
          <t>chetan@weekday.works</t>
        </is>
      </c>
      <c r="L511" s="15" t="inlineStr">
        <is>
          <t>&lt;calendly_link&gt;</t>
        </is>
      </c>
      <c r="M511" s="15" t="inlineStr">
        <is>
          <t>Yes</t>
        </is>
      </c>
      <c r="N511" s="15" t="n"/>
      <c r="O511" s="15" t="n"/>
      <c r="P511" s="15" t="n"/>
      <c r="Q511" s="15" t="n"/>
      <c r="R511" s="15">
        <f>IF(OR(O511="Scheduled",Q511="Scheduled"),"SCHEDULED",IF(Q511="Escalate to call","ESCALATED TO CALL",IF(N511="Bad contact","BAD CONTACT",IF(N511="","NOT STARTED","IN PROGRESS"))))</f>
        <v/>
      </c>
      <c r="S511" s="15" t="n"/>
    </row>
    <row r="512">
      <c r="A512" s="15" t="inlineStr">
        <is>
          <t>REQ-0511</t>
        </is>
      </c>
      <c r="B512" s="16" t="n">
        <v>44867.82708333333</v>
      </c>
      <c r="C512" s="16">
        <f>B512+1</f>
        <v/>
      </c>
      <c r="D512" s="17">
        <f>(C512-NOW())*24</f>
        <v/>
      </c>
      <c r="E512" s="15">
        <f>IF(N512="","STEP 1: Send WhatsApp + Email blast now (Playbook M1)",IF(N512="Bad contact","STOP: report bad contact to lead (Playbook)",IF(O512="Scheduled","DONE: scheduled via Calendly",IF(O512="","STEP 2: Check Calendly now",IF(P512="","STEP 3: Send WhatsApp nudge (Playbook M2)",IF(Q512="Scheduled","DONE: scheduled via Calendly",IF(Q512="Escalate to call","HANDED to Shyam (call queue)","STEP 4: Final Calendly check")))))))</f>
        <v/>
      </c>
      <c r="F512" s="16">
        <f>IF(N512="",B512,IF(O512="",B512+2/24,IF(AND(O512="Not yet",P512=""),B512+2/24,IF(Q512="",B512+4/24,""))))</f>
        <v/>
      </c>
      <c r="G512" s="15" t="inlineStr">
        <is>
          <t>Chetan</t>
        </is>
      </c>
      <c r="H512" s="15" t="inlineStr">
        <is>
          <t>Google</t>
        </is>
      </c>
      <c r="I512" s="15" t="inlineStr">
        <is>
          <t>Round1</t>
        </is>
      </c>
      <c r="J512" s="18" t="inlineStr">
        <is>
          <t>+91 9920264452</t>
        </is>
      </c>
      <c r="K512" s="15" t="inlineStr">
        <is>
          <t>chetan@weekday.works</t>
        </is>
      </c>
      <c r="L512" s="15" t="inlineStr">
        <is>
          <t>&lt;calendly_link&gt;</t>
        </is>
      </c>
      <c r="M512" s="15" t="inlineStr">
        <is>
          <t>Yes</t>
        </is>
      </c>
      <c r="N512" s="15" t="n"/>
      <c r="O512" s="15" t="n"/>
      <c r="P512" s="15" t="n"/>
      <c r="Q512" s="15" t="n"/>
      <c r="R512" s="15">
        <f>IF(OR(O512="Scheduled",Q512="Scheduled"),"SCHEDULED",IF(Q512="Escalate to call","ESCALATED TO CALL",IF(N512="Bad contact","BAD CONTACT",IF(N512="","NOT STARTED","IN PROGRESS"))))</f>
        <v/>
      </c>
      <c r="S512" s="15" t="n"/>
    </row>
    <row r="513">
      <c r="A513" s="15" t="inlineStr">
        <is>
          <t>REQ-0512</t>
        </is>
      </c>
      <c r="B513" s="16" t="n">
        <v>44867.82708333333</v>
      </c>
      <c r="C513" s="16">
        <f>B513+1</f>
        <v/>
      </c>
      <c r="D513" s="17">
        <f>(C513-NOW())*24</f>
        <v/>
      </c>
      <c r="E513" s="15">
        <f>IF(N513="","STEP 1: Send WhatsApp + Email blast now (Playbook M1)",IF(N513="Bad contact","STOP: report bad contact to lead (Playbook)",IF(O513="Scheduled","DONE: scheduled via Calendly",IF(O513="","STEP 2: Check Calendly now",IF(P513="","STEP 3: Send WhatsApp nudge (Playbook M2)",IF(Q513="Scheduled","DONE: scheduled via Calendly",IF(Q513="Escalate to call","HANDED to Shyam (call queue)","STEP 4: Final Calendly check")))))))</f>
        <v/>
      </c>
      <c r="F513" s="16">
        <f>IF(N513="",B513,IF(O513="",B513+2/24,IF(AND(O513="Not yet",P513=""),B513+2/24,IF(Q513="",B513+4/24,""))))</f>
        <v/>
      </c>
      <c r="G513" s="15" t="inlineStr">
        <is>
          <t>Chetan</t>
        </is>
      </c>
      <c r="H513" s="15" t="inlineStr">
        <is>
          <t>Google</t>
        </is>
      </c>
      <c r="I513" s="15" t="inlineStr">
        <is>
          <t>Round1</t>
        </is>
      </c>
      <c r="J513" s="18" t="inlineStr">
        <is>
          <t>+91 9920264452</t>
        </is>
      </c>
      <c r="K513" s="15" t="inlineStr">
        <is>
          <t>chetan@weekday.works</t>
        </is>
      </c>
      <c r="L513" s="15" t="inlineStr">
        <is>
          <t>&lt;calendly_link&gt;</t>
        </is>
      </c>
      <c r="M513" s="15" t="inlineStr">
        <is>
          <t>Yes</t>
        </is>
      </c>
      <c r="N513" s="15" t="n"/>
      <c r="O513" s="15" t="n"/>
      <c r="P513" s="15" t="n"/>
      <c r="Q513" s="15" t="n"/>
      <c r="R513" s="15">
        <f>IF(OR(O513="Scheduled",Q513="Scheduled"),"SCHEDULED",IF(Q513="Escalate to call","ESCALATED TO CALL",IF(N513="Bad contact","BAD CONTACT",IF(N513="","NOT STARTED","IN PROGRESS"))))</f>
        <v/>
      </c>
      <c r="S513" s="15" t="n"/>
    </row>
    <row r="514">
      <c r="A514" s="15" t="inlineStr">
        <is>
          <t>REQ-0513</t>
        </is>
      </c>
      <c r="B514" s="16" t="n">
        <v>44867.82708333333</v>
      </c>
      <c r="C514" s="16">
        <f>B514+1</f>
        <v/>
      </c>
      <c r="D514" s="17">
        <f>(C514-NOW())*24</f>
        <v/>
      </c>
      <c r="E514" s="15">
        <f>IF(N514="","STEP 1: Send WhatsApp + Email blast now (Playbook M1)",IF(N514="Bad contact","STOP: report bad contact to lead (Playbook)",IF(O514="Scheduled","DONE: scheduled via Calendly",IF(O514="","STEP 2: Check Calendly now",IF(P514="","STEP 3: Send WhatsApp nudge (Playbook M2)",IF(Q514="Scheduled","DONE: scheduled via Calendly",IF(Q514="Escalate to call","HANDED to Shyam (call queue)","STEP 4: Final Calendly check")))))))</f>
        <v/>
      </c>
      <c r="F514" s="16">
        <f>IF(N514="",B514,IF(O514="",B514+2/24,IF(AND(O514="Not yet",P514=""),B514+2/24,IF(Q514="",B514+4/24,""))))</f>
        <v/>
      </c>
      <c r="G514" s="15" t="inlineStr">
        <is>
          <t>Chetan</t>
        </is>
      </c>
      <c r="H514" s="15" t="inlineStr">
        <is>
          <t>Google</t>
        </is>
      </c>
      <c r="I514" s="15" t="inlineStr">
        <is>
          <t>Round1</t>
        </is>
      </c>
      <c r="J514" s="18" t="inlineStr">
        <is>
          <t>+91 9920264452</t>
        </is>
      </c>
      <c r="K514" s="15" t="inlineStr">
        <is>
          <t>chetan@weekday.works</t>
        </is>
      </c>
      <c r="L514" s="15" t="inlineStr">
        <is>
          <t>&lt;calendly_link&gt;</t>
        </is>
      </c>
      <c r="M514" s="15" t="inlineStr">
        <is>
          <t>Yes</t>
        </is>
      </c>
      <c r="N514" s="15" t="n"/>
      <c r="O514" s="15" t="n"/>
      <c r="P514" s="15" t="n"/>
      <c r="Q514" s="15" t="n"/>
      <c r="R514" s="15">
        <f>IF(OR(O514="Scheduled",Q514="Scheduled"),"SCHEDULED",IF(Q514="Escalate to call","ESCALATED TO CALL",IF(N514="Bad contact","BAD CONTACT",IF(N514="","NOT STARTED","IN PROGRESS"))))</f>
        <v/>
      </c>
      <c r="S514" s="15" t="n"/>
    </row>
    <row r="515">
      <c r="A515" s="15" t="inlineStr">
        <is>
          <t>REQ-0514</t>
        </is>
      </c>
      <c r="B515" s="16" t="n">
        <v>44867.82708333333</v>
      </c>
      <c r="C515" s="16">
        <f>B515+1</f>
        <v/>
      </c>
      <c r="D515" s="17">
        <f>(C515-NOW())*24</f>
        <v/>
      </c>
      <c r="E515" s="15">
        <f>IF(N515="","STEP 1: Send WhatsApp + Email blast now (Playbook M1)",IF(N515="Bad contact","STOP: report bad contact to lead (Playbook)",IF(O515="Scheduled","DONE: scheduled via Calendly",IF(O515="","STEP 2: Check Calendly now",IF(P515="","STEP 3: Send WhatsApp nudge (Playbook M2)",IF(Q515="Scheduled","DONE: scheduled via Calendly",IF(Q515="Escalate to call","HANDED to Shyam (call queue)","STEP 4: Final Calendly check")))))))</f>
        <v/>
      </c>
      <c r="F515" s="16">
        <f>IF(N515="",B515,IF(O515="",B515+2/24,IF(AND(O515="Not yet",P515=""),B515+2/24,IF(Q515="",B515+4/24,""))))</f>
        <v/>
      </c>
      <c r="G515" s="15" t="inlineStr">
        <is>
          <t>Chetan</t>
        </is>
      </c>
      <c r="H515" s="15" t="inlineStr">
        <is>
          <t>Google</t>
        </is>
      </c>
      <c r="I515" s="15" t="inlineStr">
        <is>
          <t>Round1</t>
        </is>
      </c>
      <c r="J515" s="18" t="inlineStr">
        <is>
          <t>+91 9920264452</t>
        </is>
      </c>
      <c r="K515" s="15" t="inlineStr">
        <is>
          <t>chetan@weekday.works</t>
        </is>
      </c>
      <c r="L515" s="15" t="inlineStr">
        <is>
          <t>&lt;calendly_link&gt;</t>
        </is>
      </c>
      <c r="M515" s="15" t="inlineStr">
        <is>
          <t>Yes</t>
        </is>
      </c>
      <c r="N515" s="15" t="n"/>
      <c r="O515" s="15" t="n"/>
      <c r="P515" s="15" t="n"/>
      <c r="Q515" s="15" t="n"/>
      <c r="R515" s="15">
        <f>IF(OR(O515="Scheduled",Q515="Scheduled"),"SCHEDULED",IF(Q515="Escalate to call","ESCALATED TO CALL",IF(N515="Bad contact","BAD CONTACT",IF(N515="","NOT STARTED","IN PROGRESS"))))</f>
        <v/>
      </c>
      <c r="S515" s="15" t="n"/>
    </row>
    <row r="516">
      <c r="A516" s="15" t="inlineStr">
        <is>
          <t>REQ-0515</t>
        </is>
      </c>
      <c r="B516" s="16" t="n">
        <v>44867.82708333333</v>
      </c>
      <c r="C516" s="16">
        <f>B516+1</f>
        <v/>
      </c>
      <c r="D516" s="17">
        <f>(C516-NOW())*24</f>
        <v/>
      </c>
      <c r="E516" s="15">
        <f>IF(N516="","STEP 1: Send WhatsApp + Email blast now (Playbook M1)",IF(N516="Bad contact","STOP: report bad contact to lead (Playbook)",IF(O516="Scheduled","DONE: scheduled via Calendly",IF(O516="","STEP 2: Check Calendly now",IF(P516="","STEP 3: Send WhatsApp nudge (Playbook M2)",IF(Q516="Scheduled","DONE: scheduled via Calendly",IF(Q516="Escalate to call","HANDED to Shyam (call queue)","STEP 4: Final Calendly check")))))))</f>
        <v/>
      </c>
      <c r="F516" s="16">
        <f>IF(N516="",B516,IF(O516="",B516+2/24,IF(AND(O516="Not yet",P516=""),B516+2/24,IF(Q516="",B516+4/24,""))))</f>
        <v/>
      </c>
      <c r="G516" s="15" t="inlineStr">
        <is>
          <t>Chetan</t>
        </is>
      </c>
      <c r="H516" s="15" t="inlineStr">
        <is>
          <t>Google</t>
        </is>
      </c>
      <c r="I516" s="15" t="inlineStr">
        <is>
          <t>Round1</t>
        </is>
      </c>
      <c r="J516" s="18" t="inlineStr">
        <is>
          <t>+91 9920264452</t>
        </is>
      </c>
      <c r="K516" s="15" t="inlineStr">
        <is>
          <t>chetan@weekday.works</t>
        </is>
      </c>
      <c r="L516" s="15" t="inlineStr">
        <is>
          <t>&lt;calendly_link&gt;</t>
        </is>
      </c>
      <c r="M516" s="15" t="inlineStr">
        <is>
          <t>Yes</t>
        </is>
      </c>
      <c r="N516" s="15" t="n"/>
      <c r="O516" s="15" t="n"/>
      <c r="P516" s="15" t="n"/>
      <c r="Q516" s="15" t="n"/>
      <c r="R516" s="15">
        <f>IF(OR(O516="Scheduled",Q516="Scheduled"),"SCHEDULED",IF(Q516="Escalate to call","ESCALATED TO CALL",IF(N516="Bad contact","BAD CONTACT",IF(N516="","NOT STARTED","IN PROGRESS"))))</f>
        <v/>
      </c>
      <c r="S516" s="15" t="n"/>
    </row>
  </sheetData>
  <autoFilter ref="A1:S516"/>
  <conditionalFormatting sqref="D2:D516">
    <cfRule type="colorScale" priority="1">
      <colorScale>
        <cfvo type="num" val="0"/>
        <cfvo type="num" val="12"/>
        <cfvo type="num" val="24"/>
        <color rgb="00C00000"/>
        <color rgb="00FFD966"/>
        <color rgb="00548235"/>
      </colorScale>
    </cfRule>
  </conditionalFormatting>
  <dataValidations count="4">
    <dataValidation sqref="N2:N516" showDropDown="0" showInputMessage="0" showErrorMessage="0" allowBlank="1" type="list">
      <formula1>"Sent,Bad contact"</formula1>
    </dataValidation>
    <dataValidation sqref="O2:O516" showDropDown="0" showInputMessage="0" showErrorMessage="0" allowBlank="1" type="list">
      <formula1>"Scheduled,Not yet"</formula1>
    </dataValidation>
    <dataValidation sqref="P2:P516" showDropDown="0" showInputMessage="0" showErrorMessage="0" allowBlank="1" type="list">
      <formula1>"Nudged,N/A"</formula1>
    </dataValidation>
    <dataValidation sqref="Q2:Q516" showDropDown="0" showInputMessage="0" showErrorMessage="0" allowBlank="1" type="list">
      <formula1>"Scheduled,Escalate to call"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9" customWidth="1" min="4" max="4"/>
    <col width="22" customWidth="1" min="5" max="5"/>
    <col width="44" customWidth="1" min="6" max="6"/>
    <col width="16" customWidth="1" min="7" max="7"/>
    <col width="12" customWidth="1" min="8" max="8"/>
    <col width="11" customWidth="1" min="9" max="9"/>
    <col width="9" customWidth="1" min="10" max="10"/>
    <col width="15" customWidth="1" min="11" max="11"/>
    <col width="22" customWidth="1" min="12" max="12"/>
    <col width="22" customWidth="1" min="13" max="13"/>
    <col width="20" customWidth="1" min="14" max="14"/>
    <col width="16" customWidth="1" min="15" max="15"/>
    <col width="28" customWidth="1" min="16" max="16"/>
    <col width="22" customWidth="1" min="17" max="17"/>
  </cols>
  <sheetData>
    <row r="1">
      <c r="A1" s="23" t="inlineStr">
        <is>
          <t>Req ID</t>
        </is>
      </c>
      <c r="B1" s="23" t="inlineStr">
        <is>
          <t>Added On</t>
        </is>
      </c>
      <c r="C1" s="23" t="inlineStr">
        <is>
          <t>SLA Deadline</t>
        </is>
      </c>
      <c r="D1" s="23" t="inlineStr">
        <is>
          <t>Hours Left</t>
        </is>
      </c>
      <c r="E1" s="23" t="inlineStr">
        <is>
          <t>NEEDS CALL?</t>
        </is>
      </c>
      <c r="F1" s="23" t="inlineStr">
        <is>
          <t>NEXT STEP</t>
        </is>
      </c>
      <c r="G1" s="23" t="inlineStr">
        <is>
          <t>Call By</t>
        </is>
      </c>
      <c r="H1" s="23" t="inlineStr">
        <is>
          <t>Candidate</t>
        </is>
      </c>
      <c r="I1" s="23" t="inlineStr">
        <is>
          <t>Company</t>
        </is>
      </c>
      <c r="J1" s="23" t="inlineStr">
        <is>
          <t>Round</t>
        </is>
      </c>
      <c r="K1" s="23" t="inlineStr">
        <is>
          <t>Phone</t>
        </is>
      </c>
      <c r="L1" s="23" t="inlineStr">
        <is>
          <t>Calendly Link (this round)</t>
        </is>
      </c>
      <c r="M1" s="23" t="inlineStr">
        <is>
          <t>Call 1</t>
        </is>
      </c>
      <c r="N1" s="23" t="inlineStr">
        <is>
          <t>Call 2</t>
        </is>
      </c>
      <c r="O1" s="23" t="inlineStr">
        <is>
          <t>Shyam Status</t>
        </is>
      </c>
      <c r="P1" s="23" t="inlineStr">
        <is>
          <t>FINAL OUTCOME</t>
        </is>
      </c>
      <c r="Q1" s="23" t="inlineStr">
        <is>
          <t>Notes</t>
        </is>
      </c>
    </row>
    <row r="2">
      <c r="A2" s="19" t="inlineStr">
        <is>
          <t>REQ-0001</t>
        </is>
      </c>
      <c r="B2" s="20" t="n">
        <v>44867.45208333333</v>
      </c>
      <c r="C2" s="20">
        <f>B2+1</f>
        <v/>
      </c>
      <c r="D2" s="21">
        <f>(C2-NOW())*24</f>
        <v/>
      </c>
      <c r="E2" s="19">
        <f>IF('Ram - Digital ToDo'!Q2="Escalate to call","CALL NOW",IF('Ram - Digital ToDo'!N2="Bad contact","CALL NOW (digital failed)","Ram is handling - no action"))</f>
        <v/>
      </c>
      <c r="F2" s="19">
        <f>IF(E2="Ram is handling - no action","No action needed",IF(M2="","CALL 1: ring candidate, offer to book on call (Playbook C1)",IF(OR(M2="Scheduled on call",M2="Booked on their behalf"),"DONE: scheduled on call",IF(M2="Not interested/Declined","CLOSED: candidate declined (log + tell lead)",IF(N2="","CALL 2: final attempt (Playbook C2)",IF(OR(N2="Scheduled on call",N2="Booked on their behalf"),"DONE: scheduled on call",IF(N2="Escalate to AM","ESCALATED TO LEAD","Review")))))))</f>
        <v/>
      </c>
      <c r="G2" s="20">
        <f>IF(E2="Ram is handling - no action","",IF(M2="",B2+6/24,IF(AND(M2&lt;&gt;"Scheduled on call",M2&lt;&gt;"Booked on their behalf",M2&lt;&gt;"Not interested/Declined",N2=""),B2+20/24,"")))</f>
        <v/>
      </c>
      <c r="H2" s="19" t="inlineStr">
        <is>
          <t>Chetan</t>
        </is>
      </c>
      <c r="I2" s="19" t="inlineStr">
        <is>
          <t>FB</t>
        </is>
      </c>
      <c r="J2" s="19" t="inlineStr">
        <is>
          <t>Round2</t>
        </is>
      </c>
      <c r="K2" s="22" t="inlineStr">
        <is>
          <t>+91 9920264452</t>
        </is>
      </c>
      <c r="L2" s="19" t="inlineStr">
        <is>
          <t>&lt;calendly_link&gt;</t>
        </is>
      </c>
      <c r="M2" s="19" t="n"/>
      <c r="N2" s="19" t="n"/>
      <c r="O2" s="19">
        <f>IF(OR(M2="Scheduled on call",M2="Booked on their behalf",N2="Scheduled on call",N2="Booked on their behalf"),"SCHEDULED (call)",IF(OR(M2="Not interested/Declined",N2="Not interested/Declined"),"DECLINED",IF(N2="Escalate to AM","ESCALATED TO LEAD",IF(E2="Ram is handling - no action","N/A",IF(M2="","PENDING CALL 1","IN PROGRESS")))))</f>
        <v/>
      </c>
      <c r="P2" s="19">
        <f>IF(OR('Ram - Digital ToDo'!O2="Scheduled",'Ram - Digital ToDo'!Q2="Scheduled"),"Scheduled within SLA (self-serve)",IF(OR(M2="Scheduled on call",M2="Booked on their behalf",N2="Scheduled on call",N2="Booked on their behalf"),"Scheduled within SLA (call)",IF(OR(M2="Not interested/Declined",N2="Not interested/Declined"),"Declined",IF(N2="Escalate to AM","SLA breach - unresolved","In progress"))))</f>
        <v/>
      </c>
      <c r="Q2" s="19" t="n"/>
    </row>
    <row r="3">
      <c r="A3" s="19" t="inlineStr">
        <is>
          <t>REQ-0002</t>
        </is>
      </c>
      <c r="B3" s="20" t="n">
        <v>44867.49375</v>
      </c>
      <c r="C3" s="20">
        <f>B3+1</f>
        <v/>
      </c>
      <c r="D3" s="21">
        <f>(C3-NOW())*24</f>
        <v/>
      </c>
      <c r="E3" s="19">
        <f>IF('Ram - Digital ToDo'!Q3="Escalate to call","CALL NOW",IF('Ram - Digital ToDo'!N3="Bad contact","CALL NOW (digital failed)","Ram is handling - no action"))</f>
        <v/>
      </c>
      <c r="F3" s="19">
        <f>IF(E3="Ram is handling - no action","No action needed",IF(M3="","CALL 1: ring candidate, offer to book on call (Playbook C1)",IF(OR(M3="Scheduled on call",M3="Booked on their behalf"),"DONE: scheduled on call",IF(M3="Not interested/Declined","CLOSED: candidate declined (log + tell lead)",IF(N3="","CALL 2: final attempt (Playbook C2)",IF(OR(N3="Scheduled on call",N3="Booked on their behalf"),"DONE: scheduled on call",IF(N3="Escalate to AM","ESCALATED TO LEAD","Review")))))))</f>
        <v/>
      </c>
      <c r="G3" s="20">
        <f>IF(E3="Ram is handling - no action","",IF(M3="",B3+6/24,IF(AND(M3&lt;&gt;"Scheduled on call",M3&lt;&gt;"Booked on their behalf",M3&lt;&gt;"Not interested/Declined",N3=""),B3+20/24,"")))</f>
        <v/>
      </c>
      <c r="H3" s="19" t="inlineStr">
        <is>
          <t>Chetan</t>
        </is>
      </c>
      <c r="I3" s="19" t="inlineStr">
        <is>
          <t>Tesla</t>
        </is>
      </c>
      <c r="J3" s="19" t="inlineStr">
        <is>
          <t>Round3</t>
        </is>
      </c>
      <c r="K3" s="22" t="inlineStr">
        <is>
          <t>+91 9920264452</t>
        </is>
      </c>
      <c r="L3" s="19" t="inlineStr">
        <is>
          <t>&lt;calendly_link&gt;</t>
        </is>
      </c>
      <c r="M3" s="19" t="n"/>
      <c r="N3" s="19" t="n"/>
      <c r="O3" s="19">
        <f>IF(OR(M3="Scheduled on call",M3="Booked on their behalf",N3="Scheduled on call",N3="Booked on their behalf"),"SCHEDULED (call)",IF(OR(M3="Not interested/Declined",N3="Not interested/Declined"),"DECLINED",IF(N3="Escalate to AM","ESCALATED TO LEAD",IF(E3="Ram is handling - no action","N/A",IF(M3="","PENDING CALL 1","IN PROGRESS")))))</f>
        <v/>
      </c>
      <c r="P3" s="19">
        <f>IF(OR('Ram - Digital ToDo'!O3="Scheduled",'Ram - Digital ToDo'!Q3="Scheduled"),"Scheduled within SLA (self-serve)",IF(OR(M3="Scheduled on call",M3="Booked on their behalf",N3="Scheduled on call",N3="Booked on their behalf"),"Scheduled within SLA (call)",IF(OR(M3="Not interested/Declined",N3="Not interested/Declined"),"Declined",IF(N3="Escalate to AM","SLA breach - unresolved","In progress"))))</f>
        <v/>
      </c>
      <c r="Q3" s="19" t="n"/>
    </row>
    <row r="4">
      <c r="A4" s="19" t="inlineStr">
        <is>
          <t>REQ-0003</t>
        </is>
      </c>
      <c r="B4" s="20" t="n">
        <v>44867.61875</v>
      </c>
      <c r="C4" s="20">
        <f>B4+1</f>
        <v/>
      </c>
      <c r="D4" s="21">
        <f>(C4-NOW())*24</f>
        <v/>
      </c>
      <c r="E4" s="19">
        <f>IF('Ram - Digital ToDo'!Q4="Escalate to call","CALL NOW",IF('Ram - Digital ToDo'!N4="Bad contact","CALL NOW (digital failed)","Ram is handling - no action"))</f>
        <v/>
      </c>
      <c r="F4" s="19">
        <f>IF(E4="Ram is handling - no action","No action needed",IF(M4="","CALL 1: ring candidate, offer to book on call (Playbook C1)",IF(OR(M4="Scheduled on call",M4="Booked on their behalf"),"DONE: scheduled on call",IF(M4="Not interested/Declined","CLOSED: candidate declined (log + tell lead)",IF(N4="","CALL 2: final attempt (Playbook C2)",IF(OR(N4="Scheduled on call",N4="Booked on their behalf"),"DONE: scheduled on call",IF(N4="Escalate to AM","ESCALATED TO LEAD","Review")))))))</f>
        <v/>
      </c>
      <c r="G4" s="20">
        <f>IF(E4="Ram is handling - no action","",IF(M4="",B4+6/24,IF(AND(M4&lt;&gt;"Scheduled on call",M4&lt;&gt;"Booked on their behalf",M4&lt;&gt;"Not interested/Declined",N4=""),B4+20/24,"")))</f>
        <v/>
      </c>
      <c r="H4" s="19" t="inlineStr">
        <is>
          <t>Chetan</t>
        </is>
      </c>
      <c r="I4" s="19" t="inlineStr">
        <is>
          <t>Google</t>
        </is>
      </c>
      <c r="J4" s="19" t="inlineStr">
        <is>
          <t>Round1</t>
        </is>
      </c>
      <c r="K4" s="22" t="inlineStr">
        <is>
          <t>+91 9920264452</t>
        </is>
      </c>
      <c r="L4" s="19" t="inlineStr">
        <is>
          <t>&lt;calendly_link&gt;</t>
        </is>
      </c>
      <c r="M4" s="19" t="n"/>
      <c r="N4" s="19" t="n"/>
      <c r="O4" s="19">
        <f>IF(OR(M4="Scheduled on call",M4="Booked on their behalf",N4="Scheduled on call",N4="Booked on their behalf"),"SCHEDULED (call)",IF(OR(M4="Not interested/Declined",N4="Not interested/Declined"),"DECLINED",IF(N4="Escalate to AM","ESCALATED TO LEAD",IF(E4="Ram is handling - no action","N/A",IF(M4="","PENDING CALL 1","IN PROGRESS")))))</f>
        <v/>
      </c>
      <c r="P4" s="19">
        <f>IF(OR('Ram - Digital ToDo'!O4="Scheduled",'Ram - Digital ToDo'!Q4="Scheduled"),"Scheduled within SLA (self-serve)",IF(OR(M4="Scheduled on call",M4="Booked on their behalf",N4="Scheduled on call",N4="Booked on their behalf"),"Scheduled within SLA (call)",IF(OR(M4="Not interested/Declined",N4="Not interested/Declined"),"Declined",IF(N4="Escalate to AM","SLA breach - unresolved","In progress"))))</f>
        <v/>
      </c>
      <c r="Q4" s="19" t="n"/>
    </row>
    <row r="5">
      <c r="A5" s="19" t="inlineStr">
        <is>
          <t>REQ-0004</t>
        </is>
      </c>
      <c r="B5" s="20" t="n">
        <v>44867.69652777778</v>
      </c>
      <c r="C5" s="20">
        <f>B5+1</f>
        <v/>
      </c>
      <c r="D5" s="21">
        <f>(C5-NOW())*24</f>
        <v/>
      </c>
      <c r="E5" s="19">
        <f>IF('Ram - Digital ToDo'!Q5="Escalate to call","CALL NOW",IF('Ram - Digital ToDo'!N5="Bad contact","CALL NOW (digital failed)","Ram is handling - no action"))</f>
        <v/>
      </c>
      <c r="F5" s="19">
        <f>IF(E5="Ram is handling - no action","No action needed",IF(M5="","CALL 1: ring candidate, offer to book on call (Playbook C1)",IF(OR(M5="Scheduled on call",M5="Booked on their behalf"),"DONE: scheduled on call",IF(M5="Not interested/Declined","CLOSED: candidate declined (log + tell lead)",IF(N5="","CALL 2: final attempt (Playbook C2)",IF(OR(N5="Scheduled on call",N5="Booked on their behalf"),"DONE: scheduled on call",IF(N5="Escalate to AM","ESCALATED TO LEAD","Review")))))))</f>
        <v/>
      </c>
      <c r="G5" s="20">
        <f>IF(E5="Ram is handling - no action","",IF(M5="",B5+6/24,IF(AND(M5&lt;&gt;"Scheduled on call",M5&lt;&gt;"Booked on their behalf",M5&lt;&gt;"Not interested/Declined",N5=""),B5+20/24,"")))</f>
        <v/>
      </c>
      <c r="H5" s="19" t="inlineStr">
        <is>
          <t>Chetan</t>
        </is>
      </c>
      <c r="I5" s="19" t="inlineStr">
        <is>
          <t>Tesla</t>
        </is>
      </c>
      <c r="J5" s="19" t="inlineStr">
        <is>
          <t>Round2</t>
        </is>
      </c>
      <c r="K5" s="22" t="inlineStr">
        <is>
          <t>+91 9920264452</t>
        </is>
      </c>
      <c r="L5" s="19" t="inlineStr">
        <is>
          <t>&lt;calendly_link&gt;</t>
        </is>
      </c>
      <c r="M5" s="19" t="n"/>
      <c r="N5" s="19" t="n"/>
      <c r="O5" s="19">
        <f>IF(OR(M5="Scheduled on call",M5="Booked on their behalf",N5="Scheduled on call",N5="Booked on their behalf"),"SCHEDULED (call)",IF(OR(M5="Not interested/Declined",N5="Not interested/Declined"),"DECLINED",IF(N5="Escalate to AM","ESCALATED TO LEAD",IF(E5="Ram is handling - no action","N/A",IF(M5="","PENDING CALL 1","IN PROGRESS")))))</f>
        <v/>
      </c>
      <c r="P5" s="19">
        <f>IF(OR('Ram - Digital ToDo'!O5="Scheduled",'Ram - Digital ToDo'!Q5="Scheduled"),"Scheduled within SLA (self-serve)",IF(OR(M5="Scheduled on call",M5="Booked on their behalf",N5="Scheduled on call",N5="Booked on their behalf"),"Scheduled within SLA (call)",IF(OR(M5="Not interested/Declined",N5="Not interested/Declined"),"Declined",IF(N5="Escalate to AM","SLA breach - unresolved","In progress"))))</f>
        <v/>
      </c>
      <c r="Q5" s="19" t="n"/>
    </row>
    <row r="6">
      <c r="A6" s="19" t="inlineStr">
        <is>
          <t>REQ-0005</t>
        </is>
      </c>
      <c r="B6" s="20" t="n">
        <v>44867.70208333333</v>
      </c>
      <c r="C6" s="20">
        <f>B6+1</f>
        <v/>
      </c>
      <c r="D6" s="21">
        <f>(C6-NOW())*24</f>
        <v/>
      </c>
      <c r="E6" s="19">
        <f>IF('Ram - Digital ToDo'!Q6="Escalate to call","CALL NOW",IF('Ram - Digital ToDo'!N6="Bad contact","CALL NOW (digital failed)","Ram is handling - no action"))</f>
        <v/>
      </c>
      <c r="F6" s="19">
        <f>IF(E6="Ram is handling - no action","No action needed",IF(M6="","CALL 1: ring candidate, offer to book on call (Playbook C1)",IF(OR(M6="Scheduled on call",M6="Booked on their behalf"),"DONE: scheduled on call",IF(M6="Not interested/Declined","CLOSED: candidate declined (log + tell lead)",IF(N6="","CALL 2: final attempt (Playbook C2)",IF(OR(N6="Scheduled on call",N6="Booked on their behalf"),"DONE: scheduled on call",IF(N6="Escalate to AM","ESCALATED TO LEAD","Review")))))))</f>
        <v/>
      </c>
      <c r="G6" s="20">
        <f>IF(E6="Ram is handling - no action","",IF(M6="",B6+6/24,IF(AND(M6&lt;&gt;"Scheduled on call",M6&lt;&gt;"Booked on their behalf",M6&lt;&gt;"Not interested/Declined",N6=""),B6+20/24,"")))</f>
        <v/>
      </c>
      <c r="H6" s="19" t="inlineStr">
        <is>
          <t>Chetan</t>
        </is>
      </c>
      <c r="I6" s="19" t="inlineStr">
        <is>
          <t>FB</t>
        </is>
      </c>
      <c r="J6" s="19" t="inlineStr">
        <is>
          <t>Round1</t>
        </is>
      </c>
      <c r="K6" s="22" t="inlineStr">
        <is>
          <t>+91 9920264452</t>
        </is>
      </c>
      <c r="L6" s="19" t="inlineStr">
        <is>
          <t>&lt;calendly_link&gt;</t>
        </is>
      </c>
      <c r="M6" s="19" t="n"/>
      <c r="N6" s="19" t="n"/>
      <c r="O6" s="19">
        <f>IF(OR(M6="Scheduled on call",M6="Booked on their behalf",N6="Scheduled on call",N6="Booked on their behalf"),"SCHEDULED (call)",IF(OR(M6="Not interested/Declined",N6="Not interested/Declined"),"DECLINED",IF(N6="Escalate to AM","ESCALATED TO LEAD",IF(E6="Ram is handling - no action","N/A",IF(M6="","PENDING CALL 1","IN PROGRESS")))))</f>
        <v/>
      </c>
      <c r="P6" s="19">
        <f>IF(OR('Ram - Digital ToDo'!O6="Scheduled",'Ram - Digital ToDo'!Q6="Scheduled"),"Scheduled within SLA (self-serve)",IF(OR(M6="Scheduled on call",M6="Booked on their behalf",N6="Scheduled on call",N6="Booked on their behalf"),"Scheduled within SLA (call)",IF(OR(M6="Not interested/Declined",N6="Not interested/Declined"),"Declined",IF(N6="Escalate to AM","SLA breach - unresolved","In progress"))))</f>
        <v/>
      </c>
      <c r="Q6" s="19" t="n"/>
    </row>
    <row r="7">
      <c r="A7" s="19" t="inlineStr">
        <is>
          <t>REQ-0006</t>
        </is>
      </c>
      <c r="B7" s="20" t="n">
        <v>44867.78958333333</v>
      </c>
      <c r="C7" s="20">
        <f>B7+1</f>
        <v/>
      </c>
      <c r="D7" s="21">
        <f>(C7-NOW())*24</f>
        <v/>
      </c>
      <c r="E7" s="19">
        <f>IF('Ram - Digital ToDo'!Q7="Escalate to call","CALL NOW",IF('Ram - Digital ToDo'!N7="Bad contact","CALL NOW (digital failed)","Ram is handling - no action"))</f>
        <v/>
      </c>
      <c r="F7" s="19">
        <f>IF(E7="Ram is handling - no action","No action needed",IF(M7="","CALL 1: ring candidate, offer to book on call (Playbook C1)",IF(OR(M7="Scheduled on call",M7="Booked on their behalf"),"DONE: scheduled on call",IF(M7="Not interested/Declined","CLOSED: candidate declined (log + tell lead)",IF(N7="","CALL 2: final attempt (Playbook C2)",IF(OR(N7="Scheduled on call",N7="Booked on their behalf"),"DONE: scheduled on call",IF(N7="Escalate to AM","ESCALATED TO LEAD","Review")))))))</f>
        <v/>
      </c>
      <c r="G7" s="20">
        <f>IF(E7="Ram is handling - no action","",IF(M7="",B7+6/24,IF(AND(M7&lt;&gt;"Scheduled on call",M7&lt;&gt;"Booked on their behalf",M7&lt;&gt;"Not interested/Declined",N7=""),B7+20/24,"")))</f>
        <v/>
      </c>
      <c r="H7" s="19" t="inlineStr">
        <is>
          <t>Chetan</t>
        </is>
      </c>
      <c r="I7" s="19" t="inlineStr">
        <is>
          <t>Google</t>
        </is>
      </c>
      <c r="J7" s="19" t="inlineStr">
        <is>
          <t>Round1</t>
        </is>
      </c>
      <c r="K7" s="22" t="inlineStr">
        <is>
          <t>+91 9920264452</t>
        </is>
      </c>
      <c r="L7" s="19" t="inlineStr">
        <is>
          <t>&lt;calendly_link&gt;</t>
        </is>
      </c>
      <c r="M7" s="19" t="n"/>
      <c r="N7" s="19" t="n"/>
      <c r="O7" s="19">
        <f>IF(OR(M7="Scheduled on call",M7="Booked on their behalf",N7="Scheduled on call",N7="Booked on their behalf"),"SCHEDULED (call)",IF(OR(M7="Not interested/Declined",N7="Not interested/Declined"),"DECLINED",IF(N7="Escalate to AM","ESCALATED TO LEAD",IF(E7="Ram is handling - no action","N/A",IF(M7="","PENDING CALL 1","IN PROGRESS")))))</f>
        <v/>
      </c>
      <c r="P7" s="19">
        <f>IF(OR('Ram - Digital ToDo'!O7="Scheduled",'Ram - Digital ToDo'!Q7="Scheduled"),"Scheduled within SLA (self-serve)",IF(OR(M7="Scheduled on call",M7="Booked on their behalf",N7="Scheduled on call",N7="Booked on their behalf"),"Scheduled within SLA (call)",IF(OR(M7="Not interested/Declined",N7="Not interested/Declined"),"Declined",IF(N7="Escalate to AM","SLA breach - unresolved","In progress"))))</f>
        <v/>
      </c>
      <c r="Q7" s="19" t="n"/>
    </row>
    <row r="8">
      <c r="A8" s="19" t="inlineStr">
        <is>
          <t>REQ-0007</t>
        </is>
      </c>
      <c r="B8" s="20" t="n">
        <v>44867.79930555556</v>
      </c>
      <c r="C8" s="20">
        <f>B8+1</f>
        <v/>
      </c>
      <c r="D8" s="21">
        <f>(C8-NOW())*24</f>
        <v/>
      </c>
      <c r="E8" s="19">
        <f>IF('Ram - Digital ToDo'!Q8="Escalate to call","CALL NOW",IF('Ram - Digital ToDo'!N8="Bad contact","CALL NOW (digital failed)","Ram is handling - no action"))</f>
        <v/>
      </c>
      <c r="F8" s="19">
        <f>IF(E8="Ram is handling - no action","No action needed",IF(M8="","CALL 1: ring candidate, offer to book on call (Playbook C1)",IF(OR(M8="Scheduled on call",M8="Booked on their behalf"),"DONE: scheduled on call",IF(M8="Not interested/Declined","CLOSED: candidate declined (log + tell lead)",IF(N8="","CALL 2: final attempt (Playbook C2)",IF(OR(N8="Scheduled on call",N8="Booked on their behalf"),"DONE: scheduled on call",IF(N8="Escalate to AM","ESCALATED TO LEAD","Review")))))))</f>
        <v/>
      </c>
      <c r="G8" s="20">
        <f>IF(E8="Ram is handling - no action","",IF(M8="",B8+6/24,IF(AND(M8&lt;&gt;"Scheduled on call",M8&lt;&gt;"Booked on their behalf",M8&lt;&gt;"Not interested/Declined",N8=""),B8+20/24,"")))</f>
        <v/>
      </c>
      <c r="H8" s="19" t="inlineStr">
        <is>
          <t>Chetan</t>
        </is>
      </c>
      <c r="I8" s="19" t="inlineStr">
        <is>
          <t>FB</t>
        </is>
      </c>
      <c r="J8" s="19" t="inlineStr">
        <is>
          <t>Round2</t>
        </is>
      </c>
      <c r="K8" s="22" t="inlineStr">
        <is>
          <t>+91 9920264452</t>
        </is>
      </c>
      <c r="L8" s="19" t="inlineStr">
        <is>
          <t>&lt;calendly_link&gt;</t>
        </is>
      </c>
      <c r="M8" s="19" t="n"/>
      <c r="N8" s="19" t="n"/>
      <c r="O8" s="19">
        <f>IF(OR(M8="Scheduled on call",M8="Booked on their behalf",N8="Scheduled on call",N8="Booked on their behalf"),"SCHEDULED (call)",IF(OR(M8="Not interested/Declined",N8="Not interested/Declined"),"DECLINED",IF(N8="Escalate to AM","ESCALATED TO LEAD",IF(E8="Ram is handling - no action","N/A",IF(M8="","PENDING CALL 1","IN PROGRESS")))))</f>
        <v/>
      </c>
      <c r="P8" s="19">
        <f>IF(OR('Ram - Digital ToDo'!O8="Scheduled",'Ram - Digital ToDo'!Q8="Scheduled"),"Scheduled within SLA (self-serve)",IF(OR(M8="Scheduled on call",M8="Booked on their behalf",N8="Scheduled on call",N8="Booked on their behalf"),"Scheduled within SLA (call)",IF(OR(M8="Not interested/Declined",N8="Not interested/Declined"),"Declined",IF(N8="Escalate to AM","SLA breach - unresolved","In progress"))))</f>
        <v/>
      </c>
      <c r="Q8" s="19" t="n"/>
    </row>
    <row r="9">
      <c r="A9" s="19" t="inlineStr">
        <is>
          <t>REQ-0008</t>
        </is>
      </c>
      <c r="B9" s="20" t="n">
        <v>44867.80625</v>
      </c>
      <c r="C9" s="20">
        <f>B9+1</f>
        <v/>
      </c>
      <c r="D9" s="21">
        <f>(C9-NOW())*24</f>
        <v/>
      </c>
      <c r="E9" s="19">
        <f>IF('Ram - Digital ToDo'!Q9="Escalate to call","CALL NOW",IF('Ram - Digital ToDo'!N9="Bad contact","CALL NOW (digital failed)","Ram is handling - no action"))</f>
        <v/>
      </c>
      <c r="F9" s="19">
        <f>IF(E9="Ram is handling - no action","No action needed",IF(M9="","CALL 1: ring candidate, offer to book on call (Playbook C1)",IF(OR(M9="Scheduled on call",M9="Booked on their behalf"),"DONE: scheduled on call",IF(M9="Not interested/Declined","CLOSED: candidate declined (log + tell lead)",IF(N9="","CALL 2: final attempt (Playbook C2)",IF(OR(N9="Scheduled on call",N9="Booked on their behalf"),"DONE: scheduled on call",IF(N9="Escalate to AM","ESCALATED TO LEAD","Review")))))))</f>
        <v/>
      </c>
      <c r="G9" s="20">
        <f>IF(E9="Ram is handling - no action","",IF(M9="",B9+6/24,IF(AND(M9&lt;&gt;"Scheduled on call",M9&lt;&gt;"Booked on their behalf",M9&lt;&gt;"Not interested/Declined",N9=""),B9+20/24,"")))</f>
        <v/>
      </c>
      <c r="H9" s="19" t="inlineStr">
        <is>
          <t>Chetan</t>
        </is>
      </c>
      <c r="I9" s="19" t="inlineStr">
        <is>
          <t>FB</t>
        </is>
      </c>
      <c r="J9" s="19" t="inlineStr">
        <is>
          <t>Round1</t>
        </is>
      </c>
      <c r="K9" s="22" t="inlineStr">
        <is>
          <t>+91 9920264452</t>
        </is>
      </c>
      <c r="L9" s="19" t="inlineStr">
        <is>
          <t>&lt;calendly_link&gt;</t>
        </is>
      </c>
      <c r="M9" s="19" t="n"/>
      <c r="N9" s="19" t="n"/>
      <c r="O9" s="19">
        <f>IF(OR(M9="Scheduled on call",M9="Booked on their behalf",N9="Scheduled on call",N9="Booked on their behalf"),"SCHEDULED (call)",IF(OR(M9="Not interested/Declined",N9="Not interested/Declined"),"DECLINED",IF(N9="Escalate to AM","ESCALATED TO LEAD",IF(E9="Ram is handling - no action","N/A",IF(M9="","PENDING CALL 1","IN PROGRESS")))))</f>
        <v/>
      </c>
      <c r="P9" s="19">
        <f>IF(OR('Ram - Digital ToDo'!O9="Scheduled",'Ram - Digital ToDo'!Q9="Scheduled"),"Scheduled within SLA (self-serve)",IF(OR(M9="Scheduled on call",M9="Booked on their behalf",N9="Scheduled on call",N9="Booked on their behalf"),"Scheduled within SLA (call)",IF(OR(M9="Not interested/Declined",N9="Not interested/Declined"),"Declined",IF(N9="Escalate to AM","SLA breach - unresolved","In progress"))))</f>
        <v/>
      </c>
      <c r="Q9" s="19" t="n"/>
    </row>
    <row r="10">
      <c r="A10" s="19" t="inlineStr">
        <is>
          <t>REQ-0009</t>
        </is>
      </c>
      <c r="B10" s="20" t="n">
        <v>44867.82708333333</v>
      </c>
      <c r="C10" s="20">
        <f>B10+1</f>
        <v/>
      </c>
      <c r="D10" s="21">
        <f>(C10-NOW())*24</f>
        <v/>
      </c>
      <c r="E10" s="19">
        <f>IF('Ram - Digital ToDo'!Q10="Escalate to call","CALL NOW",IF('Ram - Digital ToDo'!N10="Bad contact","CALL NOW (digital failed)","Ram is handling - no action"))</f>
        <v/>
      </c>
      <c r="F10" s="19">
        <f>IF(E10="Ram is handling - no action","No action needed",IF(M10="","CALL 1: ring candidate, offer to book on call (Playbook C1)",IF(OR(M10="Scheduled on call",M10="Booked on their behalf"),"DONE: scheduled on call",IF(M10="Not interested/Declined","CLOSED: candidate declined (log + tell lead)",IF(N10="","CALL 2: final attempt (Playbook C2)",IF(OR(N10="Scheduled on call",N10="Booked on their behalf"),"DONE: scheduled on call",IF(N10="Escalate to AM","ESCALATED TO LEAD","Review")))))))</f>
        <v/>
      </c>
      <c r="G10" s="20">
        <f>IF(E10="Ram is handling - no action","",IF(M10="",B10+6/24,IF(AND(M10&lt;&gt;"Scheduled on call",M10&lt;&gt;"Booked on their behalf",M10&lt;&gt;"Not interested/Declined",N10=""),B10+20/24,"")))</f>
        <v/>
      </c>
      <c r="H10" s="19" t="inlineStr">
        <is>
          <t>Chetan</t>
        </is>
      </c>
      <c r="I10" s="19" t="inlineStr">
        <is>
          <t>Google</t>
        </is>
      </c>
      <c r="J10" s="19" t="inlineStr">
        <is>
          <t>Round1</t>
        </is>
      </c>
      <c r="K10" s="22" t="inlineStr">
        <is>
          <t>+91 9920264452</t>
        </is>
      </c>
      <c r="L10" s="19" t="inlineStr">
        <is>
          <t>&lt;calendly_link&gt;</t>
        </is>
      </c>
      <c r="M10" s="19" t="n"/>
      <c r="N10" s="19" t="n"/>
      <c r="O10" s="19">
        <f>IF(OR(M10="Scheduled on call",M10="Booked on their behalf",N10="Scheduled on call",N10="Booked on their behalf"),"SCHEDULED (call)",IF(OR(M10="Not interested/Declined",N10="Not interested/Declined"),"DECLINED",IF(N10="Escalate to AM","ESCALATED TO LEAD",IF(E10="Ram is handling - no action","N/A",IF(M10="","PENDING CALL 1","IN PROGRESS")))))</f>
        <v/>
      </c>
      <c r="P10" s="19">
        <f>IF(OR('Ram - Digital ToDo'!O10="Scheduled",'Ram - Digital ToDo'!Q10="Scheduled"),"Scheduled within SLA (self-serve)",IF(OR(M10="Scheduled on call",M10="Booked on their behalf",N10="Scheduled on call",N10="Booked on their behalf"),"Scheduled within SLA (call)",IF(OR(M10="Not interested/Declined",N10="Not interested/Declined"),"Declined",IF(N10="Escalate to AM","SLA breach - unresolved","In progress"))))</f>
        <v/>
      </c>
      <c r="Q10" s="19" t="n"/>
    </row>
    <row r="11">
      <c r="A11" s="19" t="inlineStr">
        <is>
          <t>REQ-0010</t>
        </is>
      </c>
      <c r="B11" s="20" t="n">
        <v>44867.82708333333</v>
      </c>
      <c r="C11" s="20">
        <f>B11+1</f>
        <v/>
      </c>
      <c r="D11" s="21">
        <f>(C11-NOW())*24</f>
        <v/>
      </c>
      <c r="E11" s="19">
        <f>IF('Ram - Digital ToDo'!Q11="Escalate to call","CALL NOW",IF('Ram - Digital ToDo'!N11="Bad contact","CALL NOW (digital failed)","Ram is handling - no action"))</f>
        <v/>
      </c>
      <c r="F11" s="19">
        <f>IF(E11="Ram is handling - no action","No action needed",IF(M11="","CALL 1: ring candidate, offer to book on call (Playbook C1)",IF(OR(M11="Scheduled on call",M11="Booked on their behalf"),"DONE: scheduled on call",IF(M11="Not interested/Declined","CLOSED: candidate declined (log + tell lead)",IF(N11="","CALL 2: final attempt (Playbook C2)",IF(OR(N11="Scheduled on call",N11="Booked on their behalf"),"DONE: scheduled on call",IF(N11="Escalate to AM","ESCALATED TO LEAD","Review")))))))</f>
        <v/>
      </c>
      <c r="G11" s="20">
        <f>IF(E11="Ram is handling - no action","",IF(M11="",B11+6/24,IF(AND(M11&lt;&gt;"Scheduled on call",M11&lt;&gt;"Booked on their behalf",M11&lt;&gt;"Not interested/Declined",N11=""),B11+20/24,"")))</f>
        <v/>
      </c>
      <c r="H11" s="19" t="inlineStr">
        <is>
          <t>Chetan</t>
        </is>
      </c>
      <c r="I11" s="19" t="inlineStr">
        <is>
          <t>FB</t>
        </is>
      </c>
      <c r="J11" s="19" t="inlineStr">
        <is>
          <t>Round2</t>
        </is>
      </c>
      <c r="K11" s="22" t="inlineStr">
        <is>
          <t>+91 9920264452</t>
        </is>
      </c>
      <c r="L11" s="19" t="inlineStr">
        <is>
          <t>&lt;calendly_link&gt;</t>
        </is>
      </c>
      <c r="M11" s="19" t="n"/>
      <c r="N11" s="19" t="n"/>
      <c r="O11" s="19">
        <f>IF(OR(M11="Scheduled on call",M11="Booked on their behalf",N11="Scheduled on call",N11="Booked on their behalf"),"SCHEDULED (call)",IF(OR(M11="Not interested/Declined",N11="Not interested/Declined"),"DECLINED",IF(N11="Escalate to AM","ESCALATED TO LEAD",IF(E11="Ram is handling - no action","N/A",IF(M11="","PENDING CALL 1","IN PROGRESS")))))</f>
        <v/>
      </c>
      <c r="P11" s="19">
        <f>IF(OR('Ram - Digital ToDo'!O11="Scheduled",'Ram - Digital ToDo'!Q11="Scheduled"),"Scheduled within SLA (self-serve)",IF(OR(M11="Scheduled on call",M11="Booked on their behalf",N11="Scheduled on call",N11="Booked on their behalf"),"Scheduled within SLA (call)",IF(OR(M11="Not interested/Declined",N11="Not interested/Declined"),"Declined",IF(N11="Escalate to AM","SLA breach - unresolved","In progress"))))</f>
        <v/>
      </c>
      <c r="Q11" s="19" t="n"/>
    </row>
    <row r="12">
      <c r="A12" s="19" t="inlineStr">
        <is>
          <t>REQ-0011</t>
        </is>
      </c>
      <c r="B12" s="20" t="n">
        <v>44867.82708333333</v>
      </c>
      <c r="C12" s="20">
        <f>B12+1</f>
        <v/>
      </c>
      <c r="D12" s="21">
        <f>(C12-NOW())*24</f>
        <v/>
      </c>
      <c r="E12" s="19">
        <f>IF('Ram - Digital ToDo'!Q12="Escalate to call","CALL NOW",IF('Ram - Digital ToDo'!N12="Bad contact","CALL NOW (digital failed)","Ram is handling - no action"))</f>
        <v/>
      </c>
      <c r="F12" s="19">
        <f>IF(E12="Ram is handling - no action","No action needed",IF(M12="","CALL 1: ring candidate, offer to book on call (Playbook C1)",IF(OR(M12="Scheduled on call",M12="Booked on their behalf"),"DONE: scheduled on call",IF(M12="Not interested/Declined","CLOSED: candidate declined (log + tell lead)",IF(N12="","CALL 2: final attempt (Playbook C2)",IF(OR(N12="Scheduled on call",N12="Booked on their behalf"),"DONE: scheduled on call",IF(N12="Escalate to AM","ESCALATED TO LEAD","Review")))))))</f>
        <v/>
      </c>
      <c r="G12" s="20">
        <f>IF(E12="Ram is handling - no action","",IF(M12="",B12+6/24,IF(AND(M12&lt;&gt;"Scheduled on call",M12&lt;&gt;"Booked on their behalf",M12&lt;&gt;"Not interested/Declined",N12=""),B12+20/24,"")))</f>
        <v/>
      </c>
      <c r="H12" s="19" t="inlineStr">
        <is>
          <t>Chetan</t>
        </is>
      </c>
      <c r="I12" s="19" t="inlineStr">
        <is>
          <t>Tesla</t>
        </is>
      </c>
      <c r="J12" s="19" t="inlineStr">
        <is>
          <t>Round1</t>
        </is>
      </c>
      <c r="K12" s="22" t="inlineStr">
        <is>
          <t>+91 9920264452</t>
        </is>
      </c>
      <c r="L12" s="19" t="inlineStr">
        <is>
          <t>&lt;calendly_link&gt;</t>
        </is>
      </c>
      <c r="M12" s="19" t="n"/>
      <c r="N12" s="19" t="n"/>
      <c r="O12" s="19">
        <f>IF(OR(M12="Scheduled on call",M12="Booked on their behalf",N12="Scheduled on call",N12="Booked on their behalf"),"SCHEDULED (call)",IF(OR(M12="Not interested/Declined",N12="Not interested/Declined"),"DECLINED",IF(N12="Escalate to AM","ESCALATED TO LEAD",IF(E12="Ram is handling - no action","N/A",IF(M12="","PENDING CALL 1","IN PROGRESS")))))</f>
        <v/>
      </c>
      <c r="P12" s="19">
        <f>IF(OR('Ram - Digital ToDo'!O12="Scheduled",'Ram - Digital ToDo'!Q12="Scheduled"),"Scheduled within SLA (self-serve)",IF(OR(M12="Scheduled on call",M12="Booked on their behalf",N12="Scheduled on call",N12="Booked on their behalf"),"Scheduled within SLA (call)",IF(OR(M12="Not interested/Declined",N12="Not interested/Declined"),"Declined",IF(N12="Escalate to AM","SLA breach - unresolved","In progress"))))</f>
        <v/>
      </c>
      <c r="Q12" s="19" t="n"/>
    </row>
    <row r="13">
      <c r="A13" s="19" t="inlineStr">
        <is>
          <t>REQ-0012</t>
        </is>
      </c>
      <c r="B13" s="20" t="n">
        <v>44867.82708333333</v>
      </c>
      <c r="C13" s="20">
        <f>B13+1</f>
        <v/>
      </c>
      <c r="D13" s="21">
        <f>(C13-NOW())*24</f>
        <v/>
      </c>
      <c r="E13" s="19">
        <f>IF('Ram - Digital ToDo'!Q13="Escalate to call","CALL NOW",IF('Ram - Digital ToDo'!N13="Bad contact","CALL NOW (digital failed)","Ram is handling - no action"))</f>
        <v/>
      </c>
      <c r="F13" s="19">
        <f>IF(E13="Ram is handling - no action","No action needed",IF(M13="","CALL 1: ring candidate, offer to book on call (Playbook C1)",IF(OR(M13="Scheduled on call",M13="Booked on their behalf"),"DONE: scheduled on call",IF(M13="Not interested/Declined","CLOSED: candidate declined (log + tell lead)",IF(N13="","CALL 2: final attempt (Playbook C2)",IF(OR(N13="Scheduled on call",N13="Booked on their behalf"),"DONE: scheduled on call",IF(N13="Escalate to AM","ESCALATED TO LEAD","Review")))))))</f>
        <v/>
      </c>
      <c r="G13" s="20">
        <f>IF(E13="Ram is handling - no action","",IF(M13="",B13+6/24,IF(AND(M13&lt;&gt;"Scheduled on call",M13&lt;&gt;"Booked on their behalf",M13&lt;&gt;"Not interested/Declined",N13=""),B13+20/24,"")))</f>
        <v/>
      </c>
      <c r="H13" s="19" t="inlineStr">
        <is>
          <t>Chetan</t>
        </is>
      </c>
      <c r="I13" s="19" t="inlineStr">
        <is>
          <t>Tesla</t>
        </is>
      </c>
      <c r="J13" s="19" t="inlineStr">
        <is>
          <t>Round1</t>
        </is>
      </c>
      <c r="K13" s="22" t="inlineStr">
        <is>
          <t>+91 9920264452</t>
        </is>
      </c>
      <c r="L13" s="19" t="inlineStr">
        <is>
          <t>&lt;calendly_link&gt;</t>
        </is>
      </c>
      <c r="M13" s="19" t="n"/>
      <c r="N13" s="19" t="n"/>
      <c r="O13" s="19">
        <f>IF(OR(M13="Scheduled on call",M13="Booked on their behalf",N13="Scheduled on call",N13="Booked on their behalf"),"SCHEDULED (call)",IF(OR(M13="Not interested/Declined",N13="Not interested/Declined"),"DECLINED",IF(N13="Escalate to AM","ESCALATED TO LEAD",IF(E13="Ram is handling - no action","N/A",IF(M13="","PENDING CALL 1","IN PROGRESS")))))</f>
        <v/>
      </c>
      <c r="P13" s="19">
        <f>IF(OR('Ram - Digital ToDo'!O13="Scheduled",'Ram - Digital ToDo'!Q13="Scheduled"),"Scheduled within SLA (self-serve)",IF(OR(M13="Scheduled on call",M13="Booked on their behalf",N13="Scheduled on call",N13="Booked on their behalf"),"Scheduled within SLA (call)",IF(OR(M13="Not interested/Declined",N13="Not interested/Declined"),"Declined",IF(N13="Escalate to AM","SLA breach - unresolved","In progress"))))</f>
        <v/>
      </c>
      <c r="Q13" s="19" t="n"/>
    </row>
    <row r="14">
      <c r="A14" s="19" t="inlineStr">
        <is>
          <t>REQ-0013</t>
        </is>
      </c>
      <c r="B14" s="20" t="n">
        <v>44867.82708333333</v>
      </c>
      <c r="C14" s="20">
        <f>B14+1</f>
        <v/>
      </c>
      <c r="D14" s="21">
        <f>(C14-NOW())*24</f>
        <v/>
      </c>
      <c r="E14" s="19">
        <f>IF('Ram - Digital ToDo'!Q14="Escalate to call","CALL NOW",IF('Ram - Digital ToDo'!N14="Bad contact","CALL NOW (digital failed)","Ram is handling - no action"))</f>
        <v/>
      </c>
      <c r="F14" s="19">
        <f>IF(E14="Ram is handling - no action","No action needed",IF(M14="","CALL 1: ring candidate, offer to book on call (Playbook C1)",IF(OR(M14="Scheduled on call",M14="Booked on their behalf"),"DONE: scheduled on call",IF(M14="Not interested/Declined","CLOSED: candidate declined (log + tell lead)",IF(N14="","CALL 2: final attempt (Playbook C2)",IF(OR(N14="Scheduled on call",N14="Booked on their behalf"),"DONE: scheduled on call",IF(N14="Escalate to AM","ESCALATED TO LEAD","Review")))))))</f>
        <v/>
      </c>
      <c r="G14" s="20">
        <f>IF(E14="Ram is handling - no action","",IF(M14="",B14+6/24,IF(AND(M14&lt;&gt;"Scheduled on call",M14&lt;&gt;"Booked on their behalf",M14&lt;&gt;"Not interested/Declined",N14=""),B14+20/24,"")))</f>
        <v/>
      </c>
      <c r="H14" s="19" t="inlineStr">
        <is>
          <t>Chetan</t>
        </is>
      </c>
      <c r="I14" s="19" t="inlineStr">
        <is>
          <t>Tesla</t>
        </is>
      </c>
      <c r="J14" s="19" t="inlineStr">
        <is>
          <t>Round2</t>
        </is>
      </c>
      <c r="K14" s="22" t="inlineStr">
        <is>
          <t>+91 9920264452</t>
        </is>
      </c>
      <c r="L14" s="19" t="inlineStr">
        <is>
          <t>&lt;calendly_link&gt;</t>
        </is>
      </c>
      <c r="M14" s="19" t="n"/>
      <c r="N14" s="19" t="n"/>
      <c r="O14" s="19">
        <f>IF(OR(M14="Scheduled on call",M14="Booked on their behalf",N14="Scheduled on call",N14="Booked on their behalf"),"SCHEDULED (call)",IF(OR(M14="Not interested/Declined",N14="Not interested/Declined"),"DECLINED",IF(N14="Escalate to AM","ESCALATED TO LEAD",IF(E14="Ram is handling - no action","N/A",IF(M14="","PENDING CALL 1","IN PROGRESS")))))</f>
        <v/>
      </c>
      <c r="P14" s="19">
        <f>IF(OR('Ram - Digital ToDo'!O14="Scheduled",'Ram - Digital ToDo'!Q14="Scheduled"),"Scheduled within SLA (self-serve)",IF(OR(M14="Scheduled on call",M14="Booked on their behalf",N14="Scheduled on call",N14="Booked on their behalf"),"Scheduled within SLA (call)",IF(OR(M14="Not interested/Declined",N14="Not interested/Declined"),"Declined",IF(N14="Escalate to AM","SLA breach - unresolved","In progress"))))</f>
        <v/>
      </c>
      <c r="Q14" s="19" t="n"/>
    </row>
    <row r="15">
      <c r="A15" s="19" t="inlineStr">
        <is>
          <t>REQ-0014</t>
        </is>
      </c>
      <c r="B15" s="20" t="n">
        <v>44867.82708333333</v>
      </c>
      <c r="C15" s="20">
        <f>B15+1</f>
        <v/>
      </c>
      <c r="D15" s="21">
        <f>(C15-NOW())*24</f>
        <v/>
      </c>
      <c r="E15" s="19">
        <f>IF('Ram - Digital ToDo'!Q15="Escalate to call","CALL NOW",IF('Ram - Digital ToDo'!N15="Bad contact","CALL NOW (digital failed)","Ram is handling - no action"))</f>
        <v/>
      </c>
      <c r="F15" s="19">
        <f>IF(E15="Ram is handling - no action","No action needed",IF(M15="","CALL 1: ring candidate, offer to book on call (Playbook C1)",IF(OR(M15="Scheduled on call",M15="Booked on their behalf"),"DONE: scheduled on call",IF(M15="Not interested/Declined","CLOSED: candidate declined (log + tell lead)",IF(N15="","CALL 2: final attempt (Playbook C2)",IF(OR(N15="Scheduled on call",N15="Booked on their behalf"),"DONE: scheduled on call",IF(N15="Escalate to AM","ESCALATED TO LEAD","Review")))))))</f>
        <v/>
      </c>
      <c r="G15" s="20">
        <f>IF(E15="Ram is handling - no action","",IF(M15="",B15+6/24,IF(AND(M15&lt;&gt;"Scheduled on call",M15&lt;&gt;"Booked on their behalf",M15&lt;&gt;"Not interested/Declined",N15=""),B15+20/24,"")))</f>
        <v/>
      </c>
      <c r="H15" s="19" t="inlineStr">
        <is>
          <t>Chetan</t>
        </is>
      </c>
      <c r="I15" s="19" t="inlineStr">
        <is>
          <t>Tesla</t>
        </is>
      </c>
      <c r="J15" s="19" t="inlineStr">
        <is>
          <t>Round1</t>
        </is>
      </c>
      <c r="K15" s="22" t="inlineStr">
        <is>
          <t>+91 9920264452</t>
        </is>
      </c>
      <c r="L15" s="19" t="inlineStr">
        <is>
          <t>&lt;calendly_link&gt;</t>
        </is>
      </c>
      <c r="M15" s="19" t="n"/>
      <c r="N15" s="19" t="n"/>
      <c r="O15" s="19">
        <f>IF(OR(M15="Scheduled on call",M15="Booked on their behalf",N15="Scheduled on call",N15="Booked on their behalf"),"SCHEDULED (call)",IF(OR(M15="Not interested/Declined",N15="Not interested/Declined"),"DECLINED",IF(N15="Escalate to AM","ESCALATED TO LEAD",IF(E15="Ram is handling - no action","N/A",IF(M15="","PENDING CALL 1","IN PROGRESS")))))</f>
        <v/>
      </c>
      <c r="P15" s="19">
        <f>IF(OR('Ram - Digital ToDo'!O15="Scheduled",'Ram - Digital ToDo'!Q15="Scheduled"),"Scheduled within SLA (self-serve)",IF(OR(M15="Scheduled on call",M15="Booked on their behalf",N15="Scheduled on call",N15="Booked on their behalf"),"Scheduled within SLA (call)",IF(OR(M15="Not interested/Declined",N15="Not interested/Declined"),"Declined",IF(N15="Escalate to AM","SLA breach - unresolved","In progress"))))</f>
        <v/>
      </c>
      <c r="Q15" s="19" t="n"/>
    </row>
    <row r="16">
      <c r="A16" s="19" t="inlineStr">
        <is>
          <t>REQ-0015</t>
        </is>
      </c>
      <c r="B16" s="20" t="n">
        <v>44867.82708333333</v>
      </c>
      <c r="C16" s="20">
        <f>B16+1</f>
        <v/>
      </c>
      <c r="D16" s="21">
        <f>(C16-NOW())*24</f>
        <v/>
      </c>
      <c r="E16" s="19">
        <f>IF('Ram - Digital ToDo'!Q16="Escalate to call","CALL NOW",IF('Ram - Digital ToDo'!N16="Bad contact","CALL NOW (digital failed)","Ram is handling - no action"))</f>
        <v/>
      </c>
      <c r="F16" s="19">
        <f>IF(E16="Ram is handling - no action","No action needed",IF(M16="","CALL 1: ring candidate, offer to book on call (Playbook C1)",IF(OR(M16="Scheduled on call",M16="Booked on their behalf"),"DONE: scheduled on call",IF(M16="Not interested/Declined","CLOSED: candidate declined (log + tell lead)",IF(N16="","CALL 2: final attempt (Playbook C2)",IF(OR(N16="Scheduled on call",N16="Booked on their behalf"),"DONE: scheduled on call",IF(N16="Escalate to AM","ESCALATED TO LEAD","Review")))))))</f>
        <v/>
      </c>
      <c r="G16" s="20">
        <f>IF(E16="Ram is handling - no action","",IF(M16="",B16+6/24,IF(AND(M16&lt;&gt;"Scheduled on call",M16&lt;&gt;"Booked on their behalf",M16&lt;&gt;"Not interested/Declined",N16=""),B16+20/24,"")))</f>
        <v/>
      </c>
      <c r="H16" s="19" t="inlineStr">
        <is>
          <t>Chetan</t>
        </is>
      </c>
      <c r="I16" s="19" t="inlineStr">
        <is>
          <t>Tesla</t>
        </is>
      </c>
      <c r="J16" s="19" t="inlineStr">
        <is>
          <t>Round1</t>
        </is>
      </c>
      <c r="K16" s="22" t="inlineStr">
        <is>
          <t>+91 9920264452</t>
        </is>
      </c>
      <c r="L16" s="19" t="inlineStr">
        <is>
          <t>&lt;calendly_link&gt;</t>
        </is>
      </c>
      <c r="M16" s="19" t="n"/>
      <c r="N16" s="19" t="n"/>
      <c r="O16" s="19">
        <f>IF(OR(M16="Scheduled on call",M16="Booked on their behalf",N16="Scheduled on call",N16="Booked on their behalf"),"SCHEDULED (call)",IF(OR(M16="Not interested/Declined",N16="Not interested/Declined"),"DECLINED",IF(N16="Escalate to AM","ESCALATED TO LEAD",IF(E16="Ram is handling - no action","N/A",IF(M16="","PENDING CALL 1","IN PROGRESS")))))</f>
        <v/>
      </c>
      <c r="P16" s="19">
        <f>IF(OR('Ram - Digital ToDo'!O16="Scheduled",'Ram - Digital ToDo'!Q16="Scheduled"),"Scheduled within SLA (self-serve)",IF(OR(M16="Scheduled on call",M16="Booked on their behalf",N16="Scheduled on call",N16="Booked on their behalf"),"Scheduled within SLA (call)",IF(OR(M16="Not interested/Declined",N16="Not interested/Declined"),"Declined",IF(N16="Escalate to AM","SLA breach - unresolved","In progress"))))</f>
        <v/>
      </c>
      <c r="Q16" s="19" t="n"/>
    </row>
    <row r="17">
      <c r="A17" s="19" t="inlineStr">
        <is>
          <t>REQ-0016</t>
        </is>
      </c>
      <c r="B17" s="20" t="n">
        <v>44867.82708333333</v>
      </c>
      <c r="C17" s="20">
        <f>B17+1</f>
        <v/>
      </c>
      <c r="D17" s="21">
        <f>(C17-NOW())*24</f>
        <v/>
      </c>
      <c r="E17" s="19">
        <f>IF('Ram - Digital ToDo'!Q17="Escalate to call","CALL NOW",IF('Ram - Digital ToDo'!N17="Bad contact","CALL NOW (digital failed)","Ram is handling - no action"))</f>
        <v/>
      </c>
      <c r="F17" s="19">
        <f>IF(E17="Ram is handling - no action","No action needed",IF(M17="","CALL 1: ring candidate, offer to book on call (Playbook C1)",IF(OR(M17="Scheduled on call",M17="Booked on their behalf"),"DONE: scheduled on call",IF(M17="Not interested/Declined","CLOSED: candidate declined (log + tell lead)",IF(N17="","CALL 2: final attempt (Playbook C2)",IF(OR(N17="Scheduled on call",N17="Booked on their behalf"),"DONE: scheduled on call",IF(N17="Escalate to AM","ESCALATED TO LEAD","Review")))))))</f>
        <v/>
      </c>
      <c r="G17" s="20">
        <f>IF(E17="Ram is handling - no action","",IF(M17="",B17+6/24,IF(AND(M17&lt;&gt;"Scheduled on call",M17&lt;&gt;"Booked on their behalf",M17&lt;&gt;"Not interested/Declined",N17=""),B17+20/24,"")))</f>
        <v/>
      </c>
      <c r="H17" s="19" t="inlineStr">
        <is>
          <t>Chetan</t>
        </is>
      </c>
      <c r="I17" s="19" t="inlineStr">
        <is>
          <t>Google</t>
        </is>
      </c>
      <c r="J17" s="19" t="inlineStr">
        <is>
          <t>Round1</t>
        </is>
      </c>
      <c r="K17" s="22" t="inlineStr">
        <is>
          <t>+91 9920264452</t>
        </is>
      </c>
      <c r="L17" s="19" t="inlineStr">
        <is>
          <t>&lt;calendly_link&gt;</t>
        </is>
      </c>
      <c r="M17" s="19" t="n"/>
      <c r="N17" s="19" t="n"/>
      <c r="O17" s="19">
        <f>IF(OR(M17="Scheduled on call",M17="Booked on their behalf",N17="Scheduled on call",N17="Booked on their behalf"),"SCHEDULED (call)",IF(OR(M17="Not interested/Declined",N17="Not interested/Declined"),"DECLINED",IF(N17="Escalate to AM","ESCALATED TO LEAD",IF(E17="Ram is handling - no action","N/A",IF(M17="","PENDING CALL 1","IN PROGRESS")))))</f>
        <v/>
      </c>
      <c r="P17" s="19">
        <f>IF(OR('Ram - Digital ToDo'!O17="Scheduled",'Ram - Digital ToDo'!Q17="Scheduled"),"Scheduled within SLA (self-serve)",IF(OR(M17="Scheduled on call",M17="Booked on their behalf",N17="Scheduled on call",N17="Booked on their behalf"),"Scheduled within SLA (call)",IF(OR(M17="Not interested/Declined",N17="Not interested/Declined"),"Declined",IF(N17="Escalate to AM","SLA breach - unresolved","In progress"))))</f>
        <v/>
      </c>
      <c r="Q17" s="19" t="n"/>
    </row>
    <row r="18">
      <c r="A18" s="19" t="inlineStr">
        <is>
          <t>REQ-0017</t>
        </is>
      </c>
      <c r="B18" s="20" t="n">
        <v>44867.82708333333</v>
      </c>
      <c r="C18" s="20">
        <f>B18+1</f>
        <v/>
      </c>
      <c r="D18" s="21">
        <f>(C18-NOW())*24</f>
        <v/>
      </c>
      <c r="E18" s="19">
        <f>IF('Ram - Digital ToDo'!Q18="Escalate to call","CALL NOW",IF('Ram - Digital ToDo'!N18="Bad contact","CALL NOW (digital failed)","Ram is handling - no action"))</f>
        <v/>
      </c>
      <c r="F18" s="19">
        <f>IF(E18="Ram is handling - no action","No action needed",IF(M18="","CALL 1: ring candidate, offer to book on call (Playbook C1)",IF(OR(M18="Scheduled on call",M18="Booked on their behalf"),"DONE: scheduled on call",IF(M18="Not interested/Declined","CLOSED: candidate declined (log + tell lead)",IF(N18="","CALL 2: final attempt (Playbook C2)",IF(OR(N18="Scheduled on call",N18="Booked on their behalf"),"DONE: scheduled on call",IF(N18="Escalate to AM","ESCALATED TO LEAD","Review")))))))</f>
        <v/>
      </c>
      <c r="G18" s="20">
        <f>IF(E18="Ram is handling - no action","",IF(M18="",B18+6/24,IF(AND(M18&lt;&gt;"Scheduled on call",M18&lt;&gt;"Booked on their behalf",M18&lt;&gt;"Not interested/Declined",N18=""),B18+20/24,"")))</f>
        <v/>
      </c>
      <c r="H18" s="19" t="inlineStr">
        <is>
          <t>Chetan</t>
        </is>
      </c>
      <c r="I18" s="19" t="inlineStr">
        <is>
          <t>Google</t>
        </is>
      </c>
      <c r="J18" s="19" t="inlineStr">
        <is>
          <t>Round3</t>
        </is>
      </c>
      <c r="K18" s="22" t="inlineStr">
        <is>
          <t>+91 9920264452</t>
        </is>
      </c>
      <c r="L18" s="19" t="inlineStr">
        <is>
          <t>&lt;calendly_link&gt;</t>
        </is>
      </c>
      <c r="M18" s="19" t="n"/>
      <c r="N18" s="19" t="n"/>
      <c r="O18" s="19">
        <f>IF(OR(M18="Scheduled on call",M18="Booked on their behalf",N18="Scheduled on call",N18="Booked on their behalf"),"SCHEDULED (call)",IF(OR(M18="Not interested/Declined",N18="Not interested/Declined"),"DECLINED",IF(N18="Escalate to AM","ESCALATED TO LEAD",IF(E18="Ram is handling - no action","N/A",IF(M18="","PENDING CALL 1","IN PROGRESS")))))</f>
        <v/>
      </c>
      <c r="P18" s="19">
        <f>IF(OR('Ram - Digital ToDo'!O18="Scheduled",'Ram - Digital ToDo'!Q18="Scheduled"),"Scheduled within SLA (self-serve)",IF(OR(M18="Scheduled on call",M18="Booked on their behalf",N18="Scheduled on call",N18="Booked on their behalf"),"Scheduled within SLA (call)",IF(OR(M18="Not interested/Declined",N18="Not interested/Declined"),"Declined",IF(N18="Escalate to AM","SLA breach - unresolved","In progress"))))</f>
        <v/>
      </c>
      <c r="Q18" s="19" t="n"/>
    </row>
    <row r="19">
      <c r="A19" s="19" t="inlineStr">
        <is>
          <t>REQ-0018</t>
        </is>
      </c>
      <c r="B19" s="20" t="n">
        <v>44867.82708333333</v>
      </c>
      <c r="C19" s="20">
        <f>B19+1</f>
        <v/>
      </c>
      <c r="D19" s="21">
        <f>(C19-NOW())*24</f>
        <v/>
      </c>
      <c r="E19" s="19">
        <f>IF('Ram - Digital ToDo'!Q19="Escalate to call","CALL NOW",IF('Ram - Digital ToDo'!N19="Bad contact","CALL NOW (digital failed)","Ram is handling - no action"))</f>
        <v/>
      </c>
      <c r="F19" s="19">
        <f>IF(E19="Ram is handling - no action","No action needed",IF(M19="","CALL 1: ring candidate, offer to book on call (Playbook C1)",IF(OR(M19="Scheduled on call",M19="Booked on their behalf"),"DONE: scheduled on call",IF(M19="Not interested/Declined","CLOSED: candidate declined (log + tell lead)",IF(N19="","CALL 2: final attempt (Playbook C2)",IF(OR(N19="Scheduled on call",N19="Booked on their behalf"),"DONE: scheduled on call",IF(N19="Escalate to AM","ESCALATED TO LEAD","Review")))))))</f>
        <v/>
      </c>
      <c r="G19" s="20">
        <f>IF(E19="Ram is handling - no action","",IF(M19="",B19+6/24,IF(AND(M19&lt;&gt;"Scheduled on call",M19&lt;&gt;"Booked on their behalf",M19&lt;&gt;"Not interested/Declined",N19=""),B19+20/24,"")))</f>
        <v/>
      </c>
      <c r="H19" s="19" t="inlineStr">
        <is>
          <t>Chetan</t>
        </is>
      </c>
      <c r="I19" s="19" t="inlineStr">
        <is>
          <t>Google</t>
        </is>
      </c>
      <c r="J19" s="19" t="inlineStr">
        <is>
          <t>Round2</t>
        </is>
      </c>
      <c r="K19" s="22" t="inlineStr">
        <is>
          <t>+91 9920264452</t>
        </is>
      </c>
      <c r="L19" s="19" t="inlineStr">
        <is>
          <t>&lt;calendly_link&gt;</t>
        </is>
      </c>
      <c r="M19" s="19" t="n"/>
      <c r="N19" s="19" t="n"/>
      <c r="O19" s="19">
        <f>IF(OR(M19="Scheduled on call",M19="Booked on their behalf",N19="Scheduled on call",N19="Booked on their behalf"),"SCHEDULED (call)",IF(OR(M19="Not interested/Declined",N19="Not interested/Declined"),"DECLINED",IF(N19="Escalate to AM","ESCALATED TO LEAD",IF(E19="Ram is handling - no action","N/A",IF(M19="","PENDING CALL 1","IN PROGRESS")))))</f>
        <v/>
      </c>
      <c r="P19" s="19">
        <f>IF(OR('Ram - Digital ToDo'!O19="Scheduled",'Ram - Digital ToDo'!Q19="Scheduled"),"Scheduled within SLA (self-serve)",IF(OR(M19="Scheduled on call",M19="Booked on their behalf",N19="Scheduled on call",N19="Booked on their behalf"),"Scheduled within SLA (call)",IF(OR(M19="Not interested/Declined",N19="Not interested/Declined"),"Declined",IF(N19="Escalate to AM","SLA breach - unresolved","In progress"))))</f>
        <v/>
      </c>
      <c r="Q19" s="19" t="n"/>
    </row>
    <row r="20">
      <c r="A20" s="19" t="inlineStr">
        <is>
          <t>REQ-0019</t>
        </is>
      </c>
      <c r="B20" s="20" t="n">
        <v>44867.82708333333</v>
      </c>
      <c r="C20" s="20">
        <f>B20+1</f>
        <v/>
      </c>
      <c r="D20" s="21">
        <f>(C20-NOW())*24</f>
        <v/>
      </c>
      <c r="E20" s="19">
        <f>IF('Ram - Digital ToDo'!Q20="Escalate to call","CALL NOW",IF('Ram - Digital ToDo'!N20="Bad contact","CALL NOW (digital failed)","Ram is handling - no action"))</f>
        <v/>
      </c>
      <c r="F20" s="19">
        <f>IF(E20="Ram is handling - no action","No action needed",IF(M20="","CALL 1: ring candidate, offer to book on call (Playbook C1)",IF(OR(M20="Scheduled on call",M20="Booked on their behalf"),"DONE: scheduled on call",IF(M20="Not interested/Declined","CLOSED: candidate declined (log + tell lead)",IF(N20="","CALL 2: final attempt (Playbook C2)",IF(OR(N20="Scheduled on call",N20="Booked on their behalf"),"DONE: scheduled on call",IF(N20="Escalate to AM","ESCALATED TO LEAD","Review")))))))</f>
        <v/>
      </c>
      <c r="G20" s="20">
        <f>IF(E20="Ram is handling - no action","",IF(M20="",B20+6/24,IF(AND(M20&lt;&gt;"Scheduled on call",M20&lt;&gt;"Booked on their behalf",M20&lt;&gt;"Not interested/Declined",N20=""),B20+20/24,"")))</f>
        <v/>
      </c>
      <c r="H20" s="19" t="inlineStr">
        <is>
          <t>Chetan</t>
        </is>
      </c>
      <c r="I20" s="19" t="inlineStr">
        <is>
          <t>Google</t>
        </is>
      </c>
      <c r="J20" s="19" t="inlineStr">
        <is>
          <t>Round1</t>
        </is>
      </c>
      <c r="K20" s="22" t="inlineStr">
        <is>
          <t>+91 9920264452</t>
        </is>
      </c>
      <c r="L20" s="19" t="inlineStr">
        <is>
          <t>&lt;calendly_link&gt;</t>
        </is>
      </c>
      <c r="M20" s="19" t="n"/>
      <c r="N20" s="19" t="n"/>
      <c r="O20" s="19">
        <f>IF(OR(M20="Scheduled on call",M20="Booked on their behalf",N20="Scheduled on call",N20="Booked on their behalf"),"SCHEDULED (call)",IF(OR(M20="Not interested/Declined",N20="Not interested/Declined"),"DECLINED",IF(N20="Escalate to AM","ESCALATED TO LEAD",IF(E20="Ram is handling - no action","N/A",IF(M20="","PENDING CALL 1","IN PROGRESS")))))</f>
        <v/>
      </c>
      <c r="P20" s="19">
        <f>IF(OR('Ram - Digital ToDo'!O20="Scheduled",'Ram - Digital ToDo'!Q20="Scheduled"),"Scheduled within SLA (self-serve)",IF(OR(M20="Scheduled on call",M20="Booked on their behalf",N20="Scheduled on call",N20="Booked on their behalf"),"Scheduled within SLA (call)",IF(OR(M20="Not interested/Declined",N20="Not interested/Declined"),"Declined",IF(N20="Escalate to AM","SLA breach - unresolved","In progress"))))</f>
        <v/>
      </c>
      <c r="Q20" s="19" t="n"/>
    </row>
    <row r="21">
      <c r="A21" s="19" t="inlineStr">
        <is>
          <t>REQ-0020</t>
        </is>
      </c>
      <c r="B21" s="20" t="n">
        <v>44867.82708333333</v>
      </c>
      <c r="C21" s="20">
        <f>B21+1</f>
        <v/>
      </c>
      <c r="D21" s="21">
        <f>(C21-NOW())*24</f>
        <v/>
      </c>
      <c r="E21" s="19">
        <f>IF('Ram - Digital ToDo'!Q21="Escalate to call","CALL NOW",IF('Ram - Digital ToDo'!N21="Bad contact","CALL NOW (digital failed)","Ram is handling - no action"))</f>
        <v/>
      </c>
      <c r="F21" s="19">
        <f>IF(E21="Ram is handling - no action","No action needed",IF(M21="","CALL 1: ring candidate, offer to book on call (Playbook C1)",IF(OR(M21="Scheduled on call",M21="Booked on their behalf"),"DONE: scheduled on call",IF(M21="Not interested/Declined","CLOSED: candidate declined (log + tell lead)",IF(N21="","CALL 2: final attempt (Playbook C2)",IF(OR(N21="Scheduled on call",N21="Booked on their behalf"),"DONE: scheduled on call",IF(N21="Escalate to AM","ESCALATED TO LEAD","Review")))))))</f>
        <v/>
      </c>
      <c r="G21" s="20">
        <f>IF(E21="Ram is handling - no action","",IF(M21="",B21+6/24,IF(AND(M21&lt;&gt;"Scheduled on call",M21&lt;&gt;"Booked on their behalf",M21&lt;&gt;"Not interested/Declined",N21=""),B21+20/24,"")))</f>
        <v/>
      </c>
      <c r="H21" s="19" t="inlineStr">
        <is>
          <t>Chetan</t>
        </is>
      </c>
      <c r="I21" s="19" t="inlineStr">
        <is>
          <t>Reliance</t>
        </is>
      </c>
      <c r="J21" s="19" t="inlineStr">
        <is>
          <t>Round1</t>
        </is>
      </c>
      <c r="K21" s="22" t="inlineStr">
        <is>
          <t>+91 9920264452</t>
        </is>
      </c>
      <c r="L21" s="19" t="inlineStr">
        <is>
          <t>&lt;calendly_link&gt;</t>
        </is>
      </c>
      <c r="M21" s="19" t="n"/>
      <c r="N21" s="19" t="n"/>
      <c r="O21" s="19">
        <f>IF(OR(M21="Scheduled on call",M21="Booked on their behalf",N21="Scheduled on call",N21="Booked on their behalf"),"SCHEDULED (call)",IF(OR(M21="Not interested/Declined",N21="Not interested/Declined"),"DECLINED",IF(N21="Escalate to AM","ESCALATED TO LEAD",IF(E21="Ram is handling - no action","N/A",IF(M21="","PENDING CALL 1","IN PROGRESS")))))</f>
        <v/>
      </c>
      <c r="P21" s="19">
        <f>IF(OR('Ram - Digital ToDo'!O21="Scheduled",'Ram - Digital ToDo'!Q21="Scheduled"),"Scheduled within SLA (self-serve)",IF(OR(M21="Scheduled on call",M21="Booked on their behalf",N21="Scheduled on call",N21="Booked on their behalf"),"Scheduled within SLA (call)",IF(OR(M21="Not interested/Declined",N21="Not interested/Declined"),"Declined",IF(N21="Escalate to AM","SLA breach - unresolved","In progress"))))</f>
        <v/>
      </c>
      <c r="Q21" s="19" t="n"/>
    </row>
    <row r="22">
      <c r="A22" s="19" t="inlineStr">
        <is>
          <t>REQ-0021</t>
        </is>
      </c>
      <c r="B22" s="20" t="n">
        <v>44867.82708333333</v>
      </c>
      <c r="C22" s="20">
        <f>B22+1</f>
        <v/>
      </c>
      <c r="D22" s="21">
        <f>(C22-NOW())*24</f>
        <v/>
      </c>
      <c r="E22" s="19">
        <f>IF('Ram - Digital ToDo'!Q22="Escalate to call","CALL NOW",IF('Ram - Digital ToDo'!N22="Bad contact","CALL NOW (digital failed)","Ram is handling - no action"))</f>
        <v/>
      </c>
      <c r="F22" s="19">
        <f>IF(E22="Ram is handling - no action","No action needed",IF(M22="","CALL 1: ring candidate, offer to book on call (Playbook C1)",IF(OR(M22="Scheduled on call",M22="Booked on their behalf"),"DONE: scheduled on call",IF(M22="Not interested/Declined","CLOSED: candidate declined (log + tell lead)",IF(N22="","CALL 2: final attempt (Playbook C2)",IF(OR(N22="Scheduled on call",N22="Booked on their behalf"),"DONE: scheduled on call",IF(N22="Escalate to AM","ESCALATED TO LEAD","Review")))))))</f>
        <v/>
      </c>
      <c r="G22" s="20">
        <f>IF(E22="Ram is handling - no action","",IF(M22="",B22+6/24,IF(AND(M22&lt;&gt;"Scheduled on call",M22&lt;&gt;"Booked on their behalf",M22&lt;&gt;"Not interested/Declined",N22=""),B22+20/24,"")))</f>
        <v/>
      </c>
      <c r="H22" s="19" t="inlineStr">
        <is>
          <t>Chetan</t>
        </is>
      </c>
      <c r="I22" s="19" t="inlineStr">
        <is>
          <t>Reliance</t>
        </is>
      </c>
      <c r="J22" s="19" t="inlineStr">
        <is>
          <t>Round1</t>
        </is>
      </c>
      <c r="K22" s="22" t="inlineStr">
        <is>
          <t>+91 9920264452</t>
        </is>
      </c>
      <c r="L22" s="19" t="inlineStr">
        <is>
          <t>&lt;calendly_link&gt;</t>
        </is>
      </c>
      <c r="M22" s="19" t="n"/>
      <c r="N22" s="19" t="n"/>
      <c r="O22" s="19">
        <f>IF(OR(M22="Scheduled on call",M22="Booked on their behalf",N22="Scheduled on call",N22="Booked on their behalf"),"SCHEDULED (call)",IF(OR(M22="Not interested/Declined",N22="Not interested/Declined"),"DECLINED",IF(N22="Escalate to AM","ESCALATED TO LEAD",IF(E22="Ram is handling - no action","N/A",IF(M22="","PENDING CALL 1","IN PROGRESS")))))</f>
        <v/>
      </c>
      <c r="P22" s="19">
        <f>IF(OR('Ram - Digital ToDo'!O22="Scheduled",'Ram - Digital ToDo'!Q22="Scheduled"),"Scheduled within SLA (self-serve)",IF(OR(M22="Scheduled on call",M22="Booked on their behalf",N22="Scheduled on call",N22="Booked on their behalf"),"Scheduled within SLA (call)",IF(OR(M22="Not interested/Declined",N22="Not interested/Declined"),"Declined",IF(N22="Escalate to AM","SLA breach - unresolved","In progress"))))</f>
        <v/>
      </c>
      <c r="Q22" s="19" t="n"/>
    </row>
    <row r="23">
      <c r="A23" s="19" t="inlineStr">
        <is>
          <t>REQ-0022</t>
        </is>
      </c>
      <c r="B23" s="20" t="n">
        <v>44867.82708333333</v>
      </c>
      <c r="C23" s="20">
        <f>B23+1</f>
        <v/>
      </c>
      <c r="D23" s="21">
        <f>(C23-NOW())*24</f>
        <v/>
      </c>
      <c r="E23" s="19">
        <f>IF('Ram - Digital ToDo'!Q23="Escalate to call","CALL NOW",IF('Ram - Digital ToDo'!N23="Bad contact","CALL NOW (digital failed)","Ram is handling - no action"))</f>
        <v/>
      </c>
      <c r="F23" s="19">
        <f>IF(E23="Ram is handling - no action","No action needed",IF(M23="","CALL 1: ring candidate, offer to book on call (Playbook C1)",IF(OR(M23="Scheduled on call",M23="Booked on their behalf"),"DONE: scheduled on call",IF(M23="Not interested/Declined","CLOSED: candidate declined (log + tell lead)",IF(N23="","CALL 2: final attempt (Playbook C2)",IF(OR(N23="Scheduled on call",N23="Booked on their behalf"),"DONE: scheduled on call",IF(N23="Escalate to AM","ESCALATED TO LEAD","Review")))))))</f>
        <v/>
      </c>
      <c r="G23" s="20">
        <f>IF(E23="Ram is handling - no action","",IF(M23="",B23+6/24,IF(AND(M23&lt;&gt;"Scheduled on call",M23&lt;&gt;"Booked on their behalf",M23&lt;&gt;"Not interested/Declined",N23=""),B23+20/24,"")))</f>
        <v/>
      </c>
      <c r="H23" s="19" t="inlineStr">
        <is>
          <t>Chetan</t>
        </is>
      </c>
      <c r="I23" s="19" t="inlineStr">
        <is>
          <t>Reliance</t>
        </is>
      </c>
      <c r="J23" s="19" t="inlineStr">
        <is>
          <t>Round2</t>
        </is>
      </c>
      <c r="K23" s="22" t="inlineStr">
        <is>
          <t>+91 9920264452</t>
        </is>
      </c>
      <c r="L23" s="19" t="inlineStr">
        <is>
          <t>&lt;calendly_link&gt;</t>
        </is>
      </c>
      <c r="M23" s="19" t="n"/>
      <c r="N23" s="19" t="n"/>
      <c r="O23" s="19">
        <f>IF(OR(M23="Scheduled on call",M23="Booked on their behalf",N23="Scheduled on call",N23="Booked on their behalf"),"SCHEDULED (call)",IF(OR(M23="Not interested/Declined",N23="Not interested/Declined"),"DECLINED",IF(N23="Escalate to AM","ESCALATED TO LEAD",IF(E23="Ram is handling - no action","N/A",IF(M23="","PENDING CALL 1","IN PROGRESS")))))</f>
        <v/>
      </c>
      <c r="P23" s="19">
        <f>IF(OR('Ram - Digital ToDo'!O23="Scheduled",'Ram - Digital ToDo'!Q23="Scheduled"),"Scheduled within SLA (self-serve)",IF(OR(M23="Scheduled on call",M23="Booked on their behalf",N23="Scheduled on call",N23="Booked on their behalf"),"Scheduled within SLA (call)",IF(OR(M23="Not interested/Declined",N23="Not interested/Declined"),"Declined",IF(N23="Escalate to AM","SLA breach - unresolved","In progress"))))</f>
        <v/>
      </c>
      <c r="Q23" s="19" t="n"/>
    </row>
    <row r="24">
      <c r="A24" s="19" t="inlineStr">
        <is>
          <t>REQ-0023</t>
        </is>
      </c>
      <c r="B24" s="20" t="n">
        <v>44867.82708333333</v>
      </c>
      <c r="C24" s="20">
        <f>B24+1</f>
        <v/>
      </c>
      <c r="D24" s="21">
        <f>(C24-NOW())*24</f>
        <v/>
      </c>
      <c r="E24" s="19">
        <f>IF('Ram - Digital ToDo'!Q24="Escalate to call","CALL NOW",IF('Ram - Digital ToDo'!N24="Bad contact","CALL NOW (digital failed)","Ram is handling - no action"))</f>
        <v/>
      </c>
      <c r="F24" s="19">
        <f>IF(E24="Ram is handling - no action","No action needed",IF(M24="","CALL 1: ring candidate, offer to book on call (Playbook C1)",IF(OR(M24="Scheduled on call",M24="Booked on their behalf"),"DONE: scheduled on call",IF(M24="Not interested/Declined","CLOSED: candidate declined (log + tell lead)",IF(N24="","CALL 2: final attempt (Playbook C2)",IF(OR(N24="Scheduled on call",N24="Booked on their behalf"),"DONE: scheduled on call",IF(N24="Escalate to AM","ESCALATED TO LEAD","Review")))))))</f>
        <v/>
      </c>
      <c r="G24" s="20">
        <f>IF(E24="Ram is handling - no action","",IF(M24="",B24+6/24,IF(AND(M24&lt;&gt;"Scheduled on call",M24&lt;&gt;"Booked on their behalf",M24&lt;&gt;"Not interested/Declined",N24=""),B24+20/24,"")))</f>
        <v/>
      </c>
      <c r="H24" s="19" t="inlineStr">
        <is>
          <t>Chetan</t>
        </is>
      </c>
      <c r="I24" s="19" t="inlineStr">
        <is>
          <t>Reliance</t>
        </is>
      </c>
      <c r="J24" s="19" t="inlineStr">
        <is>
          <t>Round3</t>
        </is>
      </c>
      <c r="K24" s="22" t="inlineStr">
        <is>
          <t>+91 9920264452</t>
        </is>
      </c>
      <c r="L24" s="19" t="inlineStr">
        <is>
          <t>&lt;calendly_link&gt;</t>
        </is>
      </c>
      <c r="M24" s="19" t="n"/>
      <c r="N24" s="19" t="n"/>
      <c r="O24" s="19">
        <f>IF(OR(M24="Scheduled on call",M24="Booked on their behalf",N24="Scheduled on call",N24="Booked on their behalf"),"SCHEDULED (call)",IF(OR(M24="Not interested/Declined",N24="Not interested/Declined"),"DECLINED",IF(N24="Escalate to AM","ESCALATED TO LEAD",IF(E24="Ram is handling - no action","N/A",IF(M24="","PENDING CALL 1","IN PROGRESS")))))</f>
        <v/>
      </c>
      <c r="P24" s="19">
        <f>IF(OR('Ram - Digital ToDo'!O24="Scheduled",'Ram - Digital ToDo'!Q24="Scheduled"),"Scheduled within SLA (self-serve)",IF(OR(M24="Scheduled on call",M24="Booked on their behalf",N24="Scheduled on call",N24="Booked on their behalf"),"Scheduled within SLA (call)",IF(OR(M24="Not interested/Declined",N24="Not interested/Declined"),"Declined",IF(N24="Escalate to AM","SLA breach - unresolved","In progress"))))</f>
        <v/>
      </c>
      <c r="Q24" s="19" t="n"/>
    </row>
    <row r="25">
      <c r="A25" s="19" t="inlineStr">
        <is>
          <t>REQ-0024</t>
        </is>
      </c>
      <c r="B25" s="20" t="n">
        <v>44867.82708333333</v>
      </c>
      <c r="C25" s="20">
        <f>B25+1</f>
        <v/>
      </c>
      <c r="D25" s="21">
        <f>(C25-NOW())*24</f>
        <v/>
      </c>
      <c r="E25" s="19">
        <f>IF('Ram - Digital ToDo'!Q25="Escalate to call","CALL NOW",IF('Ram - Digital ToDo'!N25="Bad contact","CALL NOW (digital failed)","Ram is handling - no action"))</f>
        <v/>
      </c>
      <c r="F25" s="19">
        <f>IF(E25="Ram is handling - no action","No action needed",IF(M25="","CALL 1: ring candidate, offer to book on call (Playbook C1)",IF(OR(M25="Scheduled on call",M25="Booked on their behalf"),"DONE: scheduled on call",IF(M25="Not interested/Declined","CLOSED: candidate declined (log + tell lead)",IF(N25="","CALL 2: final attempt (Playbook C2)",IF(OR(N25="Scheduled on call",N25="Booked on their behalf"),"DONE: scheduled on call",IF(N25="Escalate to AM","ESCALATED TO LEAD","Review")))))))</f>
        <v/>
      </c>
      <c r="G25" s="20">
        <f>IF(E25="Ram is handling - no action","",IF(M25="",B25+6/24,IF(AND(M25&lt;&gt;"Scheduled on call",M25&lt;&gt;"Booked on their behalf",M25&lt;&gt;"Not interested/Declined",N25=""),B25+20/24,"")))</f>
        <v/>
      </c>
      <c r="H25" s="19" t="inlineStr">
        <is>
          <t>Chetan</t>
        </is>
      </c>
      <c r="I25" s="19" t="inlineStr">
        <is>
          <t>Reliance</t>
        </is>
      </c>
      <c r="J25" s="19" t="inlineStr">
        <is>
          <t>Round1</t>
        </is>
      </c>
      <c r="K25" s="22" t="inlineStr">
        <is>
          <t>+91 9920264452</t>
        </is>
      </c>
      <c r="L25" s="19" t="inlineStr">
        <is>
          <t>&lt;calendly_link&gt;</t>
        </is>
      </c>
      <c r="M25" s="19" t="n"/>
      <c r="N25" s="19" t="n"/>
      <c r="O25" s="19">
        <f>IF(OR(M25="Scheduled on call",M25="Booked on their behalf",N25="Scheduled on call",N25="Booked on their behalf"),"SCHEDULED (call)",IF(OR(M25="Not interested/Declined",N25="Not interested/Declined"),"DECLINED",IF(N25="Escalate to AM","ESCALATED TO LEAD",IF(E25="Ram is handling - no action","N/A",IF(M25="","PENDING CALL 1","IN PROGRESS")))))</f>
        <v/>
      </c>
      <c r="P25" s="19">
        <f>IF(OR('Ram - Digital ToDo'!O25="Scheduled",'Ram - Digital ToDo'!Q25="Scheduled"),"Scheduled within SLA (self-serve)",IF(OR(M25="Scheduled on call",M25="Booked on their behalf",N25="Scheduled on call",N25="Booked on their behalf"),"Scheduled within SLA (call)",IF(OR(M25="Not interested/Declined",N25="Not interested/Declined"),"Declined",IF(N25="Escalate to AM","SLA breach - unresolved","In progress"))))</f>
        <v/>
      </c>
      <c r="Q25" s="19" t="n"/>
    </row>
    <row r="26">
      <c r="A26" s="19" t="inlineStr">
        <is>
          <t>REQ-0025</t>
        </is>
      </c>
      <c r="B26" s="20" t="n">
        <v>44867.82708333333</v>
      </c>
      <c r="C26" s="20">
        <f>B26+1</f>
        <v/>
      </c>
      <c r="D26" s="21">
        <f>(C26-NOW())*24</f>
        <v/>
      </c>
      <c r="E26" s="19">
        <f>IF('Ram - Digital ToDo'!Q26="Escalate to call","CALL NOW",IF('Ram - Digital ToDo'!N26="Bad contact","CALL NOW (digital failed)","Ram is handling - no action"))</f>
        <v/>
      </c>
      <c r="F26" s="19">
        <f>IF(E26="Ram is handling - no action","No action needed",IF(M26="","CALL 1: ring candidate, offer to book on call (Playbook C1)",IF(OR(M26="Scheduled on call",M26="Booked on their behalf"),"DONE: scheduled on call",IF(M26="Not interested/Declined","CLOSED: candidate declined (log + tell lead)",IF(N26="","CALL 2: final attempt (Playbook C2)",IF(OR(N26="Scheduled on call",N26="Booked on their behalf"),"DONE: scheduled on call",IF(N26="Escalate to AM","ESCALATED TO LEAD","Review")))))))</f>
        <v/>
      </c>
      <c r="G26" s="20">
        <f>IF(E26="Ram is handling - no action","",IF(M26="",B26+6/24,IF(AND(M26&lt;&gt;"Scheduled on call",M26&lt;&gt;"Booked on their behalf",M26&lt;&gt;"Not interested/Declined",N26=""),B26+20/24,"")))</f>
        <v/>
      </c>
      <c r="H26" s="19" t="inlineStr">
        <is>
          <t>Chetan</t>
        </is>
      </c>
      <c r="I26" s="19" t="inlineStr">
        <is>
          <t>Reliance</t>
        </is>
      </c>
      <c r="J26" s="19" t="inlineStr">
        <is>
          <t>Round1</t>
        </is>
      </c>
      <c r="K26" s="22" t="inlineStr">
        <is>
          <t>+91 9920264452</t>
        </is>
      </c>
      <c r="L26" s="19" t="inlineStr">
        <is>
          <t>&lt;calendly_link&gt;</t>
        </is>
      </c>
      <c r="M26" s="19" t="n"/>
      <c r="N26" s="19" t="n"/>
      <c r="O26" s="19">
        <f>IF(OR(M26="Scheduled on call",M26="Booked on their behalf",N26="Scheduled on call",N26="Booked on their behalf"),"SCHEDULED (call)",IF(OR(M26="Not interested/Declined",N26="Not interested/Declined"),"DECLINED",IF(N26="Escalate to AM","ESCALATED TO LEAD",IF(E26="Ram is handling - no action","N/A",IF(M26="","PENDING CALL 1","IN PROGRESS")))))</f>
        <v/>
      </c>
      <c r="P26" s="19">
        <f>IF(OR('Ram - Digital ToDo'!O26="Scheduled",'Ram - Digital ToDo'!Q26="Scheduled"),"Scheduled within SLA (self-serve)",IF(OR(M26="Scheduled on call",M26="Booked on their behalf",N26="Scheduled on call",N26="Booked on their behalf"),"Scheduled within SLA (call)",IF(OR(M26="Not interested/Declined",N26="Not interested/Declined"),"Declined",IF(N26="Escalate to AM","SLA breach - unresolved","In progress"))))</f>
        <v/>
      </c>
      <c r="Q26" s="19" t="n"/>
    </row>
    <row r="27">
      <c r="A27" s="19" t="inlineStr">
        <is>
          <t>REQ-0026</t>
        </is>
      </c>
      <c r="B27" s="20" t="n">
        <v>44867.82708333333</v>
      </c>
      <c r="C27" s="20">
        <f>B27+1</f>
        <v/>
      </c>
      <c r="D27" s="21">
        <f>(C27-NOW())*24</f>
        <v/>
      </c>
      <c r="E27" s="19">
        <f>IF('Ram - Digital ToDo'!Q27="Escalate to call","CALL NOW",IF('Ram - Digital ToDo'!N27="Bad contact","CALL NOW (digital failed)","Ram is handling - no action"))</f>
        <v/>
      </c>
      <c r="F27" s="19">
        <f>IF(E27="Ram is handling - no action","No action needed",IF(M27="","CALL 1: ring candidate, offer to book on call (Playbook C1)",IF(OR(M27="Scheduled on call",M27="Booked on their behalf"),"DONE: scheduled on call",IF(M27="Not interested/Declined","CLOSED: candidate declined (log + tell lead)",IF(N27="","CALL 2: final attempt (Playbook C2)",IF(OR(N27="Scheduled on call",N27="Booked on their behalf"),"DONE: scheduled on call",IF(N27="Escalate to AM","ESCALATED TO LEAD","Review")))))))</f>
        <v/>
      </c>
      <c r="G27" s="20">
        <f>IF(E27="Ram is handling - no action","",IF(M27="",B27+6/24,IF(AND(M27&lt;&gt;"Scheduled on call",M27&lt;&gt;"Booked on their behalf",M27&lt;&gt;"Not interested/Declined",N27=""),B27+20/24,"")))</f>
        <v/>
      </c>
      <c r="H27" s="19" t="inlineStr">
        <is>
          <t>Chetan</t>
        </is>
      </c>
      <c r="I27" s="19" t="inlineStr">
        <is>
          <t>Reliance</t>
        </is>
      </c>
      <c r="J27" s="19" t="inlineStr">
        <is>
          <t>Round1</t>
        </is>
      </c>
      <c r="K27" s="22" t="inlineStr">
        <is>
          <t>+91 9920264452</t>
        </is>
      </c>
      <c r="L27" s="19" t="inlineStr">
        <is>
          <t>&lt;calendly_link&gt;</t>
        </is>
      </c>
      <c r="M27" s="19" t="n"/>
      <c r="N27" s="19" t="n"/>
      <c r="O27" s="19">
        <f>IF(OR(M27="Scheduled on call",M27="Booked on their behalf",N27="Scheduled on call",N27="Booked on their behalf"),"SCHEDULED (call)",IF(OR(M27="Not interested/Declined",N27="Not interested/Declined"),"DECLINED",IF(N27="Escalate to AM","ESCALATED TO LEAD",IF(E27="Ram is handling - no action","N/A",IF(M27="","PENDING CALL 1","IN PROGRESS")))))</f>
        <v/>
      </c>
      <c r="P27" s="19">
        <f>IF(OR('Ram - Digital ToDo'!O27="Scheduled",'Ram - Digital ToDo'!Q27="Scheduled"),"Scheduled within SLA (self-serve)",IF(OR(M27="Scheduled on call",M27="Booked on their behalf",N27="Scheduled on call",N27="Booked on their behalf"),"Scheduled within SLA (call)",IF(OR(M27="Not interested/Declined",N27="Not interested/Declined"),"Declined",IF(N27="Escalate to AM","SLA breach - unresolved","In progress"))))</f>
        <v/>
      </c>
      <c r="Q27" s="19" t="n"/>
    </row>
    <row r="28">
      <c r="A28" s="19" t="inlineStr">
        <is>
          <t>REQ-0027</t>
        </is>
      </c>
      <c r="B28" s="20" t="n">
        <v>44867.82708333333</v>
      </c>
      <c r="C28" s="20">
        <f>B28+1</f>
        <v/>
      </c>
      <c r="D28" s="21">
        <f>(C28-NOW())*24</f>
        <v/>
      </c>
      <c r="E28" s="19">
        <f>IF('Ram - Digital ToDo'!Q28="Escalate to call","CALL NOW",IF('Ram - Digital ToDo'!N28="Bad contact","CALL NOW (digital failed)","Ram is handling - no action"))</f>
        <v/>
      </c>
      <c r="F28" s="19">
        <f>IF(E28="Ram is handling - no action","No action needed",IF(M28="","CALL 1: ring candidate, offer to book on call (Playbook C1)",IF(OR(M28="Scheduled on call",M28="Booked on their behalf"),"DONE: scheduled on call",IF(M28="Not interested/Declined","CLOSED: candidate declined (log + tell lead)",IF(N28="","CALL 2: final attempt (Playbook C2)",IF(OR(N28="Scheduled on call",N28="Booked on their behalf"),"DONE: scheduled on call",IF(N28="Escalate to AM","ESCALATED TO LEAD","Review")))))))</f>
        <v/>
      </c>
      <c r="G28" s="20">
        <f>IF(E28="Ram is handling - no action","",IF(M28="",B28+6/24,IF(AND(M28&lt;&gt;"Scheduled on call",M28&lt;&gt;"Booked on their behalf",M28&lt;&gt;"Not interested/Declined",N28=""),B28+20/24,"")))</f>
        <v/>
      </c>
      <c r="H28" s="19" t="inlineStr">
        <is>
          <t>Chetan</t>
        </is>
      </c>
      <c r="I28" s="19" t="inlineStr">
        <is>
          <t>Google</t>
        </is>
      </c>
      <c r="J28" s="19" t="inlineStr">
        <is>
          <t>Round3</t>
        </is>
      </c>
      <c r="K28" s="22" t="inlineStr">
        <is>
          <t>+91 9920264452</t>
        </is>
      </c>
      <c r="L28" s="19" t="inlineStr">
        <is>
          <t>&lt;calendly_link&gt;</t>
        </is>
      </c>
      <c r="M28" s="19" t="n"/>
      <c r="N28" s="19" t="n"/>
      <c r="O28" s="19">
        <f>IF(OR(M28="Scheduled on call",M28="Booked on their behalf",N28="Scheduled on call",N28="Booked on their behalf"),"SCHEDULED (call)",IF(OR(M28="Not interested/Declined",N28="Not interested/Declined"),"DECLINED",IF(N28="Escalate to AM","ESCALATED TO LEAD",IF(E28="Ram is handling - no action","N/A",IF(M28="","PENDING CALL 1","IN PROGRESS")))))</f>
        <v/>
      </c>
      <c r="P28" s="19">
        <f>IF(OR('Ram - Digital ToDo'!O28="Scheduled",'Ram - Digital ToDo'!Q28="Scheduled"),"Scheduled within SLA (self-serve)",IF(OR(M28="Scheduled on call",M28="Booked on their behalf",N28="Scheduled on call",N28="Booked on their behalf"),"Scheduled within SLA (call)",IF(OR(M28="Not interested/Declined",N28="Not interested/Declined"),"Declined",IF(N28="Escalate to AM","SLA breach - unresolved","In progress"))))</f>
        <v/>
      </c>
      <c r="Q28" s="19" t="n"/>
    </row>
    <row r="29">
      <c r="A29" s="19" t="inlineStr">
        <is>
          <t>REQ-0028</t>
        </is>
      </c>
      <c r="B29" s="20" t="n">
        <v>44867.82708333333</v>
      </c>
      <c r="C29" s="20">
        <f>B29+1</f>
        <v/>
      </c>
      <c r="D29" s="21">
        <f>(C29-NOW())*24</f>
        <v/>
      </c>
      <c r="E29" s="19">
        <f>IF('Ram - Digital ToDo'!Q29="Escalate to call","CALL NOW",IF('Ram - Digital ToDo'!N29="Bad contact","CALL NOW (digital failed)","Ram is handling - no action"))</f>
        <v/>
      </c>
      <c r="F29" s="19">
        <f>IF(E29="Ram is handling - no action","No action needed",IF(M29="","CALL 1: ring candidate, offer to book on call (Playbook C1)",IF(OR(M29="Scheduled on call",M29="Booked on their behalf"),"DONE: scheduled on call",IF(M29="Not interested/Declined","CLOSED: candidate declined (log + tell lead)",IF(N29="","CALL 2: final attempt (Playbook C2)",IF(OR(N29="Scheduled on call",N29="Booked on their behalf"),"DONE: scheduled on call",IF(N29="Escalate to AM","ESCALATED TO LEAD","Review")))))))</f>
        <v/>
      </c>
      <c r="G29" s="20">
        <f>IF(E29="Ram is handling - no action","",IF(M29="",B29+6/24,IF(AND(M29&lt;&gt;"Scheduled on call",M29&lt;&gt;"Booked on their behalf",M29&lt;&gt;"Not interested/Declined",N29=""),B29+20/24,"")))</f>
        <v/>
      </c>
      <c r="H29" s="19" t="inlineStr">
        <is>
          <t>Chetan</t>
        </is>
      </c>
      <c r="I29" s="19" t="inlineStr">
        <is>
          <t>Google</t>
        </is>
      </c>
      <c r="J29" s="19" t="inlineStr">
        <is>
          <t>Round1</t>
        </is>
      </c>
      <c r="K29" s="22" t="inlineStr">
        <is>
          <t>+91 9920264452</t>
        </is>
      </c>
      <c r="L29" s="19" t="inlineStr">
        <is>
          <t>&lt;calendly_link&gt;</t>
        </is>
      </c>
      <c r="M29" s="19" t="n"/>
      <c r="N29" s="19" t="n"/>
      <c r="O29" s="19">
        <f>IF(OR(M29="Scheduled on call",M29="Booked on their behalf",N29="Scheduled on call",N29="Booked on their behalf"),"SCHEDULED (call)",IF(OR(M29="Not interested/Declined",N29="Not interested/Declined"),"DECLINED",IF(N29="Escalate to AM","ESCALATED TO LEAD",IF(E29="Ram is handling - no action","N/A",IF(M29="","PENDING CALL 1","IN PROGRESS")))))</f>
        <v/>
      </c>
      <c r="P29" s="19">
        <f>IF(OR('Ram - Digital ToDo'!O29="Scheduled",'Ram - Digital ToDo'!Q29="Scheduled"),"Scheduled within SLA (self-serve)",IF(OR(M29="Scheduled on call",M29="Booked on their behalf",N29="Scheduled on call",N29="Booked on their behalf"),"Scheduled within SLA (call)",IF(OR(M29="Not interested/Declined",N29="Not interested/Declined"),"Declined",IF(N29="Escalate to AM","SLA breach - unresolved","In progress"))))</f>
        <v/>
      </c>
      <c r="Q29" s="19" t="n"/>
    </row>
    <row r="30">
      <c r="A30" s="19" t="inlineStr">
        <is>
          <t>REQ-0029</t>
        </is>
      </c>
      <c r="B30" s="20" t="n">
        <v>44867.82708333333</v>
      </c>
      <c r="C30" s="20">
        <f>B30+1</f>
        <v/>
      </c>
      <c r="D30" s="21">
        <f>(C30-NOW())*24</f>
        <v/>
      </c>
      <c r="E30" s="19">
        <f>IF('Ram - Digital ToDo'!Q30="Escalate to call","CALL NOW",IF('Ram - Digital ToDo'!N30="Bad contact","CALL NOW (digital failed)","Ram is handling - no action"))</f>
        <v/>
      </c>
      <c r="F30" s="19">
        <f>IF(E30="Ram is handling - no action","No action needed",IF(M30="","CALL 1: ring candidate, offer to book on call (Playbook C1)",IF(OR(M30="Scheduled on call",M30="Booked on their behalf"),"DONE: scheduled on call",IF(M30="Not interested/Declined","CLOSED: candidate declined (log + tell lead)",IF(N30="","CALL 2: final attempt (Playbook C2)",IF(OR(N30="Scheduled on call",N30="Booked on their behalf"),"DONE: scheduled on call",IF(N30="Escalate to AM","ESCALATED TO LEAD","Review")))))))</f>
        <v/>
      </c>
      <c r="G30" s="20">
        <f>IF(E30="Ram is handling - no action","",IF(M30="",B30+6/24,IF(AND(M30&lt;&gt;"Scheduled on call",M30&lt;&gt;"Booked on their behalf",M30&lt;&gt;"Not interested/Declined",N30=""),B30+20/24,"")))</f>
        <v/>
      </c>
      <c r="H30" s="19" t="inlineStr">
        <is>
          <t>Chetan</t>
        </is>
      </c>
      <c r="I30" s="19" t="inlineStr">
        <is>
          <t>Google</t>
        </is>
      </c>
      <c r="J30" s="19" t="inlineStr">
        <is>
          <t>Round1</t>
        </is>
      </c>
      <c r="K30" s="22" t="inlineStr">
        <is>
          <t>+91 9920264452</t>
        </is>
      </c>
      <c r="L30" s="19" t="inlineStr">
        <is>
          <t>&lt;calendly_link&gt;</t>
        </is>
      </c>
      <c r="M30" s="19" t="n"/>
      <c r="N30" s="19" t="n"/>
      <c r="O30" s="19">
        <f>IF(OR(M30="Scheduled on call",M30="Booked on their behalf",N30="Scheduled on call",N30="Booked on their behalf"),"SCHEDULED (call)",IF(OR(M30="Not interested/Declined",N30="Not interested/Declined"),"DECLINED",IF(N30="Escalate to AM","ESCALATED TO LEAD",IF(E30="Ram is handling - no action","N/A",IF(M30="","PENDING CALL 1","IN PROGRESS")))))</f>
        <v/>
      </c>
      <c r="P30" s="19">
        <f>IF(OR('Ram - Digital ToDo'!O30="Scheduled",'Ram - Digital ToDo'!Q30="Scheduled"),"Scheduled within SLA (self-serve)",IF(OR(M30="Scheduled on call",M30="Booked on their behalf",N30="Scheduled on call",N30="Booked on their behalf"),"Scheduled within SLA (call)",IF(OR(M30="Not interested/Declined",N30="Not interested/Declined"),"Declined",IF(N30="Escalate to AM","SLA breach - unresolved","In progress"))))</f>
        <v/>
      </c>
      <c r="Q30" s="19" t="n"/>
    </row>
    <row r="31">
      <c r="A31" s="19" t="inlineStr">
        <is>
          <t>REQ-0030</t>
        </is>
      </c>
      <c r="B31" s="20" t="n">
        <v>44867.82708333333</v>
      </c>
      <c r="C31" s="20">
        <f>B31+1</f>
        <v/>
      </c>
      <c r="D31" s="21">
        <f>(C31-NOW())*24</f>
        <v/>
      </c>
      <c r="E31" s="19">
        <f>IF('Ram - Digital ToDo'!Q31="Escalate to call","CALL NOW",IF('Ram - Digital ToDo'!N31="Bad contact","CALL NOW (digital failed)","Ram is handling - no action"))</f>
        <v/>
      </c>
      <c r="F31" s="19">
        <f>IF(E31="Ram is handling - no action","No action needed",IF(M31="","CALL 1: ring candidate, offer to book on call (Playbook C1)",IF(OR(M31="Scheduled on call",M31="Booked on their behalf"),"DONE: scheduled on call",IF(M31="Not interested/Declined","CLOSED: candidate declined (log + tell lead)",IF(N31="","CALL 2: final attempt (Playbook C2)",IF(OR(N31="Scheduled on call",N31="Booked on their behalf"),"DONE: scheduled on call",IF(N31="Escalate to AM","ESCALATED TO LEAD","Review")))))))</f>
        <v/>
      </c>
      <c r="G31" s="20">
        <f>IF(E31="Ram is handling - no action","",IF(M31="",B31+6/24,IF(AND(M31&lt;&gt;"Scheduled on call",M31&lt;&gt;"Booked on their behalf",M31&lt;&gt;"Not interested/Declined",N31=""),B31+20/24,"")))</f>
        <v/>
      </c>
      <c r="H31" s="19" t="inlineStr">
        <is>
          <t>Chetan</t>
        </is>
      </c>
      <c r="I31" s="19" t="inlineStr">
        <is>
          <t>Google</t>
        </is>
      </c>
      <c r="J31" s="19" t="inlineStr">
        <is>
          <t>Round1</t>
        </is>
      </c>
      <c r="K31" s="22" t="inlineStr">
        <is>
          <t>+91 9920264452</t>
        </is>
      </c>
      <c r="L31" s="19" t="inlineStr">
        <is>
          <t>&lt;calendly_link&gt;</t>
        </is>
      </c>
      <c r="M31" s="19" t="n"/>
      <c r="N31" s="19" t="n"/>
      <c r="O31" s="19">
        <f>IF(OR(M31="Scheduled on call",M31="Booked on their behalf",N31="Scheduled on call",N31="Booked on their behalf"),"SCHEDULED (call)",IF(OR(M31="Not interested/Declined",N31="Not interested/Declined"),"DECLINED",IF(N31="Escalate to AM","ESCALATED TO LEAD",IF(E31="Ram is handling - no action","N/A",IF(M31="","PENDING CALL 1","IN PROGRESS")))))</f>
        <v/>
      </c>
      <c r="P31" s="19">
        <f>IF(OR('Ram - Digital ToDo'!O31="Scheduled",'Ram - Digital ToDo'!Q31="Scheduled"),"Scheduled within SLA (self-serve)",IF(OR(M31="Scheduled on call",M31="Booked on their behalf",N31="Scheduled on call",N31="Booked on their behalf"),"Scheduled within SLA (call)",IF(OR(M31="Not interested/Declined",N31="Not interested/Declined"),"Declined",IF(N31="Escalate to AM","SLA breach - unresolved","In progress"))))</f>
        <v/>
      </c>
      <c r="Q31" s="19" t="n"/>
    </row>
    <row r="32">
      <c r="A32" s="19" t="inlineStr">
        <is>
          <t>REQ-0031</t>
        </is>
      </c>
      <c r="B32" s="20" t="n">
        <v>44867.82708333333</v>
      </c>
      <c r="C32" s="20">
        <f>B32+1</f>
        <v/>
      </c>
      <c r="D32" s="21">
        <f>(C32-NOW())*24</f>
        <v/>
      </c>
      <c r="E32" s="19">
        <f>IF('Ram - Digital ToDo'!Q32="Escalate to call","CALL NOW",IF('Ram - Digital ToDo'!N32="Bad contact","CALL NOW (digital failed)","Ram is handling - no action"))</f>
        <v/>
      </c>
      <c r="F32" s="19">
        <f>IF(E32="Ram is handling - no action","No action needed",IF(M32="","CALL 1: ring candidate, offer to book on call (Playbook C1)",IF(OR(M32="Scheduled on call",M32="Booked on their behalf"),"DONE: scheduled on call",IF(M32="Not interested/Declined","CLOSED: candidate declined (log + tell lead)",IF(N32="","CALL 2: final attempt (Playbook C2)",IF(OR(N32="Scheduled on call",N32="Booked on their behalf"),"DONE: scheduled on call",IF(N32="Escalate to AM","ESCALATED TO LEAD","Review")))))))</f>
        <v/>
      </c>
      <c r="G32" s="20">
        <f>IF(E32="Ram is handling - no action","",IF(M32="",B32+6/24,IF(AND(M32&lt;&gt;"Scheduled on call",M32&lt;&gt;"Booked on their behalf",M32&lt;&gt;"Not interested/Declined",N32=""),B32+20/24,"")))</f>
        <v/>
      </c>
      <c r="H32" s="19" t="inlineStr">
        <is>
          <t>Chetan</t>
        </is>
      </c>
      <c r="I32" s="19" t="inlineStr">
        <is>
          <t>Google</t>
        </is>
      </c>
      <c r="J32" s="19" t="inlineStr">
        <is>
          <t>Round1</t>
        </is>
      </c>
      <c r="K32" s="22" t="inlineStr">
        <is>
          <t>+91 9920264452</t>
        </is>
      </c>
      <c r="L32" s="19" t="inlineStr">
        <is>
          <t>&lt;calendly_link&gt;</t>
        </is>
      </c>
      <c r="M32" s="19" t="n"/>
      <c r="N32" s="19" t="n"/>
      <c r="O32" s="19">
        <f>IF(OR(M32="Scheduled on call",M32="Booked on their behalf",N32="Scheduled on call",N32="Booked on their behalf"),"SCHEDULED (call)",IF(OR(M32="Not interested/Declined",N32="Not interested/Declined"),"DECLINED",IF(N32="Escalate to AM","ESCALATED TO LEAD",IF(E32="Ram is handling - no action","N/A",IF(M32="","PENDING CALL 1","IN PROGRESS")))))</f>
        <v/>
      </c>
      <c r="P32" s="19">
        <f>IF(OR('Ram - Digital ToDo'!O32="Scheduled",'Ram - Digital ToDo'!Q32="Scheduled"),"Scheduled within SLA (self-serve)",IF(OR(M32="Scheduled on call",M32="Booked on their behalf",N32="Scheduled on call",N32="Booked on their behalf"),"Scheduled within SLA (call)",IF(OR(M32="Not interested/Declined",N32="Not interested/Declined"),"Declined",IF(N32="Escalate to AM","SLA breach - unresolved","In progress"))))</f>
        <v/>
      </c>
      <c r="Q32" s="19" t="n"/>
    </row>
    <row r="33">
      <c r="A33" s="19" t="inlineStr">
        <is>
          <t>REQ-0032</t>
        </is>
      </c>
      <c r="B33" s="20" t="n">
        <v>44867.82708333333</v>
      </c>
      <c r="C33" s="20">
        <f>B33+1</f>
        <v/>
      </c>
      <c r="D33" s="21">
        <f>(C33-NOW())*24</f>
        <v/>
      </c>
      <c r="E33" s="19">
        <f>IF('Ram - Digital ToDo'!Q33="Escalate to call","CALL NOW",IF('Ram - Digital ToDo'!N33="Bad contact","CALL NOW (digital failed)","Ram is handling - no action"))</f>
        <v/>
      </c>
      <c r="F33" s="19">
        <f>IF(E33="Ram is handling - no action","No action needed",IF(M33="","CALL 1: ring candidate, offer to book on call (Playbook C1)",IF(OR(M33="Scheduled on call",M33="Booked on their behalf"),"DONE: scheduled on call",IF(M33="Not interested/Declined","CLOSED: candidate declined (log + tell lead)",IF(N33="","CALL 2: final attempt (Playbook C2)",IF(OR(N33="Scheduled on call",N33="Booked on their behalf"),"DONE: scheduled on call",IF(N33="Escalate to AM","ESCALATED TO LEAD","Review")))))))</f>
        <v/>
      </c>
      <c r="G33" s="20">
        <f>IF(E33="Ram is handling - no action","",IF(M33="",B33+6/24,IF(AND(M33&lt;&gt;"Scheduled on call",M33&lt;&gt;"Booked on their behalf",M33&lt;&gt;"Not interested/Declined",N33=""),B33+20/24,"")))</f>
        <v/>
      </c>
      <c r="H33" s="19" t="inlineStr">
        <is>
          <t>Chetan</t>
        </is>
      </c>
      <c r="I33" s="19" t="inlineStr">
        <is>
          <t>Google</t>
        </is>
      </c>
      <c r="J33" s="19" t="inlineStr">
        <is>
          <t>Round3</t>
        </is>
      </c>
      <c r="K33" s="22" t="inlineStr">
        <is>
          <t>+91 9920264452</t>
        </is>
      </c>
      <c r="L33" s="19" t="inlineStr">
        <is>
          <t>&lt;calendly_link&gt;</t>
        </is>
      </c>
      <c r="M33" s="19" t="n"/>
      <c r="N33" s="19" t="n"/>
      <c r="O33" s="19">
        <f>IF(OR(M33="Scheduled on call",M33="Booked on their behalf",N33="Scheduled on call",N33="Booked on their behalf"),"SCHEDULED (call)",IF(OR(M33="Not interested/Declined",N33="Not interested/Declined"),"DECLINED",IF(N33="Escalate to AM","ESCALATED TO LEAD",IF(E33="Ram is handling - no action","N/A",IF(M33="","PENDING CALL 1","IN PROGRESS")))))</f>
        <v/>
      </c>
      <c r="P33" s="19">
        <f>IF(OR('Ram - Digital ToDo'!O33="Scheduled",'Ram - Digital ToDo'!Q33="Scheduled"),"Scheduled within SLA (self-serve)",IF(OR(M33="Scheduled on call",M33="Booked on their behalf",N33="Scheduled on call",N33="Booked on their behalf"),"Scheduled within SLA (call)",IF(OR(M33="Not interested/Declined",N33="Not interested/Declined"),"Declined",IF(N33="Escalate to AM","SLA breach - unresolved","In progress"))))</f>
        <v/>
      </c>
      <c r="Q33" s="19" t="n"/>
    </row>
    <row r="34">
      <c r="A34" s="19" t="inlineStr">
        <is>
          <t>REQ-0033</t>
        </is>
      </c>
      <c r="B34" s="20" t="n">
        <v>44867.82708333333</v>
      </c>
      <c r="C34" s="20">
        <f>B34+1</f>
        <v/>
      </c>
      <c r="D34" s="21">
        <f>(C34-NOW())*24</f>
        <v/>
      </c>
      <c r="E34" s="19">
        <f>IF('Ram - Digital ToDo'!Q34="Escalate to call","CALL NOW",IF('Ram - Digital ToDo'!N34="Bad contact","CALL NOW (digital failed)","Ram is handling - no action"))</f>
        <v/>
      </c>
      <c r="F34" s="19">
        <f>IF(E34="Ram is handling - no action","No action needed",IF(M34="","CALL 1: ring candidate, offer to book on call (Playbook C1)",IF(OR(M34="Scheduled on call",M34="Booked on their behalf"),"DONE: scheduled on call",IF(M34="Not interested/Declined","CLOSED: candidate declined (log + tell lead)",IF(N34="","CALL 2: final attempt (Playbook C2)",IF(OR(N34="Scheduled on call",N34="Booked on their behalf"),"DONE: scheduled on call",IF(N34="Escalate to AM","ESCALATED TO LEAD","Review")))))))</f>
        <v/>
      </c>
      <c r="G34" s="20">
        <f>IF(E34="Ram is handling - no action","",IF(M34="",B34+6/24,IF(AND(M34&lt;&gt;"Scheduled on call",M34&lt;&gt;"Booked on their behalf",M34&lt;&gt;"Not interested/Declined",N34=""),B34+20/24,"")))</f>
        <v/>
      </c>
      <c r="H34" s="19" t="inlineStr">
        <is>
          <t>Chetan</t>
        </is>
      </c>
      <c r="I34" s="19" t="inlineStr">
        <is>
          <t>Google</t>
        </is>
      </c>
      <c r="J34" s="19" t="inlineStr">
        <is>
          <t>Round1</t>
        </is>
      </c>
      <c r="K34" s="22" t="inlineStr">
        <is>
          <t>+91 9920264452</t>
        </is>
      </c>
      <c r="L34" s="19" t="inlineStr">
        <is>
          <t>&lt;calendly_link&gt;</t>
        </is>
      </c>
      <c r="M34" s="19" t="n"/>
      <c r="N34" s="19" t="n"/>
      <c r="O34" s="19">
        <f>IF(OR(M34="Scheduled on call",M34="Booked on their behalf",N34="Scheduled on call",N34="Booked on their behalf"),"SCHEDULED (call)",IF(OR(M34="Not interested/Declined",N34="Not interested/Declined"),"DECLINED",IF(N34="Escalate to AM","ESCALATED TO LEAD",IF(E34="Ram is handling - no action","N/A",IF(M34="","PENDING CALL 1","IN PROGRESS")))))</f>
        <v/>
      </c>
      <c r="P34" s="19">
        <f>IF(OR('Ram - Digital ToDo'!O34="Scheduled",'Ram - Digital ToDo'!Q34="Scheduled"),"Scheduled within SLA (self-serve)",IF(OR(M34="Scheduled on call",M34="Booked on their behalf",N34="Scheduled on call",N34="Booked on their behalf"),"Scheduled within SLA (call)",IF(OR(M34="Not interested/Declined",N34="Not interested/Declined"),"Declined",IF(N34="Escalate to AM","SLA breach - unresolved","In progress"))))</f>
        <v/>
      </c>
      <c r="Q34" s="19" t="n"/>
    </row>
    <row r="35">
      <c r="A35" s="19" t="inlineStr">
        <is>
          <t>REQ-0034</t>
        </is>
      </c>
      <c r="B35" s="20" t="n">
        <v>44867.82708333333</v>
      </c>
      <c r="C35" s="20">
        <f>B35+1</f>
        <v/>
      </c>
      <c r="D35" s="21">
        <f>(C35-NOW())*24</f>
        <v/>
      </c>
      <c r="E35" s="19">
        <f>IF('Ram - Digital ToDo'!Q35="Escalate to call","CALL NOW",IF('Ram - Digital ToDo'!N35="Bad contact","CALL NOW (digital failed)","Ram is handling - no action"))</f>
        <v/>
      </c>
      <c r="F35" s="19">
        <f>IF(E35="Ram is handling - no action","No action needed",IF(M35="","CALL 1: ring candidate, offer to book on call (Playbook C1)",IF(OR(M35="Scheduled on call",M35="Booked on their behalf"),"DONE: scheduled on call",IF(M35="Not interested/Declined","CLOSED: candidate declined (log + tell lead)",IF(N35="","CALL 2: final attempt (Playbook C2)",IF(OR(N35="Scheduled on call",N35="Booked on their behalf"),"DONE: scheduled on call",IF(N35="Escalate to AM","ESCALATED TO LEAD","Review")))))))</f>
        <v/>
      </c>
      <c r="G35" s="20">
        <f>IF(E35="Ram is handling - no action","",IF(M35="",B35+6/24,IF(AND(M35&lt;&gt;"Scheduled on call",M35&lt;&gt;"Booked on their behalf",M35&lt;&gt;"Not interested/Declined",N35=""),B35+20/24,"")))</f>
        <v/>
      </c>
      <c r="H35" s="19" t="inlineStr">
        <is>
          <t>Chetan</t>
        </is>
      </c>
      <c r="I35" s="19" t="inlineStr">
        <is>
          <t>Google</t>
        </is>
      </c>
      <c r="J35" s="19" t="inlineStr">
        <is>
          <t>Round1</t>
        </is>
      </c>
      <c r="K35" s="22" t="inlineStr">
        <is>
          <t>+91 9920264452</t>
        </is>
      </c>
      <c r="L35" s="19" t="inlineStr">
        <is>
          <t>&lt;calendly_link&gt;</t>
        </is>
      </c>
      <c r="M35" s="19" t="n"/>
      <c r="N35" s="19" t="n"/>
      <c r="O35" s="19">
        <f>IF(OR(M35="Scheduled on call",M35="Booked on their behalf",N35="Scheduled on call",N35="Booked on their behalf"),"SCHEDULED (call)",IF(OR(M35="Not interested/Declined",N35="Not interested/Declined"),"DECLINED",IF(N35="Escalate to AM","ESCALATED TO LEAD",IF(E35="Ram is handling - no action","N/A",IF(M35="","PENDING CALL 1","IN PROGRESS")))))</f>
        <v/>
      </c>
      <c r="P35" s="19">
        <f>IF(OR('Ram - Digital ToDo'!O35="Scheduled",'Ram - Digital ToDo'!Q35="Scheduled"),"Scheduled within SLA (self-serve)",IF(OR(M35="Scheduled on call",M35="Booked on their behalf",N35="Scheduled on call",N35="Booked on their behalf"),"Scheduled within SLA (call)",IF(OR(M35="Not interested/Declined",N35="Not interested/Declined"),"Declined",IF(N35="Escalate to AM","SLA breach - unresolved","In progress"))))</f>
        <v/>
      </c>
      <c r="Q35" s="19" t="n"/>
    </row>
    <row r="36">
      <c r="A36" s="19" t="inlineStr">
        <is>
          <t>REQ-0035</t>
        </is>
      </c>
      <c r="B36" s="20" t="n">
        <v>44867.82708333333</v>
      </c>
      <c r="C36" s="20">
        <f>B36+1</f>
        <v/>
      </c>
      <c r="D36" s="21">
        <f>(C36-NOW())*24</f>
        <v/>
      </c>
      <c r="E36" s="19">
        <f>IF('Ram - Digital ToDo'!Q36="Escalate to call","CALL NOW",IF('Ram - Digital ToDo'!N36="Bad contact","CALL NOW (digital failed)","Ram is handling - no action"))</f>
        <v/>
      </c>
      <c r="F36" s="19">
        <f>IF(E36="Ram is handling - no action","No action needed",IF(M36="","CALL 1: ring candidate, offer to book on call (Playbook C1)",IF(OR(M36="Scheduled on call",M36="Booked on their behalf"),"DONE: scheduled on call",IF(M36="Not interested/Declined","CLOSED: candidate declined (log + tell lead)",IF(N36="","CALL 2: final attempt (Playbook C2)",IF(OR(N36="Scheduled on call",N36="Booked on their behalf"),"DONE: scheduled on call",IF(N36="Escalate to AM","ESCALATED TO LEAD","Review")))))))</f>
        <v/>
      </c>
      <c r="G36" s="20">
        <f>IF(E36="Ram is handling - no action","",IF(M36="",B36+6/24,IF(AND(M36&lt;&gt;"Scheduled on call",M36&lt;&gt;"Booked on their behalf",M36&lt;&gt;"Not interested/Declined",N36=""),B36+20/24,"")))</f>
        <v/>
      </c>
      <c r="H36" s="19" t="inlineStr">
        <is>
          <t>Chetan</t>
        </is>
      </c>
      <c r="I36" s="19" t="inlineStr">
        <is>
          <t>Google</t>
        </is>
      </c>
      <c r="J36" s="19" t="inlineStr">
        <is>
          <t>Round1</t>
        </is>
      </c>
      <c r="K36" s="22" t="inlineStr">
        <is>
          <t>+91 9920264452</t>
        </is>
      </c>
      <c r="L36" s="19" t="inlineStr">
        <is>
          <t>&lt;calendly_link&gt;</t>
        </is>
      </c>
      <c r="M36" s="19" t="n"/>
      <c r="N36" s="19" t="n"/>
      <c r="O36" s="19">
        <f>IF(OR(M36="Scheduled on call",M36="Booked on their behalf",N36="Scheduled on call",N36="Booked on their behalf"),"SCHEDULED (call)",IF(OR(M36="Not interested/Declined",N36="Not interested/Declined"),"DECLINED",IF(N36="Escalate to AM","ESCALATED TO LEAD",IF(E36="Ram is handling - no action","N/A",IF(M36="","PENDING CALL 1","IN PROGRESS")))))</f>
        <v/>
      </c>
      <c r="P36" s="19">
        <f>IF(OR('Ram - Digital ToDo'!O36="Scheduled",'Ram - Digital ToDo'!Q36="Scheduled"),"Scheduled within SLA (self-serve)",IF(OR(M36="Scheduled on call",M36="Booked on their behalf",N36="Scheduled on call",N36="Booked on their behalf"),"Scheduled within SLA (call)",IF(OR(M36="Not interested/Declined",N36="Not interested/Declined"),"Declined",IF(N36="Escalate to AM","SLA breach - unresolved","In progress"))))</f>
        <v/>
      </c>
      <c r="Q36" s="19" t="n"/>
    </row>
    <row r="37">
      <c r="A37" s="19" t="inlineStr">
        <is>
          <t>REQ-0036</t>
        </is>
      </c>
      <c r="B37" s="20" t="n">
        <v>44867.82708333333</v>
      </c>
      <c r="C37" s="20">
        <f>B37+1</f>
        <v/>
      </c>
      <c r="D37" s="21">
        <f>(C37-NOW())*24</f>
        <v/>
      </c>
      <c r="E37" s="19">
        <f>IF('Ram - Digital ToDo'!Q37="Escalate to call","CALL NOW",IF('Ram - Digital ToDo'!N37="Bad contact","CALL NOW (digital failed)","Ram is handling - no action"))</f>
        <v/>
      </c>
      <c r="F37" s="19">
        <f>IF(E37="Ram is handling - no action","No action needed",IF(M37="","CALL 1: ring candidate, offer to book on call (Playbook C1)",IF(OR(M37="Scheduled on call",M37="Booked on their behalf"),"DONE: scheduled on call",IF(M37="Not interested/Declined","CLOSED: candidate declined (log + tell lead)",IF(N37="","CALL 2: final attempt (Playbook C2)",IF(OR(N37="Scheduled on call",N37="Booked on their behalf"),"DONE: scheduled on call",IF(N37="Escalate to AM","ESCALATED TO LEAD","Review")))))))</f>
        <v/>
      </c>
      <c r="G37" s="20">
        <f>IF(E37="Ram is handling - no action","",IF(M37="",B37+6/24,IF(AND(M37&lt;&gt;"Scheduled on call",M37&lt;&gt;"Booked on their behalf",M37&lt;&gt;"Not interested/Declined",N37=""),B37+20/24,"")))</f>
        <v/>
      </c>
      <c r="H37" s="19" t="inlineStr">
        <is>
          <t>Chetan</t>
        </is>
      </c>
      <c r="I37" s="19" t="inlineStr">
        <is>
          <t>Google</t>
        </is>
      </c>
      <c r="J37" s="19" t="inlineStr">
        <is>
          <t>Round1</t>
        </is>
      </c>
      <c r="K37" s="22" t="inlineStr">
        <is>
          <t>+91 9920264452</t>
        </is>
      </c>
      <c r="L37" s="19" t="inlineStr">
        <is>
          <t>&lt;calendly_link&gt;</t>
        </is>
      </c>
      <c r="M37" s="19" t="n"/>
      <c r="N37" s="19" t="n"/>
      <c r="O37" s="19">
        <f>IF(OR(M37="Scheduled on call",M37="Booked on their behalf",N37="Scheduled on call",N37="Booked on their behalf"),"SCHEDULED (call)",IF(OR(M37="Not interested/Declined",N37="Not interested/Declined"),"DECLINED",IF(N37="Escalate to AM","ESCALATED TO LEAD",IF(E37="Ram is handling - no action","N/A",IF(M37="","PENDING CALL 1","IN PROGRESS")))))</f>
        <v/>
      </c>
      <c r="P37" s="19">
        <f>IF(OR('Ram - Digital ToDo'!O37="Scheduled",'Ram - Digital ToDo'!Q37="Scheduled"),"Scheduled within SLA (self-serve)",IF(OR(M37="Scheduled on call",M37="Booked on their behalf",N37="Scheduled on call",N37="Booked on their behalf"),"Scheduled within SLA (call)",IF(OR(M37="Not interested/Declined",N37="Not interested/Declined"),"Declined",IF(N37="Escalate to AM","SLA breach - unresolved","In progress"))))</f>
        <v/>
      </c>
      <c r="Q37" s="19" t="n"/>
    </row>
    <row r="38">
      <c r="A38" s="19" t="inlineStr">
        <is>
          <t>REQ-0037</t>
        </is>
      </c>
      <c r="B38" s="20" t="n">
        <v>44867.82708333333</v>
      </c>
      <c r="C38" s="20">
        <f>B38+1</f>
        <v/>
      </c>
      <c r="D38" s="21">
        <f>(C38-NOW())*24</f>
        <v/>
      </c>
      <c r="E38" s="19">
        <f>IF('Ram - Digital ToDo'!Q38="Escalate to call","CALL NOW",IF('Ram - Digital ToDo'!N38="Bad contact","CALL NOW (digital failed)","Ram is handling - no action"))</f>
        <v/>
      </c>
      <c r="F38" s="19">
        <f>IF(E38="Ram is handling - no action","No action needed",IF(M38="","CALL 1: ring candidate, offer to book on call (Playbook C1)",IF(OR(M38="Scheduled on call",M38="Booked on their behalf"),"DONE: scheduled on call",IF(M38="Not interested/Declined","CLOSED: candidate declined (log + tell lead)",IF(N38="","CALL 2: final attempt (Playbook C2)",IF(OR(N38="Scheduled on call",N38="Booked on their behalf"),"DONE: scheduled on call",IF(N38="Escalate to AM","ESCALATED TO LEAD","Review")))))))</f>
        <v/>
      </c>
      <c r="G38" s="20">
        <f>IF(E38="Ram is handling - no action","",IF(M38="",B38+6/24,IF(AND(M38&lt;&gt;"Scheduled on call",M38&lt;&gt;"Booked on their behalf",M38&lt;&gt;"Not interested/Declined",N38=""),B38+20/24,"")))</f>
        <v/>
      </c>
      <c r="H38" s="19" t="inlineStr">
        <is>
          <t>Chetan</t>
        </is>
      </c>
      <c r="I38" s="19" t="inlineStr">
        <is>
          <t>Google</t>
        </is>
      </c>
      <c r="J38" s="19" t="inlineStr">
        <is>
          <t>Round2</t>
        </is>
      </c>
      <c r="K38" s="22" t="inlineStr">
        <is>
          <t>+91 9920264452</t>
        </is>
      </c>
      <c r="L38" s="19" t="inlineStr">
        <is>
          <t>&lt;calendly_link&gt;</t>
        </is>
      </c>
      <c r="M38" s="19" t="n"/>
      <c r="N38" s="19" t="n"/>
      <c r="O38" s="19">
        <f>IF(OR(M38="Scheduled on call",M38="Booked on their behalf",N38="Scheduled on call",N38="Booked on their behalf"),"SCHEDULED (call)",IF(OR(M38="Not interested/Declined",N38="Not interested/Declined"),"DECLINED",IF(N38="Escalate to AM","ESCALATED TO LEAD",IF(E38="Ram is handling - no action","N/A",IF(M38="","PENDING CALL 1","IN PROGRESS")))))</f>
        <v/>
      </c>
      <c r="P38" s="19">
        <f>IF(OR('Ram - Digital ToDo'!O38="Scheduled",'Ram - Digital ToDo'!Q38="Scheduled"),"Scheduled within SLA (self-serve)",IF(OR(M38="Scheduled on call",M38="Booked on their behalf",N38="Scheduled on call",N38="Booked on their behalf"),"Scheduled within SLA (call)",IF(OR(M38="Not interested/Declined",N38="Not interested/Declined"),"Declined",IF(N38="Escalate to AM","SLA breach - unresolved","In progress"))))</f>
        <v/>
      </c>
      <c r="Q38" s="19" t="n"/>
    </row>
    <row r="39">
      <c r="A39" s="19" t="inlineStr">
        <is>
          <t>REQ-0038</t>
        </is>
      </c>
      <c r="B39" s="20" t="n">
        <v>44867.82708333333</v>
      </c>
      <c r="C39" s="20">
        <f>B39+1</f>
        <v/>
      </c>
      <c r="D39" s="21">
        <f>(C39-NOW())*24</f>
        <v/>
      </c>
      <c r="E39" s="19">
        <f>IF('Ram - Digital ToDo'!Q39="Escalate to call","CALL NOW",IF('Ram - Digital ToDo'!N39="Bad contact","CALL NOW (digital failed)","Ram is handling - no action"))</f>
        <v/>
      </c>
      <c r="F39" s="19">
        <f>IF(E39="Ram is handling - no action","No action needed",IF(M39="","CALL 1: ring candidate, offer to book on call (Playbook C1)",IF(OR(M39="Scheduled on call",M39="Booked on their behalf"),"DONE: scheduled on call",IF(M39="Not interested/Declined","CLOSED: candidate declined (log + tell lead)",IF(N39="","CALL 2: final attempt (Playbook C2)",IF(OR(N39="Scheduled on call",N39="Booked on their behalf"),"DONE: scheduled on call",IF(N39="Escalate to AM","ESCALATED TO LEAD","Review")))))))</f>
        <v/>
      </c>
      <c r="G39" s="20">
        <f>IF(E39="Ram is handling - no action","",IF(M39="",B39+6/24,IF(AND(M39&lt;&gt;"Scheduled on call",M39&lt;&gt;"Booked on their behalf",M39&lt;&gt;"Not interested/Declined",N39=""),B39+20/24,"")))</f>
        <v/>
      </c>
      <c r="H39" s="19" t="inlineStr">
        <is>
          <t>Chetan</t>
        </is>
      </c>
      <c r="I39" s="19" t="inlineStr">
        <is>
          <t>Google</t>
        </is>
      </c>
      <c r="J39" s="19" t="inlineStr">
        <is>
          <t>Round1</t>
        </is>
      </c>
      <c r="K39" s="22" t="inlineStr">
        <is>
          <t>+91 9920264452</t>
        </is>
      </c>
      <c r="L39" s="19" t="inlineStr">
        <is>
          <t>&lt;calendly_link&gt;</t>
        </is>
      </c>
      <c r="M39" s="19" t="n"/>
      <c r="N39" s="19" t="n"/>
      <c r="O39" s="19">
        <f>IF(OR(M39="Scheduled on call",M39="Booked on their behalf",N39="Scheduled on call",N39="Booked on their behalf"),"SCHEDULED (call)",IF(OR(M39="Not interested/Declined",N39="Not interested/Declined"),"DECLINED",IF(N39="Escalate to AM","ESCALATED TO LEAD",IF(E39="Ram is handling - no action","N/A",IF(M39="","PENDING CALL 1","IN PROGRESS")))))</f>
        <v/>
      </c>
      <c r="P39" s="19">
        <f>IF(OR('Ram - Digital ToDo'!O39="Scheduled",'Ram - Digital ToDo'!Q39="Scheduled"),"Scheduled within SLA (self-serve)",IF(OR(M39="Scheduled on call",M39="Booked on their behalf",N39="Scheduled on call",N39="Booked on their behalf"),"Scheduled within SLA (call)",IF(OR(M39="Not interested/Declined",N39="Not interested/Declined"),"Declined",IF(N39="Escalate to AM","SLA breach - unresolved","In progress"))))</f>
        <v/>
      </c>
      <c r="Q39" s="19" t="n"/>
    </row>
    <row r="40">
      <c r="A40" s="19" t="inlineStr">
        <is>
          <t>REQ-0039</t>
        </is>
      </c>
      <c r="B40" s="20" t="n">
        <v>44867.82708333333</v>
      </c>
      <c r="C40" s="20">
        <f>B40+1</f>
        <v/>
      </c>
      <c r="D40" s="21">
        <f>(C40-NOW())*24</f>
        <v/>
      </c>
      <c r="E40" s="19">
        <f>IF('Ram - Digital ToDo'!Q40="Escalate to call","CALL NOW",IF('Ram - Digital ToDo'!N40="Bad contact","CALL NOW (digital failed)","Ram is handling - no action"))</f>
        <v/>
      </c>
      <c r="F40" s="19">
        <f>IF(E40="Ram is handling - no action","No action needed",IF(M40="","CALL 1: ring candidate, offer to book on call (Playbook C1)",IF(OR(M40="Scheduled on call",M40="Booked on their behalf"),"DONE: scheduled on call",IF(M40="Not interested/Declined","CLOSED: candidate declined (log + tell lead)",IF(N40="","CALL 2: final attempt (Playbook C2)",IF(OR(N40="Scheduled on call",N40="Booked on their behalf"),"DONE: scheduled on call",IF(N40="Escalate to AM","ESCALATED TO LEAD","Review")))))))</f>
        <v/>
      </c>
      <c r="G40" s="20">
        <f>IF(E40="Ram is handling - no action","",IF(M40="",B40+6/24,IF(AND(M40&lt;&gt;"Scheduled on call",M40&lt;&gt;"Booked on their behalf",M40&lt;&gt;"Not interested/Declined",N40=""),B40+20/24,"")))</f>
        <v/>
      </c>
      <c r="H40" s="19" t="inlineStr">
        <is>
          <t>Chetan</t>
        </is>
      </c>
      <c r="I40" s="19" t="inlineStr">
        <is>
          <t>Google</t>
        </is>
      </c>
      <c r="J40" s="19" t="inlineStr">
        <is>
          <t>Round1</t>
        </is>
      </c>
      <c r="K40" s="22" t="inlineStr">
        <is>
          <t>+91 9920264452</t>
        </is>
      </c>
      <c r="L40" s="19" t="inlineStr">
        <is>
          <t>&lt;calendly_link&gt;</t>
        </is>
      </c>
      <c r="M40" s="19" t="n"/>
      <c r="N40" s="19" t="n"/>
      <c r="O40" s="19">
        <f>IF(OR(M40="Scheduled on call",M40="Booked on their behalf",N40="Scheduled on call",N40="Booked on their behalf"),"SCHEDULED (call)",IF(OR(M40="Not interested/Declined",N40="Not interested/Declined"),"DECLINED",IF(N40="Escalate to AM","ESCALATED TO LEAD",IF(E40="Ram is handling - no action","N/A",IF(M40="","PENDING CALL 1","IN PROGRESS")))))</f>
        <v/>
      </c>
      <c r="P40" s="19">
        <f>IF(OR('Ram - Digital ToDo'!O40="Scheduled",'Ram - Digital ToDo'!Q40="Scheduled"),"Scheduled within SLA (self-serve)",IF(OR(M40="Scheduled on call",M40="Booked on their behalf",N40="Scheduled on call",N40="Booked on their behalf"),"Scheduled within SLA (call)",IF(OR(M40="Not interested/Declined",N40="Not interested/Declined"),"Declined",IF(N40="Escalate to AM","SLA breach - unresolved","In progress"))))</f>
        <v/>
      </c>
      <c r="Q40" s="19" t="n"/>
    </row>
    <row r="41">
      <c r="A41" s="19" t="inlineStr">
        <is>
          <t>REQ-0040</t>
        </is>
      </c>
      <c r="B41" s="20" t="n">
        <v>44867.82708333333</v>
      </c>
      <c r="C41" s="20">
        <f>B41+1</f>
        <v/>
      </c>
      <c r="D41" s="21">
        <f>(C41-NOW())*24</f>
        <v/>
      </c>
      <c r="E41" s="19">
        <f>IF('Ram - Digital ToDo'!Q41="Escalate to call","CALL NOW",IF('Ram - Digital ToDo'!N41="Bad contact","CALL NOW (digital failed)","Ram is handling - no action"))</f>
        <v/>
      </c>
      <c r="F41" s="19">
        <f>IF(E41="Ram is handling - no action","No action needed",IF(M41="","CALL 1: ring candidate, offer to book on call (Playbook C1)",IF(OR(M41="Scheduled on call",M41="Booked on their behalf"),"DONE: scheduled on call",IF(M41="Not interested/Declined","CLOSED: candidate declined (log + tell lead)",IF(N41="","CALL 2: final attempt (Playbook C2)",IF(OR(N41="Scheduled on call",N41="Booked on their behalf"),"DONE: scheduled on call",IF(N41="Escalate to AM","ESCALATED TO LEAD","Review")))))))</f>
        <v/>
      </c>
      <c r="G41" s="20">
        <f>IF(E41="Ram is handling - no action","",IF(M41="",B41+6/24,IF(AND(M41&lt;&gt;"Scheduled on call",M41&lt;&gt;"Booked on their behalf",M41&lt;&gt;"Not interested/Declined",N41=""),B41+20/24,"")))</f>
        <v/>
      </c>
      <c r="H41" s="19" t="inlineStr">
        <is>
          <t>Chetan</t>
        </is>
      </c>
      <c r="I41" s="19" t="inlineStr">
        <is>
          <t>Google</t>
        </is>
      </c>
      <c r="J41" s="19" t="inlineStr">
        <is>
          <t>Round1</t>
        </is>
      </c>
      <c r="K41" s="22" t="inlineStr">
        <is>
          <t>+91 9920264452</t>
        </is>
      </c>
      <c r="L41" s="19" t="inlineStr">
        <is>
          <t>&lt;calendly_link&gt;</t>
        </is>
      </c>
      <c r="M41" s="19" t="n"/>
      <c r="N41" s="19" t="n"/>
      <c r="O41" s="19">
        <f>IF(OR(M41="Scheduled on call",M41="Booked on their behalf",N41="Scheduled on call",N41="Booked on their behalf"),"SCHEDULED (call)",IF(OR(M41="Not interested/Declined",N41="Not interested/Declined"),"DECLINED",IF(N41="Escalate to AM","ESCALATED TO LEAD",IF(E41="Ram is handling - no action","N/A",IF(M41="","PENDING CALL 1","IN PROGRESS")))))</f>
        <v/>
      </c>
      <c r="P41" s="19">
        <f>IF(OR('Ram - Digital ToDo'!O41="Scheduled",'Ram - Digital ToDo'!Q41="Scheduled"),"Scheduled within SLA (self-serve)",IF(OR(M41="Scheduled on call",M41="Booked on their behalf",N41="Scheduled on call",N41="Booked on their behalf"),"Scheduled within SLA (call)",IF(OR(M41="Not interested/Declined",N41="Not interested/Declined"),"Declined",IF(N41="Escalate to AM","SLA breach - unresolved","In progress"))))</f>
        <v/>
      </c>
      <c r="Q41" s="19" t="n"/>
    </row>
    <row r="42">
      <c r="A42" s="19" t="inlineStr">
        <is>
          <t>REQ-0041</t>
        </is>
      </c>
      <c r="B42" s="20" t="n">
        <v>44867.82708333333</v>
      </c>
      <c r="C42" s="20">
        <f>B42+1</f>
        <v/>
      </c>
      <c r="D42" s="21">
        <f>(C42-NOW())*24</f>
        <v/>
      </c>
      <c r="E42" s="19">
        <f>IF('Ram - Digital ToDo'!Q42="Escalate to call","CALL NOW",IF('Ram - Digital ToDo'!N42="Bad contact","CALL NOW (digital failed)","Ram is handling - no action"))</f>
        <v/>
      </c>
      <c r="F42" s="19">
        <f>IF(E42="Ram is handling - no action","No action needed",IF(M42="","CALL 1: ring candidate, offer to book on call (Playbook C1)",IF(OR(M42="Scheduled on call",M42="Booked on their behalf"),"DONE: scheduled on call",IF(M42="Not interested/Declined","CLOSED: candidate declined (log + tell lead)",IF(N42="","CALL 2: final attempt (Playbook C2)",IF(OR(N42="Scheduled on call",N42="Booked on their behalf"),"DONE: scheduled on call",IF(N42="Escalate to AM","ESCALATED TO LEAD","Review")))))))</f>
        <v/>
      </c>
      <c r="G42" s="20">
        <f>IF(E42="Ram is handling - no action","",IF(M42="",B42+6/24,IF(AND(M42&lt;&gt;"Scheduled on call",M42&lt;&gt;"Booked on their behalf",M42&lt;&gt;"Not interested/Declined",N42=""),B42+20/24,"")))</f>
        <v/>
      </c>
      <c r="H42" s="19" t="inlineStr">
        <is>
          <t>Chetan</t>
        </is>
      </c>
      <c r="I42" s="19" t="inlineStr">
        <is>
          <t>Google</t>
        </is>
      </c>
      <c r="J42" s="19" t="inlineStr">
        <is>
          <t>Round1</t>
        </is>
      </c>
      <c r="K42" s="22" t="inlineStr">
        <is>
          <t>+91 9920264452</t>
        </is>
      </c>
      <c r="L42" s="19" t="inlineStr">
        <is>
          <t>&lt;calendly_link&gt;</t>
        </is>
      </c>
      <c r="M42" s="19" t="n"/>
      <c r="N42" s="19" t="n"/>
      <c r="O42" s="19">
        <f>IF(OR(M42="Scheduled on call",M42="Booked on their behalf",N42="Scheduled on call",N42="Booked on their behalf"),"SCHEDULED (call)",IF(OR(M42="Not interested/Declined",N42="Not interested/Declined"),"DECLINED",IF(N42="Escalate to AM","ESCALATED TO LEAD",IF(E42="Ram is handling - no action","N/A",IF(M42="","PENDING CALL 1","IN PROGRESS")))))</f>
        <v/>
      </c>
      <c r="P42" s="19">
        <f>IF(OR('Ram - Digital ToDo'!O42="Scheduled",'Ram - Digital ToDo'!Q42="Scheduled"),"Scheduled within SLA (self-serve)",IF(OR(M42="Scheduled on call",M42="Booked on their behalf",N42="Scheduled on call",N42="Booked on their behalf"),"Scheduled within SLA (call)",IF(OR(M42="Not interested/Declined",N42="Not interested/Declined"),"Declined",IF(N42="Escalate to AM","SLA breach - unresolved","In progress"))))</f>
        <v/>
      </c>
      <c r="Q42" s="19" t="n"/>
    </row>
    <row r="43">
      <c r="A43" s="19" t="inlineStr">
        <is>
          <t>REQ-0042</t>
        </is>
      </c>
      <c r="B43" s="20" t="n">
        <v>44867.82708333333</v>
      </c>
      <c r="C43" s="20">
        <f>B43+1</f>
        <v/>
      </c>
      <c r="D43" s="21">
        <f>(C43-NOW())*24</f>
        <v/>
      </c>
      <c r="E43" s="19">
        <f>IF('Ram - Digital ToDo'!Q43="Escalate to call","CALL NOW",IF('Ram - Digital ToDo'!N43="Bad contact","CALL NOW (digital failed)","Ram is handling - no action"))</f>
        <v/>
      </c>
      <c r="F43" s="19">
        <f>IF(E43="Ram is handling - no action","No action needed",IF(M43="","CALL 1: ring candidate, offer to book on call (Playbook C1)",IF(OR(M43="Scheduled on call",M43="Booked on their behalf"),"DONE: scheduled on call",IF(M43="Not interested/Declined","CLOSED: candidate declined (log + tell lead)",IF(N43="","CALL 2: final attempt (Playbook C2)",IF(OR(N43="Scheduled on call",N43="Booked on their behalf"),"DONE: scheduled on call",IF(N43="Escalate to AM","ESCALATED TO LEAD","Review")))))))</f>
        <v/>
      </c>
      <c r="G43" s="20">
        <f>IF(E43="Ram is handling - no action","",IF(M43="",B43+6/24,IF(AND(M43&lt;&gt;"Scheduled on call",M43&lt;&gt;"Booked on their behalf",M43&lt;&gt;"Not interested/Declined",N43=""),B43+20/24,"")))</f>
        <v/>
      </c>
      <c r="H43" s="19" t="inlineStr">
        <is>
          <t>Chetan</t>
        </is>
      </c>
      <c r="I43" s="19" t="inlineStr">
        <is>
          <t>Google</t>
        </is>
      </c>
      <c r="J43" s="19" t="inlineStr">
        <is>
          <t>Round1</t>
        </is>
      </c>
      <c r="K43" s="22" t="inlineStr">
        <is>
          <t>+91 9920264452</t>
        </is>
      </c>
      <c r="L43" s="19" t="inlineStr">
        <is>
          <t>&lt;calendly_link&gt;</t>
        </is>
      </c>
      <c r="M43" s="19" t="n"/>
      <c r="N43" s="19" t="n"/>
      <c r="O43" s="19">
        <f>IF(OR(M43="Scheduled on call",M43="Booked on their behalf",N43="Scheduled on call",N43="Booked on their behalf"),"SCHEDULED (call)",IF(OR(M43="Not interested/Declined",N43="Not interested/Declined"),"DECLINED",IF(N43="Escalate to AM","ESCALATED TO LEAD",IF(E43="Ram is handling - no action","N/A",IF(M43="","PENDING CALL 1","IN PROGRESS")))))</f>
        <v/>
      </c>
      <c r="P43" s="19">
        <f>IF(OR('Ram - Digital ToDo'!O43="Scheduled",'Ram - Digital ToDo'!Q43="Scheduled"),"Scheduled within SLA (self-serve)",IF(OR(M43="Scheduled on call",M43="Booked on their behalf",N43="Scheduled on call",N43="Booked on their behalf"),"Scheduled within SLA (call)",IF(OR(M43="Not interested/Declined",N43="Not interested/Declined"),"Declined",IF(N43="Escalate to AM","SLA breach - unresolved","In progress"))))</f>
        <v/>
      </c>
      <c r="Q43" s="19" t="n"/>
    </row>
    <row r="44">
      <c r="A44" s="19" t="inlineStr">
        <is>
          <t>REQ-0043</t>
        </is>
      </c>
      <c r="B44" s="20" t="n">
        <v>44867.82708333333</v>
      </c>
      <c r="C44" s="20">
        <f>B44+1</f>
        <v/>
      </c>
      <c r="D44" s="21">
        <f>(C44-NOW())*24</f>
        <v/>
      </c>
      <c r="E44" s="19">
        <f>IF('Ram - Digital ToDo'!Q44="Escalate to call","CALL NOW",IF('Ram - Digital ToDo'!N44="Bad contact","CALL NOW (digital failed)","Ram is handling - no action"))</f>
        <v/>
      </c>
      <c r="F44" s="19">
        <f>IF(E44="Ram is handling - no action","No action needed",IF(M44="","CALL 1: ring candidate, offer to book on call (Playbook C1)",IF(OR(M44="Scheduled on call",M44="Booked on their behalf"),"DONE: scheduled on call",IF(M44="Not interested/Declined","CLOSED: candidate declined (log + tell lead)",IF(N44="","CALL 2: final attempt (Playbook C2)",IF(OR(N44="Scheduled on call",N44="Booked on their behalf"),"DONE: scheduled on call",IF(N44="Escalate to AM","ESCALATED TO LEAD","Review")))))))</f>
        <v/>
      </c>
      <c r="G44" s="20">
        <f>IF(E44="Ram is handling - no action","",IF(M44="",B44+6/24,IF(AND(M44&lt;&gt;"Scheduled on call",M44&lt;&gt;"Booked on their behalf",M44&lt;&gt;"Not interested/Declined",N44=""),B44+20/24,"")))</f>
        <v/>
      </c>
      <c r="H44" s="19" t="inlineStr">
        <is>
          <t>Chetan</t>
        </is>
      </c>
      <c r="I44" s="19" t="inlineStr">
        <is>
          <t>Google</t>
        </is>
      </c>
      <c r="J44" s="19" t="inlineStr">
        <is>
          <t>Round1</t>
        </is>
      </c>
      <c r="K44" s="22" t="inlineStr">
        <is>
          <t>+91 9920264452</t>
        </is>
      </c>
      <c r="L44" s="19" t="inlineStr">
        <is>
          <t>&lt;calendly_link&gt;</t>
        </is>
      </c>
      <c r="M44" s="19" t="n"/>
      <c r="N44" s="19" t="n"/>
      <c r="O44" s="19">
        <f>IF(OR(M44="Scheduled on call",M44="Booked on their behalf",N44="Scheduled on call",N44="Booked on their behalf"),"SCHEDULED (call)",IF(OR(M44="Not interested/Declined",N44="Not interested/Declined"),"DECLINED",IF(N44="Escalate to AM","ESCALATED TO LEAD",IF(E44="Ram is handling - no action","N/A",IF(M44="","PENDING CALL 1","IN PROGRESS")))))</f>
        <v/>
      </c>
      <c r="P44" s="19">
        <f>IF(OR('Ram - Digital ToDo'!O44="Scheduled",'Ram - Digital ToDo'!Q44="Scheduled"),"Scheduled within SLA (self-serve)",IF(OR(M44="Scheduled on call",M44="Booked on their behalf",N44="Scheduled on call",N44="Booked on their behalf"),"Scheduled within SLA (call)",IF(OR(M44="Not interested/Declined",N44="Not interested/Declined"),"Declined",IF(N44="Escalate to AM","SLA breach - unresolved","In progress"))))</f>
        <v/>
      </c>
      <c r="Q44" s="19" t="n"/>
    </row>
    <row r="45">
      <c r="A45" s="19" t="inlineStr">
        <is>
          <t>REQ-0044</t>
        </is>
      </c>
      <c r="B45" s="20" t="n">
        <v>44867.82708333333</v>
      </c>
      <c r="C45" s="20">
        <f>B45+1</f>
        <v/>
      </c>
      <c r="D45" s="21">
        <f>(C45-NOW())*24</f>
        <v/>
      </c>
      <c r="E45" s="19">
        <f>IF('Ram - Digital ToDo'!Q45="Escalate to call","CALL NOW",IF('Ram - Digital ToDo'!N45="Bad contact","CALL NOW (digital failed)","Ram is handling - no action"))</f>
        <v/>
      </c>
      <c r="F45" s="19">
        <f>IF(E45="Ram is handling - no action","No action needed",IF(M45="","CALL 1: ring candidate, offer to book on call (Playbook C1)",IF(OR(M45="Scheduled on call",M45="Booked on their behalf"),"DONE: scheduled on call",IF(M45="Not interested/Declined","CLOSED: candidate declined (log + tell lead)",IF(N45="","CALL 2: final attempt (Playbook C2)",IF(OR(N45="Scheduled on call",N45="Booked on their behalf"),"DONE: scheduled on call",IF(N45="Escalate to AM","ESCALATED TO LEAD","Review")))))))</f>
        <v/>
      </c>
      <c r="G45" s="20">
        <f>IF(E45="Ram is handling - no action","",IF(M45="",B45+6/24,IF(AND(M45&lt;&gt;"Scheduled on call",M45&lt;&gt;"Booked on their behalf",M45&lt;&gt;"Not interested/Declined",N45=""),B45+20/24,"")))</f>
        <v/>
      </c>
      <c r="H45" s="19" t="inlineStr">
        <is>
          <t>Chetan</t>
        </is>
      </c>
      <c r="I45" s="19" t="inlineStr">
        <is>
          <t>Google</t>
        </is>
      </c>
      <c r="J45" s="19" t="inlineStr">
        <is>
          <t>Round1</t>
        </is>
      </c>
      <c r="K45" s="22" t="inlineStr">
        <is>
          <t>+91 9920264452</t>
        </is>
      </c>
      <c r="L45" s="19" t="inlineStr">
        <is>
          <t>&lt;calendly_link&gt;</t>
        </is>
      </c>
      <c r="M45" s="19" t="n"/>
      <c r="N45" s="19" t="n"/>
      <c r="O45" s="19">
        <f>IF(OR(M45="Scheduled on call",M45="Booked on their behalf",N45="Scheduled on call",N45="Booked on their behalf"),"SCHEDULED (call)",IF(OR(M45="Not interested/Declined",N45="Not interested/Declined"),"DECLINED",IF(N45="Escalate to AM","ESCALATED TO LEAD",IF(E45="Ram is handling - no action","N/A",IF(M45="","PENDING CALL 1","IN PROGRESS")))))</f>
        <v/>
      </c>
      <c r="P45" s="19">
        <f>IF(OR('Ram - Digital ToDo'!O45="Scheduled",'Ram - Digital ToDo'!Q45="Scheduled"),"Scheduled within SLA (self-serve)",IF(OR(M45="Scheduled on call",M45="Booked on their behalf",N45="Scheduled on call",N45="Booked on their behalf"),"Scheduled within SLA (call)",IF(OR(M45="Not interested/Declined",N45="Not interested/Declined"),"Declined",IF(N45="Escalate to AM","SLA breach - unresolved","In progress"))))</f>
        <v/>
      </c>
      <c r="Q45" s="19" t="n"/>
    </row>
    <row r="46">
      <c r="A46" s="19" t="inlineStr">
        <is>
          <t>REQ-0045</t>
        </is>
      </c>
      <c r="B46" s="20" t="n">
        <v>44867.82708333333</v>
      </c>
      <c r="C46" s="20">
        <f>B46+1</f>
        <v/>
      </c>
      <c r="D46" s="21">
        <f>(C46-NOW())*24</f>
        <v/>
      </c>
      <c r="E46" s="19">
        <f>IF('Ram - Digital ToDo'!Q46="Escalate to call","CALL NOW",IF('Ram - Digital ToDo'!N46="Bad contact","CALL NOW (digital failed)","Ram is handling - no action"))</f>
        <v/>
      </c>
      <c r="F46" s="19">
        <f>IF(E46="Ram is handling - no action","No action needed",IF(M46="","CALL 1: ring candidate, offer to book on call (Playbook C1)",IF(OR(M46="Scheduled on call",M46="Booked on their behalf"),"DONE: scheduled on call",IF(M46="Not interested/Declined","CLOSED: candidate declined (log + tell lead)",IF(N46="","CALL 2: final attempt (Playbook C2)",IF(OR(N46="Scheduled on call",N46="Booked on their behalf"),"DONE: scheduled on call",IF(N46="Escalate to AM","ESCALATED TO LEAD","Review")))))))</f>
        <v/>
      </c>
      <c r="G46" s="20">
        <f>IF(E46="Ram is handling - no action","",IF(M46="",B46+6/24,IF(AND(M46&lt;&gt;"Scheduled on call",M46&lt;&gt;"Booked on their behalf",M46&lt;&gt;"Not interested/Declined",N46=""),B46+20/24,"")))</f>
        <v/>
      </c>
      <c r="H46" s="19" t="inlineStr">
        <is>
          <t>Chetan</t>
        </is>
      </c>
      <c r="I46" s="19" t="inlineStr">
        <is>
          <t>Google</t>
        </is>
      </c>
      <c r="J46" s="19" t="inlineStr">
        <is>
          <t>Round1</t>
        </is>
      </c>
      <c r="K46" s="22" t="inlineStr">
        <is>
          <t>+91 9920264452</t>
        </is>
      </c>
      <c r="L46" s="19" t="inlineStr">
        <is>
          <t>&lt;calendly_link&gt;</t>
        </is>
      </c>
      <c r="M46" s="19" t="n"/>
      <c r="N46" s="19" t="n"/>
      <c r="O46" s="19">
        <f>IF(OR(M46="Scheduled on call",M46="Booked on their behalf",N46="Scheduled on call",N46="Booked on their behalf"),"SCHEDULED (call)",IF(OR(M46="Not interested/Declined",N46="Not interested/Declined"),"DECLINED",IF(N46="Escalate to AM","ESCALATED TO LEAD",IF(E46="Ram is handling - no action","N/A",IF(M46="","PENDING CALL 1","IN PROGRESS")))))</f>
        <v/>
      </c>
      <c r="P46" s="19">
        <f>IF(OR('Ram - Digital ToDo'!O46="Scheduled",'Ram - Digital ToDo'!Q46="Scheduled"),"Scheduled within SLA (self-serve)",IF(OR(M46="Scheduled on call",M46="Booked on their behalf",N46="Scheduled on call",N46="Booked on their behalf"),"Scheduled within SLA (call)",IF(OR(M46="Not interested/Declined",N46="Not interested/Declined"),"Declined",IF(N46="Escalate to AM","SLA breach - unresolved","In progress"))))</f>
        <v/>
      </c>
      <c r="Q46" s="19" t="n"/>
    </row>
    <row r="47">
      <c r="A47" s="19" t="inlineStr">
        <is>
          <t>REQ-0046</t>
        </is>
      </c>
      <c r="B47" s="20" t="n">
        <v>44867.82708333333</v>
      </c>
      <c r="C47" s="20">
        <f>B47+1</f>
        <v/>
      </c>
      <c r="D47" s="21">
        <f>(C47-NOW())*24</f>
        <v/>
      </c>
      <c r="E47" s="19">
        <f>IF('Ram - Digital ToDo'!Q47="Escalate to call","CALL NOW",IF('Ram - Digital ToDo'!N47="Bad contact","CALL NOW (digital failed)","Ram is handling - no action"))</f>
        <v/>
      </c>
      <c r="F47" s="19">
        <f>IF(E47="Ram is handling - no action","No action needed",IF(M47="","CALL 1: ring candidate, offer to book on call (Playbook C1)",IF(OR(M47="Scheduled on call",M47="Booked on their behalf"),"DONE: scheduled on call",IF(M47="Not interested/Declined","CLOSED: candidate declined (log + tell lead)",IF(N47="","CALL 2: final attempt (Playbook C2)",IF(OR(N47="Scheduled on call",N47="Booked on their behalf"),"DONE: scheduled on call",IF(N47="Escalate to AM","ESCALATED TO LEAD","Review")))))))</f>
        <v/>
      </c>
      <c r="G47" s="20">
        <f>IF(E47="Ram is handling - no action","",IF(M47="",B47+6/24,IF(AND(M47&lt;&gt;"Scheduled on call",M47&lt;&gt;"Booked on their behalf",M47&lt;&gt;"Not interested/Declined",N47=""),B47+20/24,"")))</f>
        <v/>
      </c>
      <c r="H47" s="19" t="inlineStr">
        <is>
          <t>Chetan</t>
        </is>
      </c>
      <c r="I47" s="19" t="inlineStr">
        <is>
          <t>Google</t>
        </is>
      </c>
      <c r="J47" s="19" t="inlineStr">
        <is>
          <t>Round1</t>
        </is>
      </c>
      <c r="K47" s="22" t="inlineStr">
        <is>
          <t>+91 9920264452</t>
        </is>
      </c>
      <c r="L47" s="19" t="inlineStr">
        <is>
          <t>&lt;calendly_link&gt;</t>
        </is>
      </c>
      <c r="M47" s="19" t="n"/>
      <c r="N47" s="19" t="n"/>
      <c r="O47" s="19">
        <f>IF(OR(M47="Scheduled on call",M47="Booked on their behalf",N47="Scheduled on call",N47="Booked on their behalf"),"SCHEDULED (call)",IF(OR(M47="Not interested/Declined",N47="Not interested/Declined"),"DECLINED",IF(N47="Escalate to AM","ESCALATED TO LEAD",IF(E47="Ram is handling - no action","N/A",IF(M47="","PENDING CALL 1","IN PROGRESS")))))</f>
        <v/>
      </c>
      <c r="P47" s="19">
        <f>IF(OR('Ram - Digital ToDo'!O47="Scheduled",'Ram - Digital ToDo'!Q47="Scheduled"),"Scheduled within SLA (self-serve)",IF(OR(M47="Scheduled on call",M47="Booked on their behalf",N47="Scheduled on call",N47="Booked on their behalf"),"Scheduled within SLA (call)",IF(OR(M47="Not interested/Declined",N47="Not interested/Declined"),"Declined",IF(N47="Escalate to AM","SLA breach - unresolved","In progress"))))</f>
        <v/>
      </c>
      <c r="Q47" s="19" t="n"/>
    </row>
    <row r="48">
      <c r="A48" s="19" t="inlineStr">
        <is>
          <t>REQ-0047</t>
        </is>
      </c>
      <c r="B48" s="20" t="n">
        <v>44867.82708333333</v>
      </c>
      <c r="C48" s="20">
        <f>B48+1</f>
        <v/>
      </c>
      <c r="D48" s="21">
        <f>(C48-NOW())*24</f>
        <v/>
      </c>
      <c r="E48" s="19">
        <f>IF('Ram - Digital ToDo'!Q48="Escalate to call","CALL NOW",IF('Ram - Digital ToDo'!N48="Bad contact","CALL NOW (digital failed)","Ram is handling - no action"))</f>
        <v/>
      </c>
      <c r="F48" s="19">
        <f>IF(E48="Ram is handling - no action","No action needed",IF(M48="","CALL 1: ring candidate, offer to book on call (Playbook C1)",IF(OR(M48="Scheduled on call",M48="Booked on their behalf"),"DONE: scheduled on call",IF(M48="Not interested/Declined","CLOSED: candidate declined (log + tell lead)",IF(N48="","CALL 2: final attempt (Playbook C2)",IF(OR(N48="Scheduled on call",N48="Booked on their behalf"),"DONE: scheduled on call",IF(N48="Escalate to AM","ESCALATED TO LEAD","Review")))))))</f>
        <v/>
      </c>
      <c r="G48" s="20">
        <f>IF(E48="Ram is handling - no action","",IF(M48="",B48+6/24,IF(AND(M48&lt;&gt;"Scheduled on call",M48&lt;&gt;"Booked on their behalf",M48&lt;&gt;"Not interested/Declined",N48=""),B48+20/24,"")))</f>
        <v/>
      </c>
      <c r="H48" s="19" t="inlineStr">
        <is>
          <t>Chetan</t>
        </is>
      </c>
      <c r="I48" s="19" t="inlineStr">
        <is>
          <t>Google</t>
        </is>
      </c>
      <c r="J48" s="19" t="inlineStr">
        <is>
          <t>Round1</t>
        </is>
      </c>
      <c r="K48" s="22" t="inlineStr">
        <is>
          <t>+91 9920264452</t>
        </is>
      </c>
      <c r="L48" s="19" t="inlineStr">
        <is>
          <t>&lt;calendly_link&gt;</t>
        </is>
      </c>
      <c r="M48" s="19" t="n"/>
      <c r="N48" s="19" t="n"/>
      <c r="O48" s="19">
        <f>IF(OR(M48="Scheduled on call",M48="Booked on their behalf",N48="Scheduled on call",N48="Booked on their behalf"),"SCHEDULED (call)",IF(OR(M48="Not interested/Declined",N48="Not interested/Declined"),"DECLINED",IF(N48="Escalate to AM","ESCALATED TO LEAD",IF(E48="Ram is handling - no action","N/A",IF(M48="","PENDING CALL 1","IN PROGRESS")))))</f>
        <v/>
      </c>
      <c r="P48" s="19">
        <f>IF(OR('Ram - Digital ToDo'!O48="Scheduled",'Ram - Digital ToDo'!Q48="Scheduled"),"Scheduled within SLA (self-serve)",IF(OR(M48="Scheduled on call",M48="Booked on their behalf",N48="Scheduled on call",N48="Booked on their behalf"),"Scheduled within SLA (call)",IF(OR(M48="Not interested/Declined",N48="Not interested/Declined"),"Declined",IF(N48="Escalate to AM","SLA breach - unresolved","In progress"))))</f>
        <v/>
      </c>
      <c r="Q48" s="19" t="n"/>
    </row>
    <row r="49">
      <c r="A49" s="19" t="inlineStr">
        <is>
          <t>REQ-0048</t>
        </is>
      </c>
      <c r="B49" s="20" t="n">
        <v>44867.82708333333</v>
      </c>
      <c r="C49" s="20">
        <f>B49+1</f>
        <v/>
      </c>
      <c r="D49" s="21">
        <f>(C49-NOW())*24</f>
        <v/>
      </c>
      <c r="E49" s="19">
        <f>IF('Ram - Digital ToDo'!Q49="Escalate to call","CALL NOW",IF('Ram - Digital ToDo'!N49="Bad contact","CALL NOW (digital failed)","Ram is handling - no action"))</f>
        <v/>
      </c>
      <c r="F49" s="19">
        <f>IF(E49="Ram is handling - no action","No action needed",IF(M49="","CALL 1: ring candidate, offer to book on call (Playbook C1)",IF(OR(M49="Scheduled on call",M49="Booked on their behalf"),"DONE: scheduled on call",IF(M49="Not interested/Declined","CLOSED: candidate declined (log + tell lead)",IF(N49="","CALL 2: final attempt (Playbook C2)",IF(OR(N49="Scheduled on call",N49="Booked on their behalf"),"DONE: scheduled on call",IF(N49="Escalate to AM","ESCALATED TO LEAD","Review")))))))</f>
        <v/>
      </c>
      <c r="G49" s="20">
        <f>IF(E49="Ram is handling - no action","",IF(M49="",B49+6/24,IF(AND(M49&lt;&gt;"Scheduled on call",M49&lt;&gt;"Booked on their behalf",M49&lt;&gt;"Not interested/Declined",N49=""),B49+20/24,"")))</f>
        <v/>
      </c>
      <c r="H49" s="19" t="inlineStr">
        <is>
          <t>Chetan</t>
        </is>
      </c>
      <c r="I49" s="19" t="inlineStr">
        <is>
          <t>Google</t>
        </is>
      </c>
      <c r="J49" s="19" t="inlineStr">
        <is>
          <t>Round1</t>
        </is>
      </c>
      <c r="K49" s="22" t="inlineStr">
        <is>
          <t>+91 9920264452</t>
        </is>
      </c>
      <c r="L49" s="19" t="inlineStr">
        <is>
          <t>&lt;calendly_link&gt;</t>
        </is>
      </c>
      <c r="M49" s="19" t="n"/>
      <c r="N49" s="19" t="n"/>
      <c r="O49" s="19">
        <f>IF(OR(M49="Scheduled on call",M49="Booked on their behalf",N49="Scheduled on call",N49="Booked on their behalf"),"SCHEDULED (call)",IF(OR(M49="Not interested/Declined",N49="Not interested/Declined"),"DECLINED",IF(N49="Escalate to AM","ESCALATED TO LEAD",IF(E49="Ram is handling - no action","N/A",IF(M49="","PENDING CALL 1","IN PROGRESS")))))</f>
        <v/>
      </c>
      <c r="P49" s="19">
        <f>IF(OR('Ram - Digital ToDo'!O49="Scheduled",'Ram - Digital ToDo'!Q49="Scheduled"),"Scheduled within SLA (self-serve)",IF(OR(M49="Scheduled on call",M49="Booked on their behalf",N49="Scheduled on call",N49="Booked on their behalf"),"Scheduled within SLA (call)",IF(OR(M49="Not interested/Declined",N49="Not interested/Declined"),"Declined",IF(N49="Escalate to AM","SLA breach - unresolved","In progress"))))</f>
        <v/>
      </c>
      <c r="Q49" s="19" t="n"/>
    </row>
    <row r="50">
      <c r="A50" s="19" t="inlineStr">
        <is>
          <t>REQ-0049</t>
        </is>
      </c>
      <c r="B50" s="20" t="n">
        <v>44867.82708333333</v>
      </c>
      <c r="C50" s="20">
        <f>B50+1</f>
        <v/>
      </c>
      <c r="D50" s="21">
        <f>(C50-NOW())*24</f>
        <v/>
      </c>
      <c r="E50" s="19">
        <f>IF('Ram - Digital ToDo'!Q50="Escalate to call","CALL NOW",IF('Ram - Digital ToDo'!N50="Bad contact","CALL NOW (digital failed)","Ram is handling - no action"))</f>
        <v/>
      </c>
      <c r="F50" s="19">
        <f>IF(E50="Ram is handling - no action","No action needed",IF(M50="","CALL 1: ring candidate, offer to book on call (Playbook C1)",IF(OR(M50="Scheduled on call",M50="Booked on their behalf"),"DONE: scheduled on call",IF(M50="Not interested/Declined","CLOSED: candidate declined (log + tell lead)",IF(N50="","CALL 2: final attempt (Playbook C2)",IF(OR(N50="Scheduled on call",N50="Booked on their behalf"),"DONE: scheduled on call",IF(N50="Escalate to AM","ESCALATED TO LEAD","Review")))))))</f>
        <v/>
      </c>
      <c r="G50" s="20">
        <f>IF(E50="Ram is handling - no action","",IF(M50="",B50+6/24,IF(AND(M50&lt;&gt;"Scheduled on call",M50&lt;&gt;"Booked on their behalf",M50&lt;&gt;"Not interested/Declined",N50=""),B50+20/24,"")))</f>
        <v/>
      </c>
      <c r="H50" s="19" t="inlineStr">
        <is>
          <t>Chetan</t>
        </is>
      </c>
      <c r="I50" s="19" t="inlineStr">
        <is>
          <t>Google</t>
        </is>
      </c>
      <c r="J50" s="19" t="inlineStr">
        <is>
          <t>Round1</t>
        </is>
      </c>
      <c r="K50" s="22" t="inlineStr">
        <is>
          <t>+91 9920264452</t>
        </is>
      </c>
      <c r="L50" s="19" t="inlineStr">
        <is>
          <t>&lt;calendly_link&gt;</t>
        </is>
      </c>
      <c r="M50" s="19" t="n"/>
      <c r="N50" s="19" t="n"/>
      <c r="O50" s="19">
        <f>IF(OR(M50="Scheduled on call",M50="Booked on their behalf",N50="Scheduled on call",N50="Booked on their behalf"),"SCHEDULED (call)",IF(OR(M50="Not interested/Declined",N50="Not interested/Declined"),"DECLINED",IF(N50="Escalate to AM","ESCALATED TO LEAD",IF(E50="Ram is handling - no action","N/A",IF(M50="","PENDING CALL 1","IN PROGRESS")))))</f>
        <v/>
      </c>
      <c r="P50" s="19">
        <f>IF(OR('Ram - Digital ToDo'!O50="Scheduled",'Ram - Digital ToDo'!Q50="Scheduled"),"Scheduled within SLA (self-serve)",IF(OR(M50="Scheduled on call",M50="Booked on their behalf",N50="Scheduled on call",N50="Booked on their behalf"),"Scheduled within SLA (call)",IF(OR(M50="Not interested/Declined",N50="Not interested/Declined"),"Declined",IF(N50="Escalate to AM","SLA breach - unresolved","In progress"))))</f>
        <v/>
      </c>
      <c r="Q50" s="19" t="n"/>
    </row>
    <row r="51">
      <c r="A51" s="19" t="inlineStr">
        <is>
          <t>REQ-0050</t>
        </is>
      </c>
      <c r="B51" s="20" t="n">
        <v>44867.82708333333</v>
      </c>
      <c r="C51" s="20">
        <f>B51+1</f>
        <v/>
      </c>
      <c r="D51" s="21">
        <f>(C51-NOW())*24</f>
        <v/>
      </c>
      <c r="E51" s="19">
        <f>IF('Ram - Digital ToDo'!Q51="Escalate to call","CALL NOW",IF('Ram - Digital ToDo'!N51="Bad contact","CALL NOW (digital failed)","Ram is handling - no action"))</f>
        <v/>
      </c>
      <c r="F51" s="19">
        <f>IF(E51="Ram is handling - no action","No action needed",IF(M51="","CALL 1: ring candidate, offer to book on call (Playbook C1)",IF(OR(M51="Scheduled on call",M51="Booked on their behalf"),"DONE: scheduled on call",IF(M51="Not interested/Declined","CLOSED: candidate declined (log + tell lead)",IF(N51="","CALL 2: final attempt (Playbook C2)",IF(OR(N51="Scheduled on call",N51="Booked on their behalf"),"DONE: scheduled on call",IF(N51="Escalate to AM","ESCALATED TO LEAD","Review")))))))</f>
        <v/>
      </c>
      <c r="G51" s="20">
        <f>IF(E51="Ram is handling - no action","",IF(M51="",B51+6/24,IF(AND(M51&lt;&gt;"Scheduled on call",M51&lt;&gt;"Booked on their behalf",M51&lt;&gt;"Not interested/Declined",N51=""),B51+20/24,"")))</f>
        <v/>
      </c>
      <c r="H51" s="19" t="inlineStr">
        <is>
          <t>Chetan</t>
        </is>
      </c>
      <c r="I51" s="19" t="inlineStr">
        <is>
          <t>Google</t>
        </is>
      </c>
      <c r="J51" s="19" t="inlineStr">
        <is>
          <t>Round1</t>
        </is>
      </c>
      <c r="K51" s="22" t="inlineStr">
        <is>
          <t>+91 9920264452</t>
        </is>
      </c>
      <c r="L51" s="19" t="inlineStr">
        <is>
          <t>&lt;calendly_link&gt;</t>
        </is>
      </c>
      <c r="M51" s="19" t="n"/>
      <c r="N51" s="19" t="n"/>
      <c r="O51" s="19">
        <f>IF(OR(M51="Scheduled on call",M51="Booked on their behalf",N51="Scheduled on call",N51="Booked on their behalf"),"SCHEDULED (call)",IF(OR(M51="Not interested/Declined",N51="Not interested/Declined"),"DECLINED",IF(N51="Escalate to AM","ESCALATED TO LEAD",IF(E51="Ram is handling - no action","N/A",IF(M51="","PENDING CALL 1","IN PROGRESS")))))</f>
        <v/>
      </c>
      <c r="P51" s="19">
        <f>IF(OR('Ram - Digital ToDo'!O51="Scheduled",'Ram - Digital ToDo'!Q51="Scheduled"),"Scheduled within SLA (self-serve)",IF(OR(M51="Scheduled on call",M51="Booked on their behalf",N51="Scheduled on call",N51="Booked on their behalf"),"Scheduled within SLA (call)",IF(OR(M51="Not interested/Declined",N51="Not interested/Declined"),"Declined",IF(N51="Escalate to AM","SLA breach - unresolved","In progress"))))</f>
        <v/>
      </c>
      <c r="Q51" s="19" t="n"/>
    </row>
    <row r="52">
      <c r="A52" s="19" t="inlineStr">
        <is>
          <t>REQ-0051</t>
        </is>
      </c>
      <c r="B52" s="20" t="n">
        <v>44867.82708333333</v>
      </c>
      <c r="C52" s="20">
        <f>B52+1</f>
        <v/>
      </c>
      <c r="D52" s="21">
        <f>(C52-NOW())*24</f>
        <v/>
      </c>
      <c r="E52" s="19">
        <f>IF('Ram - Digital ToDo'!Q52="Escalate to call","CALL NOW",IF('Ram - Digital ToDo'!N52="Bad contact","CALL NOW (digital failed)","Ram is handling - no action"))</f>
        <v/>
      </c>
      <c r="F52" s="19">
        <f>IF(E52="Ram is handling - no action","No action needed",IF(M52="","CALL 1: ring candidate, offer to book on call (Playbook C1)",IF(OR(M52="Scheduled on call",M52="Booked on their behalf"),"DONE: scheduled on call",IF(M52="Not interested/Declined","CLOSED: candidate declined (log + tell lead)",IF(N52="","CALL 2: final attempt (Playbook C2)",IF(OR(N52="Scheduled on call",N52="Booked on their behalf"),"DONE: scheduled on call",IF(N52="Escalate to AM","ESCALATED TO LEAD","Review")))))))</f>
        <v/>
      </c>
      <c r="G52" s="20">
        <f>IF(E52="Ram is handling - no action","",IF(M52="",B52+6/24,IF(AND(M52&lt;&gt;"Scheduled on call",M52&lt;&gt;"Booked on their behalf",M52&lt;&gt;"Not interested/Declined",N52=""),B52+20/24,"")))</f>
        <v/>
      </c>
      <c r="H52" s="19" t="inlineStr">
        <is>
          <t>Chetan</t>
        </is>
      </c>
      <c r="I52" s="19" t="inlineStr">
        <is>
          <t>Google</t>
        </is>
      </c>
      <c r="J52" s="19" t="inlineStr">
        <is>
          <t>Round1</t>
        </is>
      </c>
      <c r="K52" s="22" t="inlineStr">
        <is>
          <t>+91 9920264452</t>
        </is>
      </c>
      <c r="L52" s="19" t="inlineStr">
        <is>
          <t>&lt;calendly_link&gt;</t>
        </is>
      </c>
      <c r="M52" s="19" t="n"/>
      <c r="N52" s="19" t="n"/>
      <c r="O52" s="19">
        <f>IF(OR(M52="Scheduled on call",M52="Booked on their behalf",N52="Scheduled on call",N52="Booked on their behalf"),"SCHEDULED (call)",IF(OR(M52="Not interested/Declined",N52="Not interested/Declined"),"DECLINED",IF(N52="Escalate to AM","ESCALATED TO LEAD",IF(E52="Ram is handling - no action","N/A",IF(M52="","PENDING CALL 1","IN PROGRESS")))))</f>
        <v/>
      </c>
      <c r="P52" s="19">
        <f>IF(OR('Ram - Digital ToDo'!O52="Scheduled",'Ram - Digital ToDo'!Q52="Scheduled"),"Scheduled within SLA (self-serve)",IF(OR(M52="Scheduled on call",M52="Booked on their behalf",N52="Scheduled on call",N52="Booked on their behalf"),"Scheduled within SLA (call)",IF(OR(M52="Not interested/Declined",N52="Not interested/Declined"),"Declined",IF(N52="Escalate to AM","SLA breach - unresolved","In progress"))))</f>
        <v/>
      </c>
      <c r="Q52" s="19" t="n"/>
    </row>
    <row r="53">
      <c r="A53" s="19" t="inlineStr">
        <is>
          <t>REQ-0052</t>
        </is>
      </c>
      <c r="B53" s="20" t="n">
        <v>44867.82708333333</v>
      </c>
      <c r="C53" s="20">
        <f>B53+1</f>
        <v/>
      </c>
      <c r="D53" s="21">
        <f>(C53-NOW())*24</f>
        <v/>
      </c>
      <c r="E53" s="19">
        <f>IF('Ram - Digital ToDo'!Q53="Escalate to call","CALL NOW",IF('Ram - Digital ToDo'!N53="Bad contact","CALL NOW (digital failed)","Ram is handling - no action"))</f>
        <v/>
      </c>
      <c r="F53" s="19">
        <f>IF(E53="Ram is handling - no action","No action needed",IF(M53="","CALL 1: ring candidate, offer to book on call (Playbook C1)",IF(OR(M53="Scheduled on call",M53="Booked on their behalf"),"DONE: scheduled on call",IF(M53="Not interested/Declined","CLOSED: candidate declined (log + tell lead)",IF(N53="","CALL 2: final attempt (Playbook C2)",IF(OR(N53="Scheduled on call",N53="Booked on their behalf"),"DONE: scheduled on call",IF(N53="Escalate to AM","ESCALATED TO LEAD","Review")))))))</f>
        <v/>
      </c>
      <c r="G53" s="20">
        <f>IF(E53="Ram is handling - no action","",IF(M53="",B53+6/24,IF(AND(M53&lt;&gt;"Scheduled on call",M53&lt;&gt;"Booked on their behalf",M53&lt;&gt;"Not interested/Declined",N53=""),B53+20/24,"")))</f>
        <v/>
      </c>
      <c r="H53" s="19" t="inlineStr">
        <is>
          <t>Chetan</t>
        </is>
      </c>
      <c r="I53" s="19" t="inlineStr">
        <is>
          <t>Google</t>
        </is>
      </c>
      <c r="J53" s="19" t="inlineStr">
        <is>
          <t>Round1</t>
        </is>
      </c>
      <c r="K53" s="22" t="inlineStr">
        <is>
          <t>+91 9920264452</t>
        </is>
      </c>
      <c r="L53" s="19" t="inlineStr">
        <is>
          <t>&lt;calendly_link&gt;</t>
        </is>
      </c>
      <c r="M53" s="19" t="n"/>
      <c r="N53" s="19" t="n"/>
      <c r="O53" s="19">
        <f>IF(OR(M53="Scheduled on call",M53="Booked on their behalf",N53="Scheduled on call",N53="Booked on their behalf"),"SCHEDULED (call)",IF(OR(M53="Not interested/Declined",N53="Not interested/Declined"),"DECLINED",IF(N53="Escalate to AM","ESCALATED TO LEAD",IF(E53="Ram is handling - no action","N/A",IF(M53="","PENDING CALL 1","IN PROGRESS")))))</f>
        <v/>
      </c>
      <c r="P53" s="19">
        <f>IF(OR('Ram - Digital ToDo'!O53="Scheduled",'Ram - Digital ToDo'!Q53="Scheduled"),"Scheduled within SLA (self-serve)",IF(OR(M53="Scheduled on call",M53="Booked on their behalf",N53="Scheduled on call",N53="Booked on their behalf"),"Scheduled within SLA (call)",IF(OR(M53="Not interested/Declined",N53="Not interested/Declined"),"Declined",IF(N53="Escalate to AM","SLA breach - unresolved","In progress"))))</f>
        <v/>
      </c>
      <c r="Q53" s="19" t="n"/>
    </row>
    <row r="54">
      <c r="A54" s="19" t="inlineStr">
        <is>
          <t>REQ-0053</t>
        </is>
      </c>
      <c r="B54" s="20" t="n">
        <v>44867.82708333333</v>
      </c>
      <c r="C54" s="20">
        <f>B54+1</f>
        <v/>
      </c>
      <c r="D54" s="21">
        <f>(C54-NOW())*24</f>
        <v/>
      </c>
      <c r="E54" s="19">
        <f>IF('Ram - Digital ToDo'!Q54="Escalate to call","CALL NOW",IF('Ram - Digital ToDo'!N54="Bad contact","CALL NOW (digital failed)","Ram is handling - no action"))</f>
        <v/>
      </c>
      <c r="F54" s="19">
        <f>IF(E54="Ram is handling - no action","No action needed",IF(M54="","CALL 1: ring candidate, offer to book on call (Playbook C1)",IF(OR(M54="Scheduled on call",M54="Booked on their behalf"),"DONE: scheduled on call",IF(M54="Not interested/Declined","CLOSED: candidate declined (log + tell lead)",IF(N54="","CALL 2: final attempt (Playbook C2)",IF(OR(N54="Scheduled on call",N54="Booked on their behalf"),"DONE: scheduled on call",IF(N54="Escalate to AM","ESCALATED TO LEAD","Review")))))))</f>
        <v/>
      </c>
      <c r="G54" s="20">
        <f>IF(E54="Ram is handling - no action","",IF(M54="",B54+6/24,IF(AND(M54&lt;&gt;"Scheduled on call",M54&lt;&gt;"Booked on their behalf",M54&lt;&gt;"Not interested/Declined",N54=""),B54+20/24,"")))</f>
        <v/>
      </c>
      <c r="H54" s="19" t="inlineStr">
        <is>
          <t>Chetan</t>
        </is>
      </c>
      <c r="I54" s="19" t="inlineStr">
        <is>
          <t>Google</t>
        </is>
      </c>
      <c r="J54" s="19" t="inlineStr">
        <is>
          <t>Round1</t>
        </is>
      </c>
      <c r="K54" s="22" t="inlineStr">
        <is>
          <t>+91 9920264452</t>
        </is>
      </c>
      <c r="L54" s="19" t="inlineStr">
        <is>
          <t>&lt;calendly_link&gt;</t>
        </is>
      </c>
      <c r="M54" s="19" t="n"/>
      <c r="N54" s="19" t="n"/>
      <c r="O54" s="19">
        <f>IF(OR(M54="Scheduled on call",M54="Booked on their behalf",N54="Scheduled on call",N54="Booked on their behalf"),"SCHEDULED (call)",IF(OR(M54="Not interested/Declined",N54="Not interested/Declined"),"DECLINED",IF(N54="Escalate to AM","ESCALATED TO LEAD",IF(E54="Ram is handling - no action","N/A",IF(M54="","PENDING CALL 1","IN PROGRESS")))))</f>
        <v/>
      </c>
      <c r="P54" s="19">
        <f>IF(OR('Ram - Digital ToDo'!O54="Scheduled",'Ram - Digital ToDo'!Q54="Scheduled"),"Scheduled within SLA (self-serve)",IF(OR(M54="Scheduled on call",M54="Booked on their behalf",N54="Scheduled on call",N54="Booked on their behalf"),"Scheduled within SLA (call)",IF(OR(M54="Not interested/Declined",N54="Not interested/Declined"),"Declined",IF(N54="Escalate to AM","SLA breach - unresolved","In progress"))))</f>
        <v/>
      </c>
      <c r="Q54" s="19" t="n"/>
    </row>
    <row r="55">
      <c r="A55" s="19" t="inlineStr">
        <is>
          <t>REQ-0054</t>
        </is>
      </c>
      <c r="B55" s="20" t="n">
        <v>44867.82708333333</v>
      </c>
      <c r="C55" s="20">
        <f>B55+1</f>
        <v/>
      </c>
      <c r="D55" s="21">
        <f>(C55-NOW())*24</f>
        <v/>
      </c>
      <c r="E55" s="19">
        <f>IF('Ram - Digital ToDo'!Q55="Escalate to call","CALL NOW",IF('Ram - Digital ToDo'!N55="Bad contact","CALL NOW (digital failed)","Ram is handling - no action"))</f>
        <v/>
      </c>
      <c r="F55" s="19">
        <f>IF(E55="Ram is handling - no action","No action needed",IF(M55="","CALL 1: ring candidate, offer to book on call (Playbook C1)",IF(OR(M55="Scheduled on call",M55="Booked on their behalf"),"DONE: scheduled on call",IF(M55="Not interested/Declined","CLOSED: candidate declined (log + tell lead)",IF(N55="","CALL 2: final attempt (Playbook C2)",IF(OR(N55="Scheduled on call",N55="Booked on their behalf"),"DONE: scheduled on call",IF(N55="Escalate to AM","ESCALATED TO LEAD","Review")))))))</f>
        <v/>
      </c>
      <c r="G55" s="20">
        <f>IF(E55="Ram is handling - no action","",IF(M55="",B55+6/24,IF(AND(M55&lt;&gt;"Scheduled on call",M55&lt;&gt;"Booked on their behalf",M55&lt;&gt;"Not interested/Declined",N55=""),B55+20/24,"")))</f>
        <v/>
      </c>
      <c r="H55" s="19" t="inlineStr">
        <is>
          <t>Chetan</t>
        </is>
      </c>
      <c r="I55" s="19" t="inlineStr">
        <is>
          <t>Google</t>
        </is>
      </c>
      <c r="J55" s="19" t="inlineStr">
        <is>
          <t>Round1</t>
        </is>
      </c>
      <c r="K55" s="22" t="inlineStr">
        <is>
          <t>+91 9920264452</t>
        </is>
      </c>
      <c r="L55" s="19" t="inlineStr">
        <is>
          <t>&lt;calendly_link&gt;</t>
        </is>
      </c>
      <c r="M55" s="19" t="n"/>
      <c r="N55" s="19" t="n"/>
      <c r="O55" s="19">
        <f>IF(OR(M55="Scheduled on call",M55="Booked on their behalf",N55="Scheduled on call",N55="Booked on their behalf"),"SCHEDULED (call)",IF(OR(M55="Not interested/Declined",N55="Not interested/Declined"),"DECLINED",IF(N55="Escalate to AM","ESCALATED TO LEAD",IF(E55="Ram is handling - no action","N/A",IF(M55="","PENDING CALL 1","IN PROGRESS")))))</f>
        <v/>
      </c>
      <c r="P55" s="19">
        <f>IF(OR('Ram - Digital ToDo'!O55="Scheduled",'Ram - Digital ToDo'!Q55="Scheduled"),"Scheduled within SLA (self-serve)",IF(OR(M55="Scheduled on call",M55="Booked on their behalf",N55="Scheduled on call",N55="Booked on their behalf"),"Scheduled within SLA (call)",IF(OR(M55="Not interested/Declined",N55="Not interested/Declined"),"Declined",IF(N55="Escalate to AM","SLA breach - unresolved","In progress"))))</f>
        <v/>
      </c>
      <c r="Q55" s="19" t="n"/>
    </row>
    <row r="56">
      <c r="A56" s="19" t="inlineStr">
        <is>
          <t>REQ-0055</t>
        </is>
      </c>
      <c r="B56" s="20" t="n">
        <v>44867.82708333333</v>
      </c>
      <c r="C56" s="20">
        <f>B56+1</f>
        <v/>
      </c>
      <c r="D56" s="21">
        <f>(C56-NOW())*24</f>
        <v/>
      </c>
      <c r="E56" s="19">
        <f>IF('Ram - Digital ToDo'!Q56="Escalate to call","CALL NOW",IF('Ram - Digital ToDo'!N56="Bad contact","CALL NOW (digital failed)","Ram is handling - no action"))</f>
        <v/>
      </c>
      <c r="F56" s="19">
        <f>IF(E56="Ram is handling - no action","No action needed",IF(M56="","CALL 1: ring candidate, offer to book on call (Playbook C1)",IF(OR(M56="Scheduled on call",M56="Booked on their behalf"),"DONE: scheduled on call",IF(M56="Not interested/Declined","CLOSED: candidate declined (log + tell lead)",IF(N56="","CALL 2: final attempt (Playbook C2)",IF(OR(N56="Scheduled on call",N56="Booked on their behalf"),"DONE: scheduled on call",IF(N56="Escalate to AM","ESCALATED TO LEAD","Review")))))))</f>
        <v/>
      </c>
      <c r="G56" s="20">
        <f>IF(E56="Ram is handling - no action","",IF(M56="",B56+6/24,IF(AND(M56&lt;&gt;"Scheduled on call",M56&lt;&gt;"Booked on their behalf",M56&lt;&gt;"Not interested/Declined",N56=""),B56+20/24,"")))</f>
        <v/>
      </c>
      <c r="H56" s="19" t="inlineStr">
        <is>
          <t>Chetan</t>
        </is>
      </c>
      <c r="I56" s="19" t="inlineStr">
        <is>
          <t>Google</t>
        </is>
      </c>
      <c r="J56" s="19" t="inlineStr">
        <is>
          <t>Round1</t>
        </is>
      </c>
      <c r="K56" s="22" t="inlineStr">
        <is>
          <t>+91 9920264452</t>
        </is>
      </c>
      <c r="L56" s="19" t="inlineStr">
        <is>
          <t>&lt;calendly_link&gt;</t>
        </is>
      </c>
      <c r="M56" s="19" t="n"/>
      <c r="N56" s="19" t="n"/>
      <c r="O56" s="19">
        <f>IF(OR(M56="Scheduled on call",M56="Booked on their behalf",N56="Scheduled on call",N56="Booked on their behalf"),"SCHEDULED (call)",IF(OR(M56="Not interested/Declined",N56="Not interested/Declined"),"DECLINED",IF(N56="Escalate to AM","ESCALATED TO LEAD",IF(E56="Ram is handling - no action","N/A",IF(M56="","PENDING CALL 1","IN PROGRESS")))))</f>
        <v/>
      </c>
      <c r="P56" s="19">
        <f>IF(OR('Ram - Digital ToDo'!O56="Scheduled",'Ram - Digital ToDo'!Q56="Scheduled"),"Scheduled within SLA (self-serve)",IF(OR(M56="Scheduled on call",M56="Booked on their behalf",N56="Scheduled on call",N56="Booked on their behalf"),"Scheduled within SLA (call)",IF(OR(M56="Not interested/Declined",N56="Not interested/Declined"),"Declined",IF(N56="Escalate to AM","SLA breach - unresolved","In progress"))))</f>
        <v/>
      </c>
      <c r="Q56" s="19" t="n"/>
    </row>
    <row r="57">
      <c r="A57" s="19" t="inlineStr">
        <is>
          <t>REQ-0056</t>
        </is>
      </c>
      <c r="B57" s="20" t="n">
        <v>44867.82708333333</v>
      </c>
      <c r="C57" s="20">
        <f>B57+1</f>
        <v/>
      </c>
      <c r="D57" s="21">
        <f>(C57-NOW())*24</f>
        <v/>
      </c>
      <c r="E57" s="19">
        <f>IF('Ram - Digital ToDo'!Q57="Escalate to call","CALL NOW",IF('Ram - Digital ToDo'!N57="Bad contact","CALL NOW (digital failed)","Ram is handling - no action"))</f>
        <v/>
      </c>
      <c r="F57" s="19">
        <f>IF(E57="Ram is handling - no action","No action needed",IF(M57="","CALL 1: ring candidate, offer to book on call (Playbook C1)",IF(OR(M57="Scheduled on call",M57="Booked on their behalf"),"DONE: scheduled on call",IF(M57="Not interested/Declined","CLOSED: candidate declined (log + tell lead)",IF(N57="","CALL 2: final attempt (Playbook C2)",IF(OR(N57="Scheduled on call",N57="Booked on their behalf"),"DONE: scheduled on call",IF(N57="Escalate to AM","ESCALATED TO LEAD","Review")))))))</f>
        <v/>
      </c>
      <c r="G57" s="20">
        <f>IF(E57="Ram is handling - no action","",IF(M57="",B57+6/24,IF(AND(M57&lt;&gt;"Scheduled on call",M57&lt;&gt;"Booked on their behalf",M57&lt;&gt;"Not interested/Declined",N57=""),B57+20/24,"")))</f>
        <v/>
      </c>
      <c r="H57" s="19" t="inlineStr">
        <is>
          <t>Chetan</t>
        </is>
      </c>
      <c r="I57" s="19" t="inlineStr">
        <is>
          <t>Google</t>
        </is>
      </c>
      <c r="J57" s="19" t="inlineStr">
        <is>
          <t>Round1</t>
        </is>
      </c>
      <c r="K57" s="22" t="inlineStr">
        <is>
          <t>+91 9920264452</t>
        </is>
      </c>
      <c r="L57" s="19" t="inlineStr">
        <is>
          <t>&lt;calendly_link&gt;</t>
        </is>
      </c>
      <c r="M57" s="19" t="n"/>
      <c r="N57" s="19" t="n"/>
      <c r="O57" s="19">
        <f>IF(OR(M57="Scheduled on call",M57="Booked on their behalf",N57="Scheduled on call",N57="Booked on their behalf"),"SCHEDULED (call)",IF(OR(M57="Not interested/Declined",N57="Not interested/Declined"),"DECLINED",IF(N57="Escalate to AM","ESCALATED TO LEAD",IF(E57="Ram is handling - no action","N/A",IF(M57="","PENDING CALL 1","IN PROGRESS")))))</f>
        <v/>
      </c>
      <c r="P57" s="19">
        <f>IF(OR('Ram - Digital ToDo'!O57="Scheduled",'Ram - Digital ToDo'!Q57="Scheduled"),"Scheduled within SLA (self-serve)",IF(OR(M57="Scheduled on call",M57="Booked on their behalf",N57="Scheduled on call",N57="Booked on their behalf"),"Scheduled within SLA (call)",IF(OR(M57="Not interested/Declined",N57="Not interested/Declined"),"Declined",IF(N57="Escalate to AM","SLA breach - unresolved","In progress"))))</f>
        <v/>
      </c>
      <c r="Q57" s="19" t="n"/>
    </row>
    <row r="58">
      <c r="A58" s="19" t="inlineStr">
        <is>
          <t>REQ-0057</t>
        </is>
      </c>
      <c r="B58" s="20" t="n">
        <v>44867.82708333333</v>
      </c>
      <c r="C58" s="20">
        <f>B58+1</f>
        <v/>
      </c>
      <c r="D58" s="21">
        <f>(C58-NOW())*24</f>
        <v/>
      </c>
      <c r="E58" s="19">
        <f>IF('Ram - Digital ToDo'!Q58="Escalate to call","CALL NOW",IF('Ram - Digital ToDo'!N58="Bad contact","CALL NOW (digital failed)","Ram is handling - no action"))</f>
        <v/>
      </c>
      <c r="F58" s="19">
        <f>IF(E58="Ram is handling - no action","No action needed",IF(M58="","CALL 1: ring candidate, offer to book on call (Playbook C1)",IF(OR(M58="Scheduled on call",M58="Booked on their behalf"),"DONE: scheduled on call",IF(M58="Not interested/Declined","CLOSED: candidate declined (log + tell lead)",IF(N58="","CALL 2: final attempt (Playbook C2)",IF(OR(N58="Scheduled on call",N58="Booked on their behalf"),"DONE: scheduled on call",IF(N58="Escalate to AM","ESCALATED TO LEAD","Review")))))))</f>
        <v/>
      </c>
      <c r="G58" s="20">
        <f>IF(E58="Ram is handling - no action","",IF(M58="",B58+6/24,IF(AND(M58&lt;&gt;"Scheduled on call",M58&lt;&gt;"Booked on their behalf",M58&lt;&gt;"Not interested/Declined",N58=""),B58+20/24,"")))</f>
        <v/>
      </c>
      <c r="H58" s="19" t="inlineStr">
        <is>
          <t>Chetan</t>
        </is>
      </c>
      <c r="I58" s="19" t="inlineStr">
        <is>
          <t>Google</t>
        </is>
      </c>
      <c r="J58" s="19" t="inlineStr">
        <is>
          <t>Round1</t>
        </is>
      </c>
      <c r="K58" s="22" t="inlineStr">
        <is>
          <t>+91 9920264452</t>
        </is>
      </c>
      <c r="L58" s="19" t="inlineStr">
        <is>
          <t>&lt;calendly_link&gt;</t>
        </is>
      </c>
      <c r="M58" s="19" t="n"/>
      <c r="N58" s="19" t="n"/>
      <c r="O58" s="19">
        <f>IF(OR(M58="Scheduled on call",M58="Booked on their behalf",N58="Scheduled on call",N58="Booked on their behalf"),"SCHEDULED (call)",IF(OR(M58="Not interested/Declined",N58="Not interested/Declined"),"DECLINED",IF(N58="Escalate to AM","ESCALATED TO LEAD",IF(E58="Ram is handling - no action","N/A",IF(M58="","PENDING CALL 1","IN PROGRESS")))))</f>
        <v/>
      </c>
      <c r="P58" s="19">
        <f>IF(OR('Ram - Digital ToDo'!O58="Scheduled",'Ram - Digital ToDo'!Q58="Scheduled"),"Scheduled within SLA (self-serve)",IF(OR(M58="Scheduled on call",M58="Booked on their behalf",N58="Scheduled on call",N58="Booked on their behalf"),"Scheduled within SLA (call)",IF(OR(M58="Not interested/Declined",N58="Not interested/Declined"),"Declined",IF(N58="Escalate to AM","SLA breach - unresolved","In progress"))))</f>
        <v/>
      </c>
      <c r="Q58" s="19" t="n"/>
    </row>
    <row r="59">
      <c r="A59" s="19" t="inlineStr">
        <is>
          <t>REQ-0058</t>
        </is>
      </c>
      <c r="B59" s="20" t="n">
        <v>44867.82708333333</v>
      </c>
      <c r="C59" s="20">
        <f>B59+1</f>
        <v/>
      </c>
      <c r="D59" s="21">
        <f>(C59-NOW())*24</f>
        <v/>
      </c>
      <c r="E59" s="19">
        <f>IF('Ram - Digital ToDo'!Q59="Escalate to call","CALL NOW",IF('Ram - Digital ToDo'!N59="Bad contact","CALL NOW (digital failed)","Ram is handling - no action"))</f>
        <v/>
      </c>
      <c r="F59" s="19">
        <f>IF(E59="Ram is handling - no action","No action needed",IF(M59="","CALL 1: ring candidate, offer to book on call (Playbook C1)",IF(OR(M59="Scheduled on call",M59="Booked on their behalf"),"DONE: scheduled on call",IF(M59="Not interested/Declined","CLOSED: candidate declined (log + tell lead)",IF(N59="","CALL 2: final attempt (Playbook C2)",IF(OR(N59="Scheduled on call",N59="Booked on their behalf"),"DONE: scheduled on call",IF(N59="Escalate to AM","ESCALATED TO LEAD","Review")))))))</f>
        <v/>
      </c>
      <c r="G59" s="20">
        <f>IF(E59="Ram is handling - no action","",IF(M59="",B59+6/24,IF(AND(M59&lt;&gt;"Scheduled on call",M59&lt;&gt;"Booked on their behalf",M59&lt;&gt;"Not interested/Declined",N59=""),B59+20/24,"")))</f>
        <v/>
      </c>
      <c r="H59" s="19" t="inlineStr">
        <is>
          <t>Chetan</t>
        </is>
      </c>
      <c r="I59" s="19" t="inlineStr">
        <is>
          <t>Google</t>
        </is>
      </c>
      <c r="J59" s="19" t="inlineStr">
        <is>
          <t>Round1</t>
        </is>
      </c>
      <c r="K59" s="22" t="inlineStr">
        <is>
          <t>+91 9920264452</t>
        </is>
      </c>
      <c r="L59" s="19" t="inlineStr">
        <is>
          <t>&lt;calendly_link&gt;</t>
        </is>
      </c>
      <c r="M59" s="19" t="n"/>
      <c r="N59" s="19" t="n"/>
      <c r="O59" s="19">
        <f>IF(OR(M59="Scheduled on call",M59="Booked on their behalf",N59="Scheduled on call",N59="Booked on their behalf"),"SCHEDULED (call)",IF(OR(M59="Not interested/Declined",N59="Not interested/Declined"),"DECLINED",IF(N59="Escalate to AM","ESCALATED TO LEAD",IF(E59="Ram is handling - no action","N/A",IF(M59="","PENDING CALL 1","IN PROGRESS")))))</f>
        <v/>
      </c>
      <c r="P59" s="19">
        <f>IF(OR('Ram - Digital ToDo'!O59="Scheduled",'Ram - Digital ToDo'!Q59="Scheduled"),"Scheduled within SLA (self-serve)",IF(OR(M59="Scheduled on call",M59="Booked on their behalf",N59="Scheduled on call",N59="Booked on their behalf"),"Scheduled within SLA (call)",IF(OR(M59="Not interested/Declined",N59="Not interested/Declined"),"Declined",IF(N59="Escalate to AM","SLA breach - unresolved","In progress"))))</f>
        <v/>
      </c>
      <c r="Q59" s="19" t="n"/>
    </row>
    <row r="60">
      <c r="A60" s="19" t="inlineStr">
        <is>
          <t>REQ-0059</t>
        </is>
      </c>
      <c r="B60" s="20" t="n">
        <v>44867.82708333333</v>
      </c>
      <c r="C60" s="20">
        <f>B60+1</f>
        <v/>
      </c>
      <c r="D60" s="21">
        <f>(C60-NOW())*24</f>
        <v/>
      </c>
      <c r="E60" s="19">
        <f>IF('Ram - Digital ToDo'!Q60="Escalate to call","CALL NOW",IF('Ram - Digital ToDo'!N60="Bad contact","CALL NOW (digital failed)","Ram is handling - no action"))</f>
        <v/>
      </c>
      <c r="F60" s="19">
        <f>IF(E60="Ram is handling - no action","No action needed",IF(M60="","CALL 1: ring candidate, offer to book on call (Playbook C1)",IF(OR(M60="Scheduled on call",M60="Booked on their behalf"),"DONE: scheduled on call",IF(M60="Not interested/Declined","CLOSED: candidate declined (log + tell lead)",IF(N60="","CALL 2: final attempt (Playbook C2)",IF(OR(N60="Scheduled on call",N60="Booked on their behalf"),"DONE: scheduled on call",IF(N60="Escalate to AM","ESCALATED TO LEAD","Review")))))))</f>
        <v/>
      </c>
      <c r="G60" s="20">
        <f>IF(E60="Ram is handling - no action","",IF(M60="",B60+6/24,IF(AND(M60&lt;&gt;"Scheduled on call",M60&lt;&gt;"Booked on their behalf",M60&lt;&gt;"Not interested/Declined",N60=""),B60+20/24,"")))</f>
        <v/>
      </c>
      <c r="H60" s="19" t="inlineStr">
        <is>
          <t>Chetan</t>
        </is>
      </c>
      <c r="I60" s="19" t="inlineStr">
        <is>
          <t>Google</t>
        </is>
      </c>
      <c r="J60" s="19" t="inlineStr">
        <is>
          <t>Round1</t>
        </is>
      </c>
      <c r="K60" s="22" t="inlineStr">
        <is>
          <t>+91 9920264452</t>
        </is>
      </c>
      <c r="L60" s="19" t="inlineStr">
        <is>
          <t>&lt;calendly_link&gt;</t>
        </is>
      </c>
      <c r="M60" s="19" t="n"/>
      <c r="N60" s="19" t="n"/>
      <c r="O60" s="19">
        <f>IF(OR(M60="Scheduled on call",M60="Booked on their behalf",N60="Scheduled on call",N60="Booked on their behalf"),"SCHEDULED (call)",IF(OR(M60="Not interested/Declined",N60="Not interested/Declined"),"DECLINED",IF(N60="Escalate to AM","ESCALATED TO LEAD",IF(E60="Ram is handling - no action","N/A",IF(M60="","PENDING CALL 1","IN PROGRESS")))))</f>
        <v/>
      </c>
      <c r="P60" s="19">
        <f>IF(OR('Ram - Digital ToDo'!O60="Scheduled",'Ram - Digital ToDo'!Q60="Scheduled"),"Scheduled within SLA (self-serve)",IF(OR(M60="Scheduled on call",M60="Booked on their behalf",N60="Scheduled on call",N60="Booked on their behalf"),"Scheduled within SLA (call)",IF(OR(M60="Not interested/Declined",N60="Not interested/Declined"),"Declined",IF(N60="Escalate to AM","SLA breach - unresolved","In progress"))))</f>
        <v/>
      </c>
      <c r="Q60" s="19" t="n"/>
    </row>
    <row r="61">
      <c r="A61" s="19" t="inlineStr">
        <is>
          <t>REQ-0060</t>
        </is>
      </c>
      <c r="B61" s="20" t="n">
        <v>44867.82708333333</v>
      </c>
      <c r="C61" s="20">
        <f>B61+1</f>
        <v/>
      </c>
      <c r="D61" s="21">
        <f>(C61-NOW())*24</f>
        <v/>
      </c>
      <c r="E61" s="19">
        <f>IF('Ram - Digital ToDo'!Q61="Escalate to call","CALL NOW",IF('Ram - Digital ToDo'!N61="Bad contact","CALL NOW (digital failed)","Ram is handling - no action"))</f>
        <v/>
      </c>
      <c r="F61" s="19">
        <f>IF(E61="Ram is handling - no action","No action needed",IF(M61="","CALL 1: ring candidate, offer to book on call (Playbook C1)",IF(OR(M61="Scheduled on call",M61="Booked on their behalf"),"DONE: scheduled on call",IF(M61="Not interested/Declined","CLOSED: candidate declined (log + tell lead)",IF(N61="","CALL 2: final attempt (Playbook C2)",IF(OR(N61="Scheduled on call",N61="Booked on their behalf"),"DONE: scheduled on call",IF(N61="Escalate to AM","ESCALATED TO LEAD","Review")))))))</f>
        <v/>
      </c>
      <c r="G61" s="20">
        <f>IF(E61="Ram is handling - no action","",IF(M61="",B61+6/24,IF(AND(M61&lt;&gt;"Scheduled on call",M61&lt;&gt;"Booked on their behalf",M61&lt;&gt;"Not interested/Declined",N61=""),B61+20/24,"")))</f>
        <v/>
      </c>
      <c r="H61" s="19" t="inlineStr">
        <is>
          <t>Chetan</t>
        </is>
      </c>
      <c r="I61" s="19" t="inlineStr">
        <is>
          <t>Google</t>
        </is>
      </c>
      <c r="J61" s="19" t="inlineStr">
        <is>
          <t>Round1</t>
        </is>
      </c>
      <c r="K61" s="22" t="inlineStr">
        <is>
          <t>+91 9920264452</t>
        </is>
      </c>
      <c r="L61" s="19" t="inlineStr">
        <is>
          <t>&lt;calendly_link&gt;</t>
        </is>
      </c>
      <c r="M61" s="19" t="n"/>
      <c r="N61" s="19" t="n"/>
      <c r="O61" s="19">
        <f>IF(OR(M61="Scheduled on call",M61="Booked on their behalf",N61="Scheduled on call",N61="Booked on their behalf"),"SCHEDULED (call)",IF(OR(M61="Not interested/Declined",N61="Not interested/Declined"),"DECLINED",IF(N61="Escalate to AM","ESCALATED TO LEAD",IF(E61="Ram is handling - no action","N/A",IF(M61="","PENDING CALL 1","IN PROGRESS")))))</f>
        <v/>
      </c>
      <c r="P61" s="19">
        <f>IF(OR('Ram - Digital ToDo'!O61="Scheduled",'Ram - Digital ToDo'!Q61="Scheduled"),"Scheduled within SLA (self-serve)",IF(OR(M61="Scheduled on call",M61="Booked on their behalf",N61="Scheduled on call",N61="Booked on their behalf"),"Scheduled within SLA (call)",IF(OR(M61="Not interested/Declined",N61="Not interested/Declined"),"Declined",IF(N61="Escalate to AM","SLA breach - unresolved","In progress"))))</f>
        <v/>
      </c>
      <c r="Q61" s="19" t="n"/>
    </row>
    <row r="62">
      <c r="A62" s="19" t="inlineStr">
        <is>
          <t>REQ-0061</t>
        </is>
      </c>
      <c r="B62" s="20" t="n">
        <v>44867.82708333333</v>
      </c>
      <c r="C62" s="20">
        <f>B62+1</f>
        <v/>
      </c>
      <c r="D62" s="21">
        <f>(C62-NOW())*24</f>
        <v/>
      </c>
      <c r="E62" s="19">
        <f>IF('Ram - Digital ToDo'!Q62="Escalate to call","CALL NOW",IF('Ram - Digital ToDo'!N62="Bad contact","CALL NOW (digital failed)","Ram is handling - no action"))</f>
        <v/>
      </c>
      <c r="F62" s="19">
        <f>IF(E62="Ram is handling - no action","No action needed",IF(M62="","CALL 1: ring candidate, offer to book on call (Playbook C1)",IF(OR(M62="Scheduled on call",M62="Booked on their behalf"),"DONE: scheduled on call",IF(M62="Not interested/Declined","CLOSED: candidate declined (log + tell lead)",IF(N62="","CALL 2: final attempt (Playbook C2)",IF(OR(N62="Scheduled on call",N62="Booked on their behalf"),"DONE: scheduled on call",IF(N62="Escalate to AM","ESCALATED TO LEAD","Review")))))))</f>
        <v/>
      </c>
      <c r="G62" s="20">
        <f>IF(E62="Ram is handling - no action","",IF(M62="",B62+6/24,IF(AND(M62&lt;&gt;"Scheduled on call",M62&lt;&gt;"Booked on their behalf",M62&lt;&gt;"Not interested/Declined",N62=""),B62+20/24,"")))</f>
        <v/>
      </c>
      <c r="H62" s="19" t="inlineStr">
        <is>
          <t>Chetan</t>
        </is>
      </c>
      <c r="I62" s="19" t="inlineStr">
        <is>
          <t>Google</t>
        </is>
      </c>
      <c r="J62" s="19" t="inlineStr">
        <is>
          <t>Round1</t>
        </is>
      </c>
      <c r="K62" s="22" t="inlineStr">
        <is>
          <t>+91 9920264452</t>
        </is>
      </c>
      <c r="L62" s="19" t="inlineStr">
        <is>
          <t>&lt;calendly_link&gt;</t>
        </is>
      </c>
      <c r="M62" s="19" t="n"/>
      <c r="N62" s="19" t="n"/>
      <c r="O62" s="19">
        <f>IF(OR(M62="Scheduled on call",M62="Booked on their behalf",N62="Scheduled on call",N62="Booked on their behalf"),"SCHEDULED (call)",IF(OR(M62="Not interested/Declined",N62="Not interested/Declined"),"DECLINED",IF(N62="Escalate to AM","ESCALATED TO LEAD",IF(E62="Ram is handling - no action","N/A",IF(M62="","PENDING CALL 1","IN PROGRESS")))))</f>
        <v/>
      </c>
      <c r="P62" s="19">
        <f>IF(OR('Ram - Digital ToDo'!O62="Scheduled",'Ram - Digital ToDo'!Q62="Scheduled"),"Scheduled within SLA (self-serve)",IF(OR(M62="Scheduled on call",M62="Booked on their behalf",N62="Scheduled on call",N62="Booked on their behalf"),"Scheduled within SLA (call)",IF(OR(M62="Not interested/Declined",N62="Not interested/Declined"),"Declined",IF(N62="Escalate to AM","SLA breach - unresolved","In progress"))))</f>
        <v/>
      </c>
      <c r="Q62" s="19" t="n"/>
    </row>
    <row r="63">
      <c r="A63" s="19" t="inlineStr">
        <is>
          <t>REQ-0062</t>
        </is>
      </c>
      <c r="B63" s="20" t="n">
        <v>44867.82708333333</v>
      </c>
      <c r="C63" s="20">
        <f>B63+1</f>
        <v/>
      </c>
      <c r="D63" s="21">
        <f>(C63-NOW())*24</f>
        <v/>
      </c>
      <c r="E63" s="19">
        <f>IF('Ram - Digital ToDo'!Q63="Escalate to call","CALL NOW",IF('Ram - Digital ToDo'!N63="Bad contact","CALL NOW (digital failed)","Ram is handling - no action"))</f>
        <v/>
      </c>
      <c r="F63" s="19">
        <f>IF(E63="Ram is handling - no action","No action needed",IF(M63="","CALL 1: ring candidate, offer to book on call (Playbook C1)",IF(OR(M63="Scheduled on call",M63="Booked on their behalf"),"DONE: scheduled on call",IF(M63="Not interested/Declined","CLOSED: candidate declined (log + tell lead)",IF(N63="","CALL 2: final attempt (Playbook C2)",IF(OR(N63="Scheduled on call",N63="Booked on their behalf"),"DONE: scheduled on call",IF(N63="Escalate to AM","ESCALATED TO LEAD","Review")))))))</f>
        <v/>
      </c>
      <c r="G63" s="20">
        <f>IF(E63="Ram is handling - no action","",IF(M63="",B63+6/24,IF(AND(M63&lt;&gt;"Scheduled on call",M63&lt;&gt;"Booked on their behalf",M63&lt;&gt;"Not interested/Declined",N63=""),B63+20/24,"")))</f>
        <v/>
      </c>
      <c r="H63" s="19" t="inlineStr">
        <is>
          <t>Chetan</t>
        </is>
      </c>
      <c r="I63" s="19" t="inlineStr">
        <is>
          <t>Google</t>
        </is>
      </c>
      <c r="J63" s="19" t="inlineStr">
        <is>
          <t>Round1</t>
        </is>
      </c>
      <c r="K63" s="22" t="inlineStr">
        <is>
          <t>+91 9920264452</t>
        </is>
      </c>
      <c r="L63" s="19" t="inlineStr">
        <is>
          <t>&lt;calendly_link&gt;</t>
        </is>
      </c>
      <c r="M63" s="19" t="n"/>
      <c r="N63" s="19" t="n"/>
      <c r="O63" s="19">
        <f>IF(OR(M63="Scheduled on call",M63="Booked on their behalf",N63="Scheduled on call",N63="Booked on their behalf"),"SCHEDULED (call)",IF(OR(M63="Not interested/Declined",N63="Not interested/Declined"),"DECLINED",IF(N63="Escalate to AM","ESCALATED TO LEAD",IF(E63="Ram is handling - no action","N/A",IF(M63="","PENDING CALL 1","IN PROGRESS")))))</f>
        <v/>
      </c>
      <c r="P63" s="19">
        <f>IF(OR('Ram - Digital ToDo'!O63="Scheduled",'Ram - Digital ToDo'!Q63="Scheduled"),"Scheduled within SLA (self-serve)",IF(OR(M63="Scheduled on call",M63="Booked on their behalf",N63="Scheduled on call",N63="Booked on their behalf"),"Scheduled within SLA (call)",IF(OR(M63="Not interested/Declined",N63="Not interested/Declined"),"Declined",IF(N63="Escalate to AM","SLA breach - unresolved","In progress"))))</f>
        <v/>
      </c>
      <c r="Q63" s="19" t="n"/>
    </row>
    <row r="64">
      <c r="A64" s="19" t="inlineStr">
        <is>
          <t>REQ-0063</t>
        </is>
      </c>
      <c r="B64" s="20" t="n">
        <v>44867.82708333333</v>
      </c>
      <c r="C64" s="20">
        <f>B64+1</f>
        <v/>
      </c>
      <c r="D64" s="21">
        <f>(C64-NOW())*24</f>
        <v/>
      </c>
      <c r="E64" s="19">
        <f>IF('Ram - Digital ToDo'!Q64="Escalate to call","CALL NOW",IF('Ram - Digital ToDo'!N64="Bad contact","CALL NOW (digital failed)","Ram is handling - no action"))</f>
        <v/>
      </c>
      <c r="F64" s="19">
        <f>IF(E64="Ram is handling - no action","No action needed",IF(M64="","CALL 1: ring candidate, offer to book on call (Playbook C1)",IF(OR(M64="Scheduled on call",M64="Booked on their behalf"),"DONE: scheduled on call",IF(M64="Not interested/Declined","CLOSED: candidate declined (log + tell lead)",IF(N64="","CALL 2: final attempt (Playbook C2)",IF(OR(N64="Scheduled on call",N64="Booked on their behalf"),"DONE: scheduled on call",IF(N64="Escalate to AM","ESCALATED TO LEAD","Review")))))))</f>
        <v/>
      </c>
      <c r="G64" s="20">
        <f>IF(E64="Ram is handling - no action","",IF(M64="",B64+6/24,IF(AND(M64&lt;&gt;"Scheduled on call",M64&lt;&gt;"Booked on their behalf",M64&lt;&gt;"Not interested/Declined",N64=""),B64+20/24,"")))</f>
        <v/>
      </c>
      <c r="H64" s="19" t="inlineStr">
        <is>
          <t>Chetan</t>
        </is>
      </c>
      <c r="I64" s="19" t="inlineStr">
        <is>
          <t>Google</t>
        </is>
      </c>
      <c r="J64" s="19" t="inlineStr">
        <is>
          <t>Round1</t>
        </is>
      </c>
      <c r="K64" s="22" t="inlineStr">
        <is>
          <t>+91 9920264452</t>
        </is>
      </c>
      <c r="L64" s="19" t="inlineStr">
        <is>
          <t>&lt;calendly_link&gt;</t>
        </is>
      </c>
      <c r="M64" s="19" t="n"/>
      <c r="N64" s="19" t="n"/>
      <c r="O64" s="19">
        <f>IF(OR(M64="Scheduled on call",M64="Booked on their behalf",N64="Scheduled on call",N64="Booked on their behalf"),"SCHEDULED (call)",IF(OR(M64="Not interested/Declined",N64="Not interested/Declined"),"DECLINED",IF(N64="Escalate to AM","ESCALATED TO LEAD",IF(E64="Ram is handling - no action","N/A",IF(M64="","PENDING CALL 1","IN PROGRESS")))))</f>
        <v/>
      </c>
      <c r="P64" s="19">
        <f>IF(OR('Ram - Digital ToDo'!O64="Scheduled",'Ram - Digital ToDo'!Q64="Scheduled"),"Scheduled within SLA (self-serve)",IF(OR(M64="Scheduled on call",M64="Booked on their behalf",N64="Scheduled on call",N64="Booked on their behalf"),"Scheduled within SLA (call)",IF(OR(M64="Not interested/Declined",N64="Not interested/Declined"),"Declined",IF(N64="Escalate to AM","SLA breach - unresolved","In progress"))))</f>
        <v/>
      </c>
      <c r="Q64" s="19" t="n"/>
    </row>
    <row r="65">
      <c r="A65" s="19" t="inlineStr">
        <is>
          <t>REQ-0064</t>
        </is>
      </c>
      <c r="B65" s="20" t="n">
        <v>44867.82708333333</v>
      </c>
      <c r="C65" s="20">
        <f>B65+1</f>
        <v/>
      </c>
      <c r="D65" s="21">
        <f>(C65-NOW())*24</f>
        <v/>
      </c>
      <c r="E65" s="19">
        <f>IF('Ram - Digital ToDo'!Q65="Escalate to call","CALL NOW",IF('Ram - Digital ToDo'!N65="Bad contact","CALL NOW (digital failed)","Ram is handling - no action"))</f>
        <v/>
      </c>
      <c r="F65" s="19">
        <f>IF(E65="Ram is handling - no action","No action needed",IF(M65="","CALL 1: ring candidate, offer to book on call (Playbook C1)",IF(OR(M65="Scheduled on call",M65="Booked on their behalf"),"DONE: scheduled on call",IF(M65="Not interested/Declined","CLOSED: candidate declined (log + tell lead)",IF(N65="","CALL 2: final attempt (Playbook C2)",IF(OR(N65="Scheduled on call",N65="Booked on their behalf"),"DONE: scheduled on call",IF(N65="Escalate to AM","ESCALATED TO LEAD","Review")))))))</f>
        <v/>
      </c>
      <c r="G65" s="20">
        <f>IF(E65="Ram is handling - no action","",IF(M65="",B65+6/24,IF(AND(M65&lt;&gt;"Scheduled on call",M65&lt;&gt;"Booked on their behalf",M65&lt;&gt;"Not interested/Declined",N65=""),B65+20/24,"")))</f>
        <v/>
      </c>
      <c r="H65" s="19" t="inlineStr">
        <is>
          <t>Chetan</t>
        </is>
      </c>
      <c r="I65" s="19" t="inlineStr">
        <is>
          <t>Google</t>
        </is>
      </c>
      <c r="J65" s="19" t="inlineStr">
        <is>
          <t>Round1</t>
        </is>
      </c>
      <c r="K65" s="22" t="inlineStr">
        <is>
          <t>+91 9920264452</t>
        </is>
      </c>
      <c r="L65" s="19" t="inlineStr">
        <is>
          <t>&lt;calendly_link&gt;</t>
        </is>
      </c>
      <c r="M65" s="19" t="n"/>
      <c r="N65" s="19" t="n"/>
      <c r="O65" s="19">
        <f>IF(OR(M65="Scheduled on call",M65="Booked on their behalf",N65="Scheduled on call",N65="Booked on their behalf"),"SCHEDULED (call)",IF(OR(M65="Not interested/Declined",N65="Not interested/Declined"),"DECLINED",IF(N65="Escalate to AM","ESCALATED TO LEAD",IF(E65="Ram is handling - no action","N/A",IF(M65="","PENDING CALL 1","IN PROGRESS")))))</f>
        <v/>
      </c>
      <c r="P65" s="19">
        <f>IF(OR('Ram - Digital ToDo'!O65="Scheduled",'Ram - Digital ToDo'!Q65="Scheduled"),"Scheduled within SLA (self-serve)",IF(OR(M65="Scheduled on call",M65="Booked on their behalf",N65="Scheduled on call",N65="Booked on their behalf"),"Scheduled within SLA (call)",IF(OR(M65="Not interested/Declined",N65="Not interested/Declined"),"Declined",IF(N65="Escalate to AM","SLA breach - unresolved","In progress"))))</f>
        <v/>
      </c>
      <c r="Q65" s="19" t="n"/>
    </row>
    <row r="66">
      <c r="A66" s="19" t="inlineStr">
        <is>
          <t>REQ-0065</t>
        </is>
      </c>
      <c r="B66" s="20" t="n">
        <v>44867.82708333333</v>
      </c>
      <c r="C66" s="20">
        <f>B66+1</f>
        <v/>
      </c>
      <c r="D66" s="21">
        <f>(C66-NOW())*24</f>
        <v/>
      </c>
      <c r="E66" s="19">
        <f>IF('Ram - Digital ToDo'!Q66="Escalate to call","CALL NOW",IF('Ram - Digital ToDo'!N66="Bad contact","CALL NOW (digital failed)","Ram is handling - no action"))</f>
        <v/>
      </c>
      <c r="F66" s="19">
        <f>IF(E66="Ram is handling - no action","No action needed",IF(M66="","CALL 1: ring candidate, offer to book on call (Playbook C1)",IF(OR(M66="Scheduled on call",M66="Booked on their behalf"),"DONE: scheduled on call",IF(M66="Not interested/Declined","CLOSED: candidate declined (log + tell lead)",IF(N66="","CALL 2: final attempt (Playbook C2)",IF(OR(N66="Scheduled on call",N66="Booked on their behalf"),"DONE: scheduled on call",IF(N66="Escalate to AM","ESCALATED TO LEAD","Review")))))))</f>
        <v/>
      </c>
      <c r="G66" s="20">
        <f>IF(E66="Ram is handling - no action","",IF(M66="",B66+6/24,IF(AND(M66&lt;&gt;"Scheduled on call",M66&lt;&gt;"Booked on their behalf",M66&lt;&gt;"Not interested/Declined",N66=""),B66+20/24,"")))</f>
        <v/>
      </c>
      <c r="H66" s="19" t="inlineStr">
        <is>
          <t>Chetan</t>
        </is>
      </c>
      <c r="I66" s="19" t="inlineStr">
        <is>
          <t>Google</t>
        </is>
      </c>
      <c r="J66" s="19" t="inlineStr">
        <is>
          <t>Round1</t>
        </is>
      </c>
      <c r="K66" s="22" t="inlineStr">
        <is>
          <t>+91 9920264452</t>
        </is>
      </c>
      <c r="L66" s="19" t="inlineStr">
        <is>
          <t>&lt;calendly_link&gt;</t>
        </is>
      </c>
      <c r="M66" s="19" t="n"/>
      <c r="N66" s="19" t="n"/>
      <c r="O66" s="19">
        <f>IF(OR(M66="Scheduled on call",M66="Booked on their behalf",N66="Scheduled on call",N66="Booked on their behalf"),"SCHEDULED (call)",IF(OR(M66="Not interested/Declined",N66="Not interested/Declined"),"DECLINED",IF(N66="Escalate to AM","ESCALATED TO LEAD",IF(E66="Ram is handling - no action","N/A",IF(M66="","PENDING CALL 1","IN PROGRESS")))))</f>
        <v/>
      </c>
      <c r="P66" s="19">
        <f>IF(OR('Ram - Digital ToDo'!O66="Scheduled",'Ram - Digital ToDo'!Q66="Scheduled"),"Scheduled within SLA (self-serve)",IF(OR(M66="Scheduled on call",M66="Booked on their behalf",N66="Scheduled on call",N66="Booked on their behalf"),"Scheduled within SLA (call)",IF(OR(M66="Not interested/Declined",N66="Not interested/Declined"),"Declined",IF(N66="Escalate to AM","SLA breach - unresolved","In progress"))))</f>
        <v/>
      </c>
      <c r="Q66" s="19" t="n"/>
    </row>
    <row r="67">
      <c r="A67" s="19" t="inlineStr">
        <is>
          <t>REQ-0066</t>
        </is>
      </c>
      <c r="B67" s="20" t="n">
        <v>44867.82708333333</v>
      </c>
      <c r="C67" s="20">
        <f>B67+1</f>
        <v/>
      </c>
      <c r="D67" s="21">
        <f>(C67-NOW())*24</f>
        <v/>
      </c>
      <c r="E67" s="19">
        <f>IF('Ram - Digital ToDo'!Q67="Escalate to call","CALL NOW",IF('Ram - Digital ToDo'!N67="Bad contact","CALL NOW (digital failed)","Ram is handling - no action"))</f>
        <v/>
      </c>
      <c r="F67" s="19">
        <f>IF(E67="Ram is handling - no action","No action needed",IF(M67="","CALL 1: ring candidate, offer to book on call (Playbook C1)",IF(OR(M67="Scheduled on call",M67="Booked on their behalf"),"DONE: scheduled on call",IF(M67="Not interested/Declined","CLOSED: candidate declined (log + tell lead)",IF(N67="","CALL 2: final attempt (Playbook C2)",IF(OR(N67="Scheduled on call",N67="Booked on their behalf"),"DONE: scheduled on call",IF(N67="Escalate to AM","ESCALATED TO LEAD","Review")))))))</f>
        <v/>
      </c>
      <c r="G67" s="20">
        <f>IF(E67="Ram is handling - no action","",IF(M67="",B67+6/24,IF(AND(M67&lt;&gt;"Scheduled on call",M67&lt;&gt;"Booked on their behalf",M67&lt;&gt;"Not interested/Declined",N67=""),B67+20/24,"")))</f>
        <v/>
      </c>
      <c r="H67" s="19" t="inlineStr">
        <is>
          <t>Chetan</t>
        </is>
      </c>
      <c r="I67" s="19" t="inlineStr">
        <is>
          <t>Google</t>
        </is>
      </c>
      <c r="J67" s="19" t="inlineStr">
        <is>
          <t>Round1</t>
        </is>
      </c>
      <c r="K67" s="22" t="inlineStr">
        <is>
          <t>+91 9920264452</t>
        </is>
      </c>
      <c r="L67" s="19" t="inlineStr">
        <is>
          <t>&lt;calendly_link&gt;</t>
        </is>
      </c>
      <c r="M67" s="19" t="n"/>
      <c r="N67" s="19" t="n"/>
      <c r="O67" s="19">
        <f>IF(OR(M67="Scheduled on call",M67="Booked on their behalf",N67="Scheduled on call",N67="Booked on their behalf"),"SCHEDULED (call)",IF(OR(M67="Not interested/Declined",N67="Not interested/Declined"),"DECLINED",IF(N67="Escalate to AM","ESCALATED TO LEAD",IF(E67="Ram is handling - no action","N/A",IF(M67="","PENDING CALL 1","IN PROGRESS")))))</f>
        <v/>
      </c>
      <c r="P67" s="19">
        <f>IF(OR('Ram - Digital ToDo'!O67="Scheduled",'Ram - Digital ToDo'!Q67="Scheduled"),"Scheduled within SLA (self-serve)",IF(OR(M67="Scheduled on call",M67="Booked on their behalf",N67="Scheduled on call",N67="Booked on their behalf"),"Scheduled within SLA (call)",IF(OR(M67="Not interested/Declined",N67="Not interested/Declined"),"Declined",IF(N67="Escalate to AM","SLA breach - unresolved","In progress"))))</f>
        <v/>
      </c>
      <c r="Q67" s="19" t="n"/>
    </row>
    <row r="68">
      <c r="A68" s="19" t="inlineStr">
        <is>
          <t>REQ-0067</t>
        </is>
      </c>
      <c r="B68" s="20" t="n">
        <v>44867.82708333333</v>
      </c>
      <c r="C68" s="20">
        <f>B68+1</f>
        <v/>
      </c>
      <c r="D68" s="21">
        <f>(C68-NOW())*24</f>
        <v/>
      </c>
      <c r="E68" s="19">
        <f>IF('Ram - Digital ToDo'!Q68="Escalate to call","CALL NOW",IF('Ram - Digital ToDo'!N68="Bad contact","CALL NOW (digital failed)","Ram is handling - no action"))</f>
        <v/>
      </c>
      <c r="F68" s="19">
        <f>IF(E68="Ram is handling - no action","No action needed",IF(M68="","CALL 1: ring candidate, offer to book on call (Playbook C1)",IF(OR(M68="Scheduled on call",M68="Booked on their behalf"),"DONE: scheduled on call",IF(M68="Not interested/Declined","CLOSED: candidate declined (log + tell lead)",IF(N68="","CALL 2: final attempt (Playbook C2)",IF(OR(N68="Scheduled on call",N68="Booked on their behalf"),"DONE: scheduled on call",IF(N68="Escalate to AM","ESCALATED TO LEAD","Review")))))))</f>
        <v/>
      </c>
      <c r="G68" s="20">
        <f>IF(E68="Ram is handling - no action","",IF(M68="",B68+6/24,IF(AND(M68&lt;&gt;"Scheduled on call",M68&lt;&gt;"Booked on their behalf",M68&lt;&gt;"Not interested/Declined",N68=""),B68+20/24,"")))</f>
        <v/>
      </c>
      <c r="H68" s="19" t="inlineStr">
        <is>
          <t>Chetan</t>
        </is>
      </c>
      <c r="I68" s="19" t="inlineStr">
        <is>
          <t>Google</t>
        </is>
      </c>
      <c r="J68" s="19" t="inlineStr">
        <is>
          <t>Round1</t>
        </is>
      </c>
      <c r="K68" s="22" t="inlineStr">
        <is>
          <t>+91 9920264452</t>
        </is>
      </c>
      <c r="L68" s="19" t="inlineStr">
        <is>
          <t>&lt;calendly_link&gt;</t>
        </is>
      </c>
      <c r="M68" s="19" t="n"/>
      <c r="N68" s="19" t="n"/>
      <c r="O68" s="19">
        <f>IF(OR(M68="Scheduled on call",M68="Booked on their behalf",N68="Scheduled on call",N68="Booked on their behalf"),"SCHEDULED (call)",IF(OR(M68="Not interested/Declined",N68="Not interested/Declined"),"DECLINED",IF(N68="Escalate to AM","ESCALATED TO LEAD",IF(E68="Ram is handling - no action","N/A",IF(M68="","PENDING CALL 1","IN PROGRESS")))))</f>
        <v/>
      </c>
      <c r="P68" s="19">
        <f>IF(OR('Ram - Digital ToDo'!O68="Scheduled",'Ram - Digital ToDo'!Q68="Scheduled"),"Scheduled within SLA (self-serve)",IF(OR(M68="Scheduled on call",M68="Booked on their behalf",N68="Scheduled on call",N68="Booked on their behalf"),"Scheduled within SLA (call)",IF(OR(M68="Not interested/Declined",N68="Not interested/Declined"),"Declined",IF(N68="Escalate to AM","SLA breach - unresolved","In progress"))))</f>
        <v/>
      </c>
      <c r="Q68" s="19" t="n"/>
    </row>
    <row r="69">
      <c r="A69" s="19" t="inlineStr">
        <is>
          <t>REQ-0068</t>
        </is>
      </c>
      <c r="B69" s="20" t="n">
        <v>44867.82708333333</v>
      </c>
      <c r="C69" s="20">
        <f>B69+1</f>
        <v/>
      </c>
      <c r="D69" s="21">
        <f>(C69-NOW())*24</f>
        <v/>
      </c>
      <c r="E69" s="19">
        <f>IF('Ram - Digital ToDo'!Q69="Escalate to call","CALL NOW",IF('Ram - Digital ToDo'!N69="Bad contact","CALL NOW (digital failed)","Ram is handling - no action"))</f>
        <v/>
      </c>
      <c r="F69" s="19">
        <f>IF(E69="Ram is handling - no action","No action needed",IF(M69="","CALL 1: ring candidate, offer to book on call (Playbook C1)",IF(OR(M69="Scheduled on call",M69="Booked on their behalf"),"DONE: scheduled on call",IF(M69="Not interested/Declined","CLOSED: candidate declined (log + tell lead)",IF(N69="","CALL 2: final attempt (Playbook C2)",IF(OR(N69="Scheduled on call",N69="Booked on their behalf"),"DONE: scheduled on call",IF(N69="Escalate to AM","ESCALATED TO LEAD","Review")))))))</f>
        <v/>
      </c>
      <c r="G69" s="20">
        <f>IF(E69="Ram is handling - no action","",IF(M69="",B69+6/24,IF(AND(M69&lt;&gt;"Scheduled on call",M69&lt;&gt;"Booked on their behalf",M69&lt;&gt;"Not interested/Declined",N69=""),B69+20/24,"")))</f>
        <v/>
      </c>
      <c r="H69" s="19" t="inlineStr">
        <is>
          <t>Chetan</t>
        </is>
      </c>
      <c r="I69" s="19" t="inlineStr">
        <is>
          <t>Google</t>
        </is>
      </c>
      <c r="J69" s="19" t="inlineStr">
        <is>
          <t>Round1</t>
        </is>
      </c>
      <c r="K69" s="22" t="inlineStr">
        <is>
          <t>+91 9920264452</t>
        </is>
      </c>
      <c r="L69" s="19" t="inlineStr">
        <is>
          <t>&lt;calendly_link&gt;</t>
        </is>
      </c>
      <c r="M69" s="19" t="n"/>
      <c r="N69" s="19" t="n"/>
      <c r="O69" s="19">
        <f>IF(OR(M69="Scheduled on call",M69="Booked on their behalf",N69="Scheduled on call",N69="Booked on their behalf"),"SCHEDULED (call)",IF(OR(M69="Not interested/Declined",N69="Not interested/Declined"),"DECLINED",IF(N69="Escalate to AM","ESCALATED TO LEAD",IF(E69="Ram is handling - no action","N/A",IF(M69="","PENDING CALL 1","IN PROGRESS")))))</f>
        <v/>
      </c>
      <c r="P69" s="19">
        <f>IF(OR('Ram - Digital ToDo'!O69="Scheduled",'Ram - Digital ToDo'!Q69="Scheduled"),"Scheduled within SLA (self-serve)",IF(OR(M69="Scheduled on call",M69="Booked on their behalf",N69="Scheduled on call",N69="Booked on their behalf"),"Scheduled within SLA (call)",IF(OR(M69="Not interested/Declined",N69="Not interested/Declined"),"Declined",IF(N69="Escalate to AM","SLA breach - unresolved","In progress"))))</f>
        <v/>
      </c>
      <c r="Q69" s="19" t="n"/>
    </row>
    <row r="70">
      <c r="A70" s="19" t="inlineStr">
        <is>
          <t>REQ-0069</t>
        </is>
      </c>
      <c r="B70" s="20" t="n">
        <v>44867.82708333333</v>
      </c>
      <c r="C70" s="20">
        <f>B70+1</f>
        <v/>
      </c>
      <c r="D70" s="21">
        <f>(C70-NOW())*24</f>
        <v/>
      </c>
      <c r="E70" s="19">
        <f>IF('Ram - Digital ToDo'!Q70="Escalate to call","CALL NOW",IF('Ram - Digital ToDo'!N70="Bad contact","CALL NOW (digital failed)","Ram is handling - no action"))</f>
        <v/>
      </c>
      <c r="F70" s="19">
        <f>IF(E70="Ram is handling - no action","No action needed",IF(M70="","CALL 1: ring candidate, offer to book on call (Playbook C1)",IF(OR(M70="Scheduled on call",M70="Booked on their behalf"),"DONE: scheduled on call",IF(M70="Not interested/Declined","CLOSED: candidate declined (log + tell lead)",IF(N70="","CALL 2: final attempt (Playbook C2)",IF(OR(N70="Scheduled on call",N70="Booked on their behalf"),"DONE: scheduled on call",IF(N70="Escalate to AM","ESCALATED TO LEAD","Review")))))))</f>
        <v/>
      </c>
      <c r="G70" s="20">
        <f>IF(E70="Ram is handling - no action","",IF(M70="",B70+6/24,IF(AND(M70&lt;&gt;"Scheduled on call",M70&lt;&gt;"Booked on their behalf",M70&lt;&gt;"Not interested/Declined",N70=""),B70+20/24,"")))</f>
        <v/>
      </c>
      <c r="H70" s="19" t="inlineStr">
        <is>
          <t>Chetan</t>
        </is>
      </c>
      <c r="I70" s="19" t="inlineStr">
        <is>
          <t>Google</t>
        </is>
      </c>
      <c r="J70" s="19" t="inlineStr">
        <is>
          <t>Round1</t>
        </is>
      </c>
      <c r="K70" s="22" t="inlineStr">
        <is>
          <t>+91 9920264452</t>
        </is>
      </c>
      <c r="L70" s="19" t="inlineStr">
        <is>
          <t>&lt;calendly_link&gt;</t>
        </is>
      </c>
      <c r="M70" s="19" t="n"/>
      <c r="N70" s="19" t="n"/>
      <c r="O70" s="19">
        <f>IF(OR(M70="Scheduled on call",M70="Booked on their behalf",N70="Scheduled on call",N70="Booked on their behalf"),"SCHEDULED (call)",IF(OR(M70="Not interested/Declined",N70="Not interested/Declined"),"DECLINED",IF(N70="Escalate to AM","ESCALATED TO LEAD",IF(E70="Ram is handling - no action","N/A",IF(M70="","PENDING CALL 1","IN PROGRESS")))))</f>
        <v/>
      </c>
      <c r="P70" s="19">
        <f>IF(OR('Ram - Digital ToDo'!O70="Scheduled",'Ram - Digital ToDo'!Q70="Scheduled"),"Scheduled within SLA (self-serve)",IF(OR(M70="Scheduled on call",M70="Booked on their behalf",N70="Scheduled on call",N70="Booked on their behalf"),"Scheduled within SLA (call)",IF(OR(M70="Not interested/Declined",N70="Not interested/Declined"),"Declined",IF(N70="Escalate to AM","SLA breach - unresolved","In progress"))))</f>
        <v/>
      </c>
      <c r="Q70" s="19" t="n"/>
    </row>
    <row r="71">
      <c r="A71" s="19" t="inlineStr">
        <is>
          <t>REQ-0070</t>
        </is>
      </c>
      <c r="B71" s="20" t="n">
        <v>44867.82708333333</v>
      </c>
      <c r="C71" s="20">
        <f>B71+1</f>
        <v/>
      </c>
      <c r="D71" s="21">
        <f>(C71-NOW())*24</f>
        <v/>
      </c>
      <c r="E71" s="19">
        <f>IF('Ram - Digital ToDo'!Q71="Escalate to call","CALL NOW",IF('Ram - Digital ToDo'!N71="Bad contact","CALL NOW (digital failed)","Ram is handling - no action"))</f>
        <v/>
      </c>
      <c r="F71" s="19">
        <f>IF(E71="Ram is handling - no action","No action needed",IF(M71="","CALL 1: ring candidate, offer to book on call (Playbook C1)",IF(OR(M71="Scheduled on call",M71="Booked on their behalf"),"DONE: scheduled on call",IF(M71="Not interested/Declined","CLOSED: candidate declined (log + tell lead)",IF(N71="","CALL 2: final attempt (Playbook C2)",IF(OR(N71="Scheduled on call",N71="Booked on their behalf"),"DONE: scheduled on call",IF(N71="Escalate to AM","ESCALATED TO LEAD","Review")))))))</f>
        <v/>
      </c>
      <c r="G71" s="20">
        <f>IF(E71="Ram is handling - no action","",IF(M71="",B71+6/24,IF(AND(M71&lt;&gt;"Scheduled on call",M71&lt;&gt;"Booked on their behalf",M71&lt;&gt;"Not interested/Declined",N71=""),B71+20/24,"")))</f>
        <v/>
      </c>
      <c r="H71" s="19" t="inlineStr">
        <is>
          <t>Chetan</t>
        </is>
      </c>
      <c r="I71" s="19" t="inlineStr">
        <is>
          <t>Google</t>
        </is>
      </c>
      <c r="J71" s="19" t="inlineStr">
        <is>
          <t>Round1</t>
        </is>
      </c>
      <c r="K71" s="22" t="inlineStr">
        <is>
          <t>+91 9920264452</t>
        </is>
      </c>
      <c r="L71" s="19" t="inlineStr">
        <is>
          <t>&lt;calendly_link&gt;</t>
        </is>
      </c>
      <c r="M71" s="19" t="n"/>
      <c r="N71" s="19" t="n"/>
      <c r="O71" s="19">
        <f>IF(OR(M71="Scheduled on call",M71="Booked on their behalf",N71="Scheduled on call",N71="Booked on their behalf"),"SCHEDULED (call)",IF(OR(M71="Not interested/Declined",N71="Not interested/Declined"),"DECLINED",IF(N71="Escalate to AM","ESCALATED TO LEAD",IF(E71="Ram is handling - no action","N/A",IF(M71="","PENDING CALL 1","IN PROGRESS")))))</f>
        <v/>
      </c>
      <c r="P71" s="19">
        <f>IF(OR('Ram - Digital ToDo'!O71="Scheduled",'Ram - Digital ToDo'!Q71="Scheduled"),"Scheduled within SLA (self-serve)",IF(OR(M71="Scheduled on call",M71="Booked on their behalf",N71="Scheduled on call",N71="Booked on their behalf"),"Scheduled within SLA (call)",IF(OR(M71="Not interested/Declined",N71="Not interested/Declined"),"Declined",IF(N71="Escalate to AM","SLA breach - unresolved","In progress"))))</f>
        <v/>
      </c>
      <c r="Q71" s="19" t="n"/>
    </row>
    <row r="72">
      <c r="A72" s="19" t="inlineStr">
        <is>
          <t>REQ-0071</t>
        </is>
      </c>
      <c r="B72" s="20" t="n">
        <v>44867.82708333333</v>
      </c>
      <c r="C72" s="20">
        <f>B72+1</f>
        <v/>
      </c>
      <c r="D72" s="21">
        <f>(C72-NOW())*24</f>
        <v/>
      </c>
      <c r="E72" s="19">
        <f>IF('Ram - Digital ToDo'!Q72="Escalate to call","CALL NOW",IF('Ram - Digital ToDo'!N72="Bad contact","CALL NOW (digital failed)","Ram is handling - no action"))</f>
        <v/>
      </c>
      <c r="F72" s="19">
        <f>IF(E72="Ram is handling - no action","No action needed",IF(M72="","CALL 1: ring candidate, offer to book on call (Playbook C1)",IF(OR(M72="Scheduled on call",M72="Booked on their behalf"),"DONE: scheduled on call",IF(M72="Not interested/Declined","CLOSED: candidate declined (log + tell lead)",IF(N72="","CALL 2: final attempt (Playbook C2)",IF(OR(N72="Scheduled on call",N72="Booked on their behalf"),"DONE: scheduled on call",IF(N72="Escalate to AM","ESCALATED TO LEAD","Review")))))))</f>
        <v/>
      </c>
      <c r="G72" s="20">
        <f>IF(E72="Ram is handling - no action","",IF(M72="",B72+6/24,IF(AND(M72&lt;&gt;"Scheduled on call",M72&lt;&gt;"Booked on their behalf",M72&lt;&gt;"Not interested/Declined",N72=""),B72+20/24,"")))</f>
        <v/>
      </c>
      <c r="H72" s="19" t="inlineStr">
        <is>
          <t>Chetan</t>
        </is>
      </c>
      <c r="I72" s="19" t="inlineStr">
        <is>
          <t>Google</t>
        </is>
      </c>
      <c r="J72" s="19" t="inlineStr">
        <is>
          <t>Round1</t>
        </is>
      </c>
      <c r="K72" s="22" t="inlineStr">
        <is>
          <t>+91 9920264452</t>
        </is>
      </c>
      <c r="L72" s="19" t="inlineStr">
        <is>
          <t>&lt;calendly_link&gt;</t>
        </is>
      </c>
      <c r="M72" s="19" t="n"/>
      <c r="N72" s="19" t="n"/>
      <c r="O72" s="19">
        <f>IF(OR(M72="Scheduled on call",M72="Booked on their behalf",N72="Scheduled on call",N72="Booked on their behalf"),"SCHEDULED (call)",IF(OR(M72="Not interested/Declined",N72="Not interested/Declined"),"DECLINED",IF(N72="Escalate to AM","ESCALATED TO LEAD",IF(E72="Ram is handling - no action","N/A",IF(M72="","PENDING CALL 1","IN PROGRESS")))))</f>
        <v/>
      </c>
      <c r="P72" s="19">
        <f>IF(OR('Ram - Digital ToDo'!O72="Scheduled",'Ram - Digital ToDo'!Q72="Scheduled"),"Scheduled within SLA (self-serve)",IF(OR(M72="Scheduled on call",M72="Booked on their behalf",N72="Scheduled on call",N72="Booked on their behalf"),"Scheduled within SLA (call)",IF(OR(M72="Not interested/Declined",N72="Not interested/Declined"),"Declined",IF(N72="Escalate to AM","SLA breach - unresolved","In progress"))))</f>
        <v/>
      </c>
      <c r="Q72" s="19" t="n"/>
    </row>
    <row r="73">
      <c r="A73" s="19" t="inlineStr">
        <is>
          <t>REQ-0072</t>
        </is>
      </c>
      <c r="B73" s="20" t="n">
        <v>44867.82708333333</v>
      </c>
      <c r="C73" s="20">
        <f>B73+1</f>
        <v/>
      </c>
      <c r="D73" s="21">
        <f>(C73-NOW())*24</f>
        <v/>
      </c>
      <c r="E73" s="19">
        <f>IF('Ram - Digital ToDo'!Q73="Escalate to call","CALL NOW",IF('Ram - Digital ToDo'!N73="Bad contact","CALL NOW (digital failed)","Ram is handling - no action"))</f>
        <v/>
      </c>
      <c r="F73" s="19">
        <f>IF(E73="Ram is handling - no action","No action needed",IF(M73="","CALL 1: ring candidate, offer to book on call (Playbook C1)",IF(OR(M73="Scheduled on call",M73="Booked on their behalf"),"DONE: scheduled on call",IF(M73="Not interested/Declined","CLOSED: candidate declined (log + tell lead)",IF(N73="","CALL 2: final attempt (Playbook C2)",IF(OR(N73="Scheduled on call",N73="Booked on their behalf"),"DONE: scheduled on call",IF(N73="Escalate to AM","ESCALATED TO LEAD","Review")))))))</f>
        <v/>
      </c>
      <c r="G73" s="20">
        <f>IF(E73="Ram is handling - no action","",IF(M73="",B73+6/24,IF(AND(M73&lt;&gt;"Scheduled on call",M73&lt;&gt;"Booked on their behalf",M73&lt;&gt;"Not interested/Declined",N73=""),B73+20/24,"")))</f>
        <v/>
      </c>
      <c r="H73" s="19" t="inlineStr">
        <is>
          <t>Chetan</t>
        </is>
      </c>
      <c r="I73" s="19" t="inlineStr">
        <is>
          <t>Google</t>
        </is>
      </c>
      <c r="J73" s="19" t="inlineStr">
        <is>
          <t>Round1</t>
        </is>
      </c>
      <c r="K73" s="22" t="inlineStr">
        <is>
          <t>+91 9920264452</t>
        </is>
      </c>
      <c r="L73" s="19" t="inlineStr">
        <is>
          <t>&lt;calendly_link&gt;</t>
        </is>
      </c>
      <c r="M73" s="19" t="n"/>
      <c r="N73" s="19" t="n"/>
      <c r="O73" s="19">
        <f>IF(OR(M73="Scheduled on call",M73="Booked on their behalf",N73="Scheduled on call",N73="Booked on their behalf"),"SCHEDULED (call)",IF(OR(M73="Not interested/Declined",N73="Not interested/Declined"),"DECLINED",IF(N73="Escalate to AM","ESCALATED TO LEAD",IF(E73="Ram is handling - no action","N/A",IF(M73="","PENDING CALL 1","IN PROGRESS")))))</f>
        <v/>
      </c>
      <c r="P73" s="19">
        <f>IF(OR('Ram - Digital ToDo'!O73="Scheduled",'Ram - Digital ToDo'!Q73="Scheduled"),"Scheduled within SLA (self-serve)",IF(OR(M73="Scheduled on call",M73="Booked on their behalf",N73="Scheduled on call",N73="Booked on their behalf"),"Scheduled within SLA (call)",IF(OR(M73="Not interested/Declined",N73="Not interested/Declined"),"Declined",IF(N73="Escalate to AM","SLA breach - unresolved","In progress"))))</f>
        <v/>
      </c>
      <c r="Q73" s="19" t="n"/>
    </row>
    <row r="74">
      <c r="A74" s="19" t="inlineStr">
        <is>
          <t>REQ-0073</t>
        </is>
      </c>
      <c r="B74" s="20" t="n">
        <v>44867.82708333333</v>
      </c>
      <c r="C74" s="20">
        <f>B74+1</f>
        <v/>
      </c>
      <c r="D74" s="21">
        <f>(C74-NOW())*24</f>
        <v/>
      </c>
      <c r="E74" s="19">
        <f>IF('Ram - Digital ToDo'!Q74="Escalate to call","CALL NOW",IF('Ram - Digital ToDo'!N74="Bad contact","CALL NOW (digital failed)","Ram is handling - no action"))</f>
        <v/>
      </c>
      <c r="F74" s="19">
        <f>IF(E74="Ram is handling - no action","No action needed",IF(M74="","CALL 1: ring candidate, offer to book on call (Playbook C1)",IF(OR(M74="Scheduled on call",M74="Booked on their behalf"),"DONE: scheduled on call",IF(M74="Not interested/Declined","CLOSED: candidate declined (log + tell lead)",IF(N74="","CALL 2: final attempt (Playbook C2)",IF(OR(N74="Scheduled on call",N74="Booked on their behalf"),"DONE: scheduled on call",IF(N74="Escalate to AM","ESCALATED TO LEAD","Review")))))))</f>
        <v/>
      </c>
      <c r="G74" s="20">
        <f>IF(E74="Ram is handling - no action","",IF(M74="",B74+6/24,IF(AND(M74&lt;&gt;"Scheduled on call",M74&lt;&gt;"Booked on their behalf",M74&lt;&gt;"Not interested/Declined",N74=""),B74+20/24,"")))</f>
        <v/>
      </c>
      <c r="H74" s="19" t="inlineStr">
        <is>
          <t>Chetan</t>
        </is>
      </c>
      <c r="I74" s="19" t="inlineStr">
        <is>
          <t>Google</t>
        </is>
      </c>
      <c r="J74" s="19" t="inlineStr">
        <is>
          <t>Round1</t>
        </is>
      </c>
      <c r="K74" s="22" t="inlineStr">
        <is>
          <t>+91 9920264452</t>
        </is>
      </c>
      <c r="L74" s="19" t="inlineStr">
        <is>
          <t>&lt;calendly_link&gt;</t>
        </is>
      </c>
      <c r="M74" s="19" t="n"/>
      <c r="N74" s="19" t="n"/>
      <c r="O74" s="19">
        <f>IF(OR(M74="Scheduled on call",M74="Booked on their behalf",N74="Scheduled on call",N74="Booked on their behalf"),"SCHEDULED (call)",IF(OR(M74="Not interested/Declined",N74="Not interested/Declined"),"DECLINED",IF(N74="Escalate to AM","ESCALATED TO LEAD",IF(E74="Ram is handling - no action","N/A",IF(M74="","PENDING CALL 1","IN PROGRESS")))))</f>
        <v/>
      </c>
      <c r="P74" s="19">
        <f>IF(OR('Ram - Digital ToDo'!O74="Scheduled",'Ram - Digital ToDo'!Q74="Scheduled"),"Scheduled within SLA (self-serve)",IF(OR(M74="Scheduled on call",M74="Booked on their behalf",N74="Scheduled on call",N74="Booked on their behalf"),"Scheduled within SLA (call)",IF(OR(M74="Not interested/Declined",N74="Not interested/Declined"),"Declined",IF(N74="Escalate to AM","SLA breach - unresolved","In progress"))))</f>
        <v/>
      </c>
      <c r="Q74" s="19" t="n"/>
    </row>
    <row r="75">
      <c r="A75" s="19" t="inlineStr">
        <is>
          <t>REQ-0074</t>
        </is>
      </c>
      <c r="B75" s="20" t="n">
        <v>44867.82708333333</v>
      </c>
      <c r="C75" s="20">
        <f>B75+1</f>
        <v/>
      </c>
      <c r="D75" s="21">
        <f>(C75-NOW())*24</f>
        <v/>
      </c>
      <c r="E75" s="19">
        <f>IF('Ram - Digital ToDo'!Q75="Escalate to call","CALL NOW",IF('Ram - Digital ToDo'!N75="Bad contact","CALL NOW (digital failed)","Ram is handling - no action"))</f>
        <v/>
      </c>
      <c r="F75" s="19">
        <f>IF(E75="Ram is handling - no action","No action needed",IF(M75="","CALL 1: ring candidate, offer to book on call (Playbook C1)",IF(OR(M75="Scheduled on call",M75="Booked on their behalf"),"DONE: scheduled on call",IF(M75="Not interested/Declined","CLOSED: candidate declined (log + tell lead)",IF(N75="","CALL 2: final attempt (Playbook C2)",IF(OR(N75="Scheduled on call",N75="Booked on their behalf"),"DONE: scheduled on call",IF(N75="Escalate to AM","ESCALATED TO LEAD","Review")))))))</f>
        <v/>
      </c>
      <c r="G75" s="20">
        <f>IF(E75="Ram is handling - no action","",IF(M75="",B75+6/24,IF(AND(M75&lt;&gt;"Scheduled on call",M75&lt;&gt;"Booked on their behalf",M75&lt;&gt;"Not interested/Declined",N75=""),B75+20/24,"")))</f>
        <v/>
      </c>
      <c r="H75" s="19" t="inlineStr">
        <is>
          <t>Chetan</t>
        </is>
      </c>
      <c r="I75" s="19" t="inlineStr">
        <is>
          <t>Google</t>
        </is>
      </c>
      <c r="J75" s="19" t="inlineStr">
        <is>
          <t>Round1</t>
        </is>
      </c>
      <c r="K75" s="22" t="inlineStr">
        <is>
          <t>+91 9920264452</t>
        </is>
      </c>
      <c r="L75" s="19" t="inlineStr">
        <is>
          <t>&lt;calendly_link&gt;</t>
        </is>
      </c>
      <c r="M75" s="19" t="n"/>
      <c r="N75" s="19" t="n"/>
      <c r="O75" s="19">
        <f>IF(OR(M75="Scheduled on call",M75="Booked on their behalf",N75="Scheduled on call",N75="Booked on their behalf"),"SCHEDULED (call)",IF(OR(M75="Not interested/Declined",N75="Not interested/Declined"),"DECLINED",IF(N75="Escalate to AM","ESCALATED TO LEAD",IF(E75="Ram is handling - no action","N/A",IF(M75="","PENDING CALL 1","IN PROGRESS")))))</f>
        <v/>
      </c>
      <c r="P75" s="19">
        <f>IF(OR('Ram - Digital ToDo'!O75="Scheduled",'Ram - Digital ToDo'!Q75="Scheduled"),"Scheduled within SLA (self-serve)",IF(OR(M75="Scheduled on call",M75="Booked on their behalf",N75="Scheduled on call",N75="Booked on their behalf"),"Scheduled within SLA (call)",IF(OR(M75="Not interested/Declined",N75="Not interested/Declined"),"Declined",IF(N75="Escalate to AM","SLA breach - unresolved","In progress"))))</f>
        <v/>
      </c>
      <c r="Q75" s="19" t="n"/>
    </row>
    <row r="76">
      <c r="A76" s="19" t="inlineStr">
        <is>
          <t>REQ-0075</t>
        </is>
      </c>
      <c r="B76" s="20" t="n">
        <v>44867.82708333333</v>
      </c>
      <c r="C76" s="20">
        <f>B76+1</f>
        <v/>
      </c>
      <c r="D76" s="21">
        <f>(C76-NOW())*24</f>
        <v/>
      </c>
      <c r="E76" s="19">
        <f>IF('Ram - Digital ToDo'!Q76="Escalate to call","CALL NOW",IF('Ram - Digital ToDo'!N76="Bad contact","CALL NOW (digital failed)","Ram is handling - no action"))</f>
        <v/>
      </c>
      <c r="F76" s="19">
        <f>IF(E76="Ram is handling - no action","No action needed",IF(M76="","CALL 1: ring candidate, offer to book on call (Playbook C1)",IF(OR(M76="Scheduled on call",M76="Booked on their behalf"),"DONE: scheduled on call",IF(M76="Not interested/Declined","CLOSED: candidate declined (log + tell lead)",IF(N76="","CALL 2: final attempt (Playbook C2)",IF(OR(N76="Scheduled on call",N76="Booked on their behalf"),"DONE: scheduled on call",IF(N76="Escalate to AM","ESCALATED TO LEAD","Review")))))))</f>
        <v/>
      </c>
      <c r="G76" s="20">
        <f>IF(E76="Ram is handling - no action","",IF(M76="",B76+6/24,IF(AND(M76&lt;&gt;"Scheduled on call",M76&lt;&gt;"Booked on their behalf",M76&lt;&gt;"Not interested/Declined",N76=""),B76+20/24,"")))</f>
        <v/>
      </c>
      <c r="H76" s="19" t="inlineStr">
        <is>
          <t>Chetan</t>
        </is>
      </c>
      <c r="I76" s="19" t="inlineStr">
        <is>
          <t>Google</t>
        </is>
      </c>
      <c r="J76" s="19" t="inlineStr">
        <is>
          <t>Round1</t>
        </is>
      </c>
      <c r="K76" s="22" t="inlineStr">
        <is>
          <t>+91 9920264452</t>
        </is>
      </c>
      <c r="L76" s="19" t="inlineStr">
        <is>
          <t>&lt;calendly_link&gt;</t>
        </is>
      </c>
      <c r="M76" s="19" t="n"/>
      <c r="N76" s="19" t="n"/>
      <c r="O76" s="19">
        <f>IF(OR(M76="Scheduled on call",M76="Booked on their behalf",N76="Scheduled on call",N76="Booked on their behalf"),"SCHEDULED (call)",IF(OR(M76="Not interested/Declined",N76="Not interested/Declined"),"DECLINED",IF(N76="Escalate to AM","ESCALATED TO LEAD",IF(E76="Ram is handling - no action","N/A",IF(M76="","PENDING CALL 1","IN PROGRESS")))))</f>
        <v/>
      </c>
      <c r="P76" s="19">
        <f>IF(OR('Ram - Digital ToDo'!O76="Scheduled",'Ram - Digital ToDo'!Q76="Scheduled"),"Scheduled within SLA (self-serve)",IF(OR(M76="Scheduled on call",M76="Booked on their behalf",N76="Scheduled on call",N76="Booked on their behalf"),"Scheduled within SLA (call)",IF(OR(M76="Not interested/Declined",N76="Not interested/Declined"),"Declined",IF(N76="Escalate to AM","SLA breach - unresolved","In progress"))))</f>
        <v/>
      </c>
      <c r="Q76" s="19" t="n"/>
    </row>
    <row r="77">
      <c r="A77" s="19" t="inlineStr">
        <is>
          <t>REQ-0076</t>
        </is>
      </c>
      <c r="B77" s="20" t="n">
        <v>44867.82708333333</v>
      </c>
      <c r="C77" s="20">
        <f>B77+1</f>
        <v/>
      </c>
      <c r="D77" s="21">
        <f>(C77-NOW())*24</f>
        <v/>
      </c>
      <c r="E77" s="19">
        <f>IF('Ram - Digital ToDo'!Q77="Escalate to call","CALL NOW",IF('Ram - Digital ToDo'!N77="Bad contact","CALL NOW (digital failed)","Ram is handling - no action"))</f>
        <v/>
      </c>
      <c r="F77" s="19">
        <f>IF(E77="Ram is handling - no action","No action needed",IF(M77="","CALL 1: ring candidate, offer to book on call (Playbook C1)",IF(OR(M77="Scheduled on call",M77="Booked on their behalf"),"DONE: scheduled on call",IF(M77="Not interested/Declined","CLOSED: candidate declined (log + tell lead)",IF(N77="","CALL 2: final attempt (Playbook C2)",IF(OR(N77="Scheduled on call",N77="Booked on their behalf"),"DONE: scheduled on call",IF(N77="Escalate to AM","ESCALATED TO LEAD","Review")))))))</f>
        <v/>
      </c>
      <c r="G77" s="20">
        <f>IF(E77="Ram is handling - no action","",IF(M77="",B77+6/24,IF(AND(M77&lt;&gt;"Scheduled on call",M77&lt;&gt;"Booked on their behalf",M77&lt;&gt;"Not interested/Declined",N77=""),B77+20/24,"")))</f>
        <v/>
      </c>
      <c r="H77" s="19" t="inlineStr">
        <is>
          <t>Chetan</t>
        </is>
      </c>
      <c r="I77" s="19" t="inlineStr">
        <is>
          <t>Google</t>
        </is>
      </c>
      <c r="J77" s="19" t="inlineStr">
        <is>
          <t>Round1</t>
        </is>
      </c>
      <c r="K77" s="22" t="inlineStr">
        <is>
          <t>+91 9920264452</t>
        </is>
      </c>
      <c r="L77" s="19" t="inlineStr">
        <is>
          <t>&lt;calendly_link&gt;</t>
        </is>
      </c>
      <c r="M77" s="19" t="n"/>
      <c r="N77" s="19" t="n"/>
      <c r="O77" s="19">
        <f>IF(OR(M77="Scheduled on call",M77="Booked on their behalf",N77="Scheduled on call",N77="Booked on their behalf"),"SCHEDULED (call)",IF(OR(M77="Not interested/Declined",N77="Not interested/Declined"),"DECLINED",IF(N77="Escalate to AM","ESCALATED TO LEAD",IF(E77="Ram is handling - no action","N/A",IF(M77="","PENDING CALL 1","IN PROGRESS")))))</f>
        <v/>
      </c>
      <c r="P77" s="19">
        <f>IF(OR('Ram - Digital ToDo'!O77="Scheduled",'Ram - Digital ToDo'!Q77="Scheduled"),"Scheduled within SLA (self-serve)",IF(OR(M77="Scheduled on call",M77="Booked on their behalf",N77="Scheduled on call",N77="Booked on their behalf"),"Scheduled within SLA (call)",IF(OR(M77="Not interested/Declined",N77="Not interested/Declined"),"Declined",IF(N77="Escalate to AM","SLA breach - unresolved","In progress"))))</f>
        <v/>
      </c>
      <c r="Q77" s="19" t="n"/>
    </row>
    <row r="78">
      <c r="A78" s="19" t="inlineStr">
        <is>
          <t>REQ-0077</t>
        </is>
      </c>
      <c r="B78" s="20" t="n">
        <v>44867.82708333333</v>
      </c>
      <c r="C78" s="20">
        <f>B78+1</f>
        <v/>
      </c>
      <c r="D78" s="21">
        <f>(C78-NOW())*24</f>
        <v/>
      </c>
      <c r="E78" s="19">
        <f>IF('Ram - Digital ToDo'!Q78="Escalate to call","CALL NOW",IF('Ram - Digital ToDo'!N78="Bad contact","CALL NOW (digital failed)","Ram is handling - no action"))</f>
        <v/>
      </c>
      <c r="F78" s="19">
        <f>IF(E78="Ram is handling - no action","No action needed",IF(M78="","CALL 1: ring candidate, offer to book on call (Playbook C1)",IF(OR(M78="Scheduled on call",M78="Booked on their behalf"),"DONE: scheduled on call",IF(M78="Not interested/Declined","CLOSED: candidate declined (log + tell lead)",IF(N78="","CALL 2: final attempt (Playbook C2)",IF(OR(N78="Scheduled on call",N78="Booked on their behalf"),"DONE: scheduled on call",IF(N78="Escalate to AM","ESCALATED TO LEAD","Review")))))))</f>
        <v/>
      </c>
      <c r="G78" s="20">
        <f>IF(E78="Ram is handling - no action","",IF(M78="",B78+6/24,IF(AND(M78&lt;&gt;"Scheduled on call",M78&lt;&gt;"Booked on their behalf",M78&lt;&gt;"Not interested/Declined",N78=""),B78+20/24,"")))</f>
        <v/>
      </c>
      <c r="H78" s="19" t="inlineStr">
        <is>
          <t>Chetan</t>
        </is>
      </c>
      <c r="I78" s="19" t="inlineStr">
        <is>
          <t>Google</t>
        </is>
      </c>
      <c r="J78" s="19" t="inlineStr">
        <is>
          <t>Round1</t>
        </is>
      </c>
      <c r="K78" s="22" t="inlineStr">
        <is>
          <t>+91 9920264452</t>
        </is>
      </c>
      <c r="L78" s="19" t="inlineStr">
        <is>
          <t>&lt;calendly_link&gt;</t>
        </is>
      </c>
      <c r="M78" s="19" t="n"/>
      <c r="N78" s="19" t="n"/>
      <c r="O78" s="19">
        <f>IF(OR(M78="Scheduled on call",M78="Booked on their behalf",N78="Scheduled on call",N78="Booked on their behalf"),"SCHEDULED (call)",IF(OR(M78="Not interested/Declined",N78="Not interested/Declined"),"DECLINED",IF(N78="Escalate to AM","ESCALATED TO LEAD",IF(E78="Ram is handling - no action","N/A",IF(M78="","PENDING CALL 1","IN PROGRESS")))))</f>
        <v/>
      </c>
      <c r="P78" s="19">
        <f>IF(OR('Ram - Digital ToDo'!O78="Scheduled",'Ram - Digital ToDo'!Q78="Scheduled"),"Scheduled within SLA (self-serve)",IF(OR(M78="Scheduled on call",M78="Booked on their behalf",N78="Scheduled on call",N78="Booked on their behalf"),"Scheduled within SLA (call)",IF(OR(M78="Not interested/Declined",N78="Not interested/Declined"),"Declined",IF(N78="Escalate to AM","SLA breach - unresolved","In progress"))))</f>
        <v/>
      </c>
      <c r="Q78" s="19" t="n"/>
    </row>
    <row r="79">
      <c r="A79" s="19" t="inlineStr">
        <is>
          <t>REQ-0078</t>
        </is>
      </c>
      <c r="B79" s="20" t="n">
        <v>44867.82708333333</v>
      </c>
      <c r="C79" s="20">
        <f>B79+1</f>
        <v/>
      </c>
      <c r="D79" s="21">
        <f>(C79-NOW())*24</f>
        <v/>
      </c>
      <c r="E79" s="19">
        <f>IF('Ram - Digital ToDo'!Q79="Escalate to call","CALL NOW",IF('Ram - Digital ToDo'!N79="Bad contact","CALL NOW (digital failed)","Ram is handling - no action"))</f>
        <v/>
      </c>
      <c r="F79" s="19">
        <f>IF(E79="Ram is handling - no action","No action needed",IF(M79="","CALL 1: ring candidate, offer to book on call (Playbook C1)",IF(OR(M79="Scheduled on call",M79="Booked on their behalf"),"DONE: scheduled on call",IF(M79="Not interested/Declined","CLOSED: candidate declined (log + tell lead)",IF(N79="","CALL 2: final attempt (Playbook C2)",IF(OR(N79="Scheduled on call",N79="Booked on their behalf"),"DONE: scheduled on call",IF(N79="Escalate to AM","ESCALATED TO LEAD","Review")))))))</f>
        <v/>
      </c>
      <c r="G79" s="20">
        <f>IF(E79="Ram is handling - no action","",IF(M79="",B79+6/24,IF(AND(M79&lt;&gt;"Scheduled on call",M79&lt;&gt;"Booked on their behalf",M79&lt;&gt;"Not interested/Declined",N79=""),B79+20/24,"")))</f>
        <v/>
      </c>
      <c r="H79" s="19" t="inlineStr">
        <is>
          <t>Chetan</t>
        </is>
      </c>
      <c r="I79" s="19" t="inlineStr">
        <is>
          <t>Google</t>
        </is>
      </c>
      <c r="J79" s="19" t="inlineStr">
        <is>
          <t>Round1</t>
        </is>
      </c>
      <c r="K79" s="22" t="inlineStr">
        <is>
          <t>+91 9920264452</t>
        </is>
      </c>
      <c r="L79" s="19" t="inlineStr">
        <is>
          <t>&lt;calendly_link&gt;</t>
        </is>
      </c>
      <c r="M79" s="19" t="n"/>
      <c r="N79" s="19" t="n"/>
      <c r="O79" s="19">
        <f>IF(OR(M79="Scheduled on call",M79="Booked on their behalf",N79="Scheduled on call",N79="Booked on their behalf"),"SCHEDULED (call)",IF(OR(M79="Not interested/Declined",N79="Not interested/Declined"),"DECLINED",IF(N79="Escalate to AM","ESCALATED TO LEAD",IF(E79="Ram is handling - no action","N/A",IF(M79="","PENDING CALL 1","IN PROGRESS")))))</f>
        <v/>
      </c>
      <c r="P79" s="19">
        <f>IF(OR('Ram - Digital ToDo'!O79="Scheduled",'Ram - Digital ToDo'!Q79="Scheduled"),"Scheduled within SLA (self-serve)",IF(OR(M79="Scheduled on call",M79="Booked on their behalf",N79="Scheduled on call",N79="Booked on their behalf"),"Scheduled within SLA (call)",IF(OR(M79="Not interested/Declined",N79="Not interested/Declined"),"Declined",IF(N79="Escalate to AM","SLA breach - unresolved","In progress"))))</f>
        <v/>
      </c>
      <c r="Q79" s="19" t="n"/>
    </row>
    <row r="80">
      <c r="A80" s="19" t="inlineStr">
        <is>
          <t>REQ-0079</t>
        </is>
      </c>
      <c r="B80" s="20" t="n">
        <v>44867.82708333333</v>
      </c>
      <c r="C80" s="20">
        <f>B80+1</f>
        <v/>
      </c>
      <c r="D80" s="21">
        <f>(C80-NOW())*24</f>
        <v/>
      </c>
      <c r="E80" s="19">
        <f>IF('Ram - Digital ToDo'!Q80="Escalate to call","CALL NOW",IF('Ram - Digital ToDo'!N80="Bad contact","CALL NOW (digital failed)","Ram is handling - no action"))</f>
        <v/>
      </c>
      <c r="F80" s="19">
        <f>IF(E80="Ram is handling - no action","No action needed",IF(M80="","CALL 1: ring candidate, offer to book on call (Playbook C1)",IF(OR(M80="Scheduled on call",M80="Booked on their behalf"),"DONE: scheduled on call",IF(M80="Not interested/Declined","CLOSED: candidate declined (log + tell lead)",IF(N80="","CALL 2: final attempt (Playbook C2)",IF(OR(N80="Scheduled on call",N80="Booked on their behalf"),"DONE: scheduled on call",IF(N80="Escalate to AM","ESCALATED TO LEAD","Review")))))))</f>
        <v/>
      </c>
      <c r="G80" s="20">
        <f>IF(E80="Ram is handling - no action","",IF(M80="",B80+6/24,IF(AND(M80&lt;&gt;"Scheduled on call",M80&lt;&gt;"Booked on their behalf",M80&lt;&gt;"Not interested/Declined",N80=""),B80+20/24,"")))</f>
        <v/>
      </c>
      <c r="H80" s="19" t="inlineStr">
        <is>
          <t>Chetan</t>
        </is>
      </c>
      <c r="I80" s="19" t="inlineStr">
        <is>
          <t>Google</t>
        </is>
      </c>
      <c r="J80" s="19" t="inlineStr">
        <is>
          <t>Round1</t>
        </is>
      </c>
      <c r="K80" s="22" t="inlineStr">
        <is>
          <t>+91 9920264452</t>
        </is>
      </c>
      <c r="L80" s="19" t="inlineStr">
        <is>
          <t>&lt;calendly_link&gt;</t>
        </is>
      </c>
      <c r="M80" s="19" t="n"/>
      <c r="N80" s="19" t="n"/>
      <c r="O80" s="19">
        <f>IF(OR(M80="Scheduled on call",M80="Booked on their behalf",N80="Scheduled on call",N80="Booked on their behalf"),"SCHEDULED (call)",IF(OR(M80="Not interested/Declined",N80="Not interested/Declined"),"DECLINED",IF(N80="Escalate to AM","ESCALATED TO LEAD",IF(E80="Ram is handling - no action","N/A",IF(M80="","PENDING CALL 1","IN PROGRESS")))))</f>
        <v/>
      </c>
      <c r="P80" s="19">
        <f>IF(OR('Ram - Digital ToDo'!O80="Scheduled",'Ram - Digital ToDo'!Q80="Scheduled"),"Scheduled within SLA (self-serve)",IF(OR(M80="Scheduled on call",M80="Booked on their behalf",N80="Scheduled on call",N80="Booked on their behalf"),"Scheduled within SLA (call)",IF(OR(M80="Not interested/Declined",N80="Not interested/Declined"),"Declined",IF(N80="Escalate to AM","SLA breach - unresolved","In progress"))))</f>
        <v/>
      </c>
      <c r="Q80" s="19" t="n"/>
    </row>
    <row r="81">
      <c r="A81" s="19" t="inlineStr">
        <is>
          <t>REQ-0080</t>
        </is>
      </c>
      <c r="B81" s="20" t="n">
        <v>44867.82708333333</v>
      </c>
      <c r="C81" s="20">
        <f>B81+1</f>
        <v/>
      </c>
      <c r="D81" s="21">
        <f>(C81-NOW())*24</f>
        <v/>
      </c>
      <c r="E81" s="19">
        <f>IF('Ram - Digital ToDo'!Q81="Escalate to call","CALL NOW",IF('Ram - Digital ToDo'!N81="Bad contact","CALL NOW (digital failed)","Ram is handling - no action"))</f>
        <v/>
      </c>
      <c r="F81" s="19">
        <f>IF(E81="Ram is handling - no action","No action needed",IF(M81="","CALL 1: ring candidate, offer to book on call (Playbook C1)",IF(OR(M81="Scheduled on call",M81="Booked on their behalf"),"DONE: scheduled on call",IF(M81="Not interested/Declined","CLOSED: candidate declined (log + tell lead)",IF(N81="","CALL 2: final attempt (Playbook C2)",IF(OR(N81="Scheduled on call",N81="Booked on their behalf"),"DONE: scheduled on call",IF(N81="Escalate to AM","ESCALATED TO LEAD","Review")))))))</f>
        <v/>
      </c>
      <c r="G81" s="20">
        <f>IF(E81="Ram is handling - no action","",IF(M81="",B81+6/24,IF(AND(M81&lt;&gt;"Scheduled on call",M81&lt;&gt;"Booked on their behalf",M81&lt;&gt;"Not interested/Declined",N81=""),B81+20/24,"")))</f>
        <v/>
      </c>
      <c r="H81" s="19" t="inlineStr">
        <is>
          <t>Chetan</t>
        </is>
      </c>
      <c r="I81" s="19" t="inlineStr">
        <is>
          <t>Google</t>
        </is>
      </c>
      <c r="J81" s="19" t="inlineStr">
        <is>
          <t>Round1</t>
        </is>
      </c>
      <c r="K81" s="22" t="inlineStr">
        <is>
          <t>+91 9920264452</t>
        </is>
      </c>
      <c r="L81" s="19" t="inlineStr">
        <is>
          <t>&lt;calendly_link&gt;</t>
        </is>
      </c>
      <c r="M81" s="19" t="n"/>
      <c r="N81" s="19" t="n"/>
      <c r="O81" s="19">
        <f>IF(OR(M81="Scheduled on call",M81="Booked on their behalf",N81="Scheduled on call",N81="Booked on their behalf"),"SCHEDULED (call)",IF(OR(M81="Not interested/Declined",N81="Not interested/Declined"),"DECLINED",IF(N81="Escalate to AM","ESCALATED TO LEAD",IF(E81="Ram is handling - no action","N/A",IF(M81="","PENDING CALL 1","IN PROGRESS")))))</f>
        <v/>
      </c>
      <c r="P81" s="19">
        <f>IF(OR('Ram - Digital ToDo'!O81="Scheduled",'Ram - Digital ToDo'!Q81="Scheduled"),"Scheduled within SLA (self-serve)",IF(OR(M81="Scheduled on call",M81="Booked on their behalf",N81="Scheduled on call",N81="Booked on their behalf"),"Scheduled within SLA (call)",IF(OR(M81="Not interested/Declined",N81="Not interested/Declined"),"Declined",IF(N81="Escalate to AM","SLA breach - unresolved","In progress"))))</f>
        <v/>
      </c>
      <c r="Q81" s="19" t="n"/>
    </row>
    <row r="82">
      <c r="A82" s="19" t="inlineStr">
        <is>
          <t>REQ-0081</t>
        </is>
      </c>
      <c r="B82" s="20" t="n">
        <v>44867.82708333333</v>
      </c>
      <c r="C82" s="20">
        <f>B82+1</f>
        <v/>
      </c>
      <c r="D82" s="21">
        <f>(C82-NOW())*24</f>
        <v/>
      </c>
      <c r="E82" s="19">
        <f>IF('Ram - Digital ToDo'!Q82="Escalate to call","CALL NOW",IF('Ram - Digital ToDo'!N82="Bad contact","CALL NOW (digital failed)","Ram is handling - no action"))</f>
        <v/>
      </c>
      <c r="F82" s="19">
        <f>IF(E82="Ram is handling - no action","No action needed",IF(M82="","CALL 1: ring candidate, offer to book on call (Playbook C1)",IF(OR(M82="Scheduled on call",M82="Booked on their behalf"),"DONE: scheduled on call",IF(M82="Not interested/Declined","CLOSED: candidate declined (log + tell lead)",IF(N82="","CALL 2: final attempt (Playbook C2)",IF(OR(N82="Scheduled on call",N82="Booked on their behalf"),"DONE: scheduled on call",IF(N82="Escalate to AM","ESCALATED TO LEAD","Review")))))))</f>
        <v/>
      </c>
      <c r="G82" s="20">
        <f>IF(E82="Ram is handling - no action","",IF(M82="",B82+6/24,IF(AND(M82&lt;&gt;"Scheduled on call",M82&lt;&gt;"Booked on their behalf",M82&lt;&gt;"Not interested/Declined",N82=""),B82+20/24,"")))</f>
        <v/>
      </c>
      <c r="H82" s="19" t="inlineStr">
        <is>
          <t>Chetan</t>
        </is>
      </c>
      <c r="I82" s="19" t="inlineStr">
        <is>
          <t>Google</t>
        </is>
      </c>
      <c r="J82" s="19" t="inlineStr">
        <is>
          <t>Round1</t>
        </is>
      </c>
      <c r="K82" s="22" t="inlineStr">
        <is>
          <t>+91 9920264452</t>
        </is>
      </c>
      <c r="L82" s="19" t="inlineStr">
        <is>
          <t>&lt;calendly_link&gt;</t>
        </is>
      </c>
      <c r="M82" s="19" t="n"/>
      <c r="N82" s="19" t="n"/>
      <c r="O82" s="19">
        <f>IF(OR(M82="Scheduled on call",M82="Booked on their behalf",N82="Scheduled on call",N82="Booked on their behalf"),"SCHEDULED (call)",IF(OR(M82="Not interested/Declined",N82="Not interested/Declined"),"DECLINED",IF(N82="Escalate to AM","ESCALATED TO LEAD",IF(E82="Ram is handling - no action","N/A",IF(M82="","PENDING CALL 1","IN PROGRESS")))))</f>
        <v/>
      </c>
      <c r="P82" s="19">
        <f>IF(OR('Ram - Digital ToDo'!O82="Scheduled",'Ram - Digital ToDo'!Q82="Scheduled"),"Scheduled within SLA (self-serve)",IF(OR(M82="Scheduled on call",M82="Booked on their behalf",N82="Scheduled on call",N82="Booked on their behalf"),"Scheduled within SLA (call)",IF(OR(M82="Not interested/Declined",N82="Not interested/Declined"),"Declined",IF(N82="Escalate to AM","SLA breach - unresolved","In progress"))))</f>
        <v/>
      </c>
      <c r="Q82" s="19" t="n"/>
    </row>
    <row r="83">
      <c r="A83" s="19" t="inlineStr">
        <is>
          <t>REQ-0082</t>
        </is>
      </c>
      <c r="B83" s="20" t="n">
        <v>44867.82708333333</v>
      </c>
      <c r="C83" s="20">
        <f>B83+1</f>
        <v/>
      </c>
      <c r="D83" s="21">
        <f>(C83-NOW())*24</f>
        <v/>
      </c>
      <c r="E83" s="19">
        <f>IF('Ram - Digital ToDo'!Q83="Escalate to call","CALL NOW",IF('Ram - Digital ToDo'!N83="Bad contact","CALL NOW (digital failed)","Ram is handling - no action"))</f>
        <v/>
      </c>
      <c r="F83" s="19">
        <f>IF(E83="Ram is handling - no action","No action needed",IF(M83="","CALL 1: ring candidate, offer to book on call (Playbook C1)",IF(OR(M83="Scheduled on call",M83="Booked on their behalf"),"DONE: scheduled on call",IF(M83="Not interested/Declined","CLOSED: candidate declined (log + tell lead)",IF(N83="","CALL 2: final attempt (Playbook C2)",IF(OR(N83="Scheduled on call",N83="Booked on their behalf"),"DONE: scheduled on call",IF(N83="Escalate to AM","ESCALATED TO LEAD","Review")))))))</f>
        <v/>
      </c>
      <c r="G83" s="20">
        <f>IF(E83="Ram is handling - no action","",IF(M83="",B83+6/24,IF(AND(M83&lt;&gt;"Scheduled on call",M83&lt;&gt;"Booked on their behalf",M83&lt;&gt;"Not interested/Declined",N83=""),B83+20/24,"")))</f>
        <v/>
      </c>
      <c r="H83" s="19" t="inlineStr">
        <is>
          <t>Chetan</t>
        </is>
      </c>
      <c r="I83" s="19" t="inlineStr">
        <is>
          <t>Google</t>
        </is>
      </c>
      <c r="J83" s="19" t="inlineStr">
        <is>
          <t>Round1</t>
        </is>
      </c>
      <c r="K83" s="22" t="inlineStr">
        <is>
          <t>+91 9920264452</t>
        </is>
      </c>
      <c r="L83" s="19" t="inlineStr">
        <is>
          <t>&lt;calendly_link&gt;</t>
        </is>
      </c>
      <c r="M83" s="19" t="n"/>
      <c r="N83" s="19" t="n"/>
      <c r="O83" s="19">
        <f>IF(OR(M83="Scheduled on call",M83="Booked on their behalf",N83="Scheduled on call",N83="Booked on their behalf"),"SCHEDULED (call)",IF(OR(M83="Not interested/Declined",N83="Not interested/Declined"),"DECLINED",IF(N83="Escalate to AM","ESCALATED TO LEAD",IF(E83="Ram is handling - no action","N/A",IF(M83="","PENDING CALL 1","IN PROGRESS")))))</f>
        <v/>
      </c>
      <c r="P83" s="19">
        <f>IF(OR('Ram - Digital ToDo'!O83="Scheduled",'Ram - Digital ToDo'!Q83="Scheduled"),"Scheduled within SLA (self-serve)",IF(OR(M83="Scheduled on call",M83="Booked on their behalf",N83="Scheduled on call",N83="Booked on their behalf"),"Scheduled within SLA (call)",IF(OR(M83="Not interested/Declined",N83="Not interested/Declined"),"Declined",IF(N83="Escalate to AM","SLA breach - unresolved","In progress"))))</f>
        <v/>
      </c>
      <c r="Q83" s="19" t="n"/>
    </row>
    <row r="84">
      <c r="A84" s="19" t="inlineStr">
        <is>
          <t>REQ-0083</t>
        </is>
      </c>
      <c r="B84" s="20" t="n">
        <v>44867.82708333333</v>
      </c>
      <c r="C84" s="20">
        <f>B84+1</f>
        <v/>
      </c>
      <c r="D84" s="21">
        <f>(C84-NOW())*24</f>
        <v/>
      </c>
      <c r="E84" s="19">
        <f>IF('Ram - Digital ToDo'!Q84="Escalate to call","CALL NOW",IF('Ram - Digital ToDo'!N84="Bad contact","CALL NOW (digital failed)","Ram is handling - no action"))</f>
        <v/>
      </c>
      <c r="F84" s="19">
        <f>IF(E84="Ram is handling - no action","No action needed",IF(M84="","CALL 1: ring candidate, offer to book on call (Playbook C1)",IF(OR(M84="Scheduled on call",M84="Booked on their behalf"),"DONE: scheduled on call",IF(M84="Not interested/Declined","CLOSED: candidate declined (log + tell lead)",IF(N84="","CALL 2: final attempt (Playbook C2)",IF(OR(N84="Scheduled on call",N84="Booked on their behalf"),"DONE: scheduled on call",IF(N84="Escalate to AM","ESCALATED TO LEAD","Review")))))))</f>
        <v/>
      </c>
      <c r="G84" s="20">
        <f>IF(E84="Ram is handling - no action","",IF(M84="",B84+6/24,IF(AND(M84&lt;&gt;"Scheduled on call",M84&lt;&gt;"Booked on their behalf",M84&lt;&gt;"Not interested/Declined",N84=""),B84+20/24,"")))</f>
        <v/>
      </c>
      <c r="H84" s="19" t="inlineStr">
        <is>
          <t>Chetan</t>
        </is>
      </c>
      <c r="I84" s="19" t="inlineStr">
        <is>
          <t>Google</t>
        </is>
      </c>
      <c r="J84" s="19" t="inlineStr">
        <is>
          <t>Round1</t>
        </is>
      </c>
      <c r="K84" s="22" t="inlineStr">
        <is>
          <t>+91 9920264452</t>
        </is>
      </c>
      <c r="L84" s="19" t="inlineStr">
        <is>
          <t>&lt;calendly_link&gt;</t>
        </is>
      </c>
      <c r="M84" s="19" t="n"/>
      <c r="N84" s="19" t="n"/>
      <c r="O84" s="19">
        <f>IF(OR(M84="Scheduled on call",M84="Booked on their behalf",N84="Scheduled on call",N84="Booked on their behalf"),"SCHEDULED (call)",IF(OR(M84="Not interested/Declined",N84="Not interested/Declined"),"DECLINED",IF(N84="Escalate to AM","ESCALATED TO LEAD",IF(E84="Ram is handling - no action","N/A",IF(M84="","PENDING CALL 1","IN PROGRESS")))))</f>
        <v/>
      </c>
      <c r="P84" s="19">
        <f>IF(OR('Ram - Digital ToDo'!O84="Scheduled",'Ram - Digital ToDo'!Q84="Scheduled"),"Scheduled within SLA (self-serve)",IF(OR(M84="Scheduled on call",M84="Booked on their behalf",N84="Scheduled on call",N84="Booked on their behalf"),"Scheduled within SLA (call)",IF(OR(M84="Not interested/Declined",N84="Not interested/Declined"),"Declined",IF(N84="Escalate to AM","SLA breach - unresolved","In progress"))))</f>
        <v/>
      </c>
      <c r="Q84" s="19" t="n"/>
    </row>
    <row r="85">
      <c r="A85" s="19" t="inlineStr">
        <is>
          <t>REQ-0084</t>
        </is>
      </c>
      <c r="B85" s="20" t="n">
        <v>44867.82708333333</v>
      </c>
      <c r="C85" s="20">
        <f>B85+1</f>
        <v/>
      </c>
      <c r="D85" s="21">
        <f>(C85-NOW())*24</f>
        <v/>
      </c>
      <c r="E85" s="19">
        <f>IF('Ram - Digital ToDo'!Q85="Escalate to call","CALL NOW",IF('Ram - Digital ToDo'!N85="Bad contact","CALL NOW (digital failed)","Ram is handling - no action"))</f>
        <v/>
      </c>
      <c r="F85" s="19">
        <f>IF(E85="Ram is handling - no action","No action needed",IF(M85="","CALL 1: ring candidate, offer to book on call (Playbook C1)",IF(OR(M85="Scheduled on call",M85="Booked on their behalf"),"DONE: scheduled on call",IF(M85="Not interested/Declined","CLOSED: candidate declined (log + tell lead)",IF(N85="","CALL 2: final attempt (Playbook C2)",IF(OR(N85="Scheduled on call",N85="Booked on their behalf"),"DONE: scheduled on call",IF(N85="Escalate to AM","ESCALATED TO LEAD","Review")))))))</f>
        <v/>
      </c>
      <c r="G85" s="20">
        <f>IF(E85="Ram is handling - no action","",IF(M85="",B85+6/24,IF(AND(M85&lt;&gt;"Scheduled on call",M85&lt;&gt;"Booked on their behalf",M85&lt;&gt;"Not interested/Declined",N85=""),B85+20/24,"")))</f>
        <v/>
      </c>
      <c r="H85" s="19" t="inlineStr">
        <is>
          <t>Chetan</t>
        </is>
      </c>
      <c r="I85" s="19" t="inlineStr">
        <is>
          <t>Google</t>
        </is>
      </c>
      <c r="J85" s="19" t="inlineStr">
        <is>
          <t>Round1</t>
        </is>
      </c>
      <c r="K85" s="22" t="inlineStr">
        <is>
          <t>+91 9920264452</t>
        </is>
      </c>
      <c r="L85" s="19" t="inlineStr">
        <is>
          <t>&lt;calendly_link&gt;</t>
        </is>
      </c>
      <c r="M85" s="19" t="n"/>
      <c r="N85" s="19" t="n"/>
      <c r="O85" s="19">
        <f>IF(OR(M85="Scheduled on call",M85="Booked on their behalf",N85="Scheduled on call",N85="Booked on their behalf"),"SCHEDULED (call)",IF(OR(M85="Not interested/Declined",N85="Not interested/Declined"),"DECLINED",IF(N85="Escalate to AM","ESCALATED TO LEAD",IF(E85="Ram is handling - no action","N/A",IF(M85="","PENDING CALL 1","IN PROGRESS")))))</f>
        <v/>
      </c>
      <c r="P85" s="19">
        <f>IF(OR('Ram - Digital ToDo'!O85="Scheduled",'Ram - Digital ToDo'!Q85="Scheduled"),"Scheduled within SLA (self-serve)",IF(OR(M85="Scheduled on call",M85="Booked on their behalf",N85="Scheduled on call",N85="Booked on their behalf"),"Scheduled within SLA (call)",IF(OR(M85="Not interested/Declined",N85="Not interested/Declined"),"Declined",IF(N85="Escalate to AM","SLA breach - unresolved","In progress"))))</f>
        <v/>
      </c>
      <c r="Q85" s="19" t="n"/>
    </row>
    <row r="86">
      <c r="A86" s="19" t="inlineStr">
        <is>
          <t>REQ-0085</t>
        </is>
      </c>
      <c r="B86" s="20" t="n">
        <v>44867.82708333333</v>
      </c>
      <c r="C86" s="20">
        <f>B86+1</f>
        <v/>
      </c>
      <c r="D86" s="21">
        <f>(C86-NOW())*24</f>
        <v/>
      </c>
      <c r="E86" s="19">
        <f>IF('Ram - Digital ToDo'!Q86="Escalate to call","CALL NOW",IF('Ram - Digital ToDo'!N86="Bad contact","CALL NOW (digital failed)","Ram is handling - no action"))</f>
        <v/>
      </c>
      <c r="F86" s="19">
        <f>IF(E86="Ram is handling - no action","No action needed",IF(M86="","CALL 1: ring candidate, offer to book on call (Playbook C1)",IF(OR(M86="Scheduled on call",M86="Booked on their behalf"),"DONE: scheduled on call",IF(M86="Not interested/Declined","CLOSED: candidate declined (log + tell lead)",IF(N86="","CALL 2: final attempt (Playbook C2)",IF(OR(N86="Scheduled on call",N86="Booked on their behalf"),"DONE: scheduled on call",IF(N86="Escalate to AM","ESCALATED TO LEAD","Review")))))))</f>
        <v/>
      </c>
      <c r="G86" s="20">
        <f>IF(E86="Ram is handling - no action","",IF(M86="",B86+6/24,IF(AND(M86&lt;&gt;"Scheduled on call",M86&lt;&gt;"Booked on their behalf",M86&lt;&gt;"Not interested/Declined",N86=""),B86+20/24,"")))</f>
        <v/>
      </c>
      <c r="H86" s="19" t="inlineStr">
        <is>
          <t>Chetan</t>
        </is>
      </c>
      <c r="I86" s="19" t="inlineStr">
        <is>
          <t>Google</t>
        </is>
      </c>
      <c r="J86" s="19" t="inlineStr">
        <is>
          <t>Round1</t>
        </is>
      </c>
      <c r="K86" s="22" t="inlineStr">
        <is>
          <t>+91 9920264452</t>
        </is>
      </c>
      <c r="L86" s="19" t="inlineStr">
        <is>
          <t>&lt;calendly_link&gt;</t>
        </is>
      </c>
      <c r="M86" s="19" t="n"/>
      <c r="N86" s="19" t="n"/>
      <c r="O86" s="19">
        <f>IF(OR(M86="Scheduled on call",M86="Booked on their behalf",N86="Scheduled on call",N86="Booked on their behalf"),"SCHEDULED (call)",IF(OR(M86="Not interested/Declined",N86="Not interested/Declined"),"DECLINED",IF(N86="Escalate to AM","ESCALATED TO LEAD",IF(E86="Ram is handling - no action","N/A",IF(M86="","PENDING CALL 1","IN PROGRESS")))))</f>
        <v/>
      </c>
      <c r="P86" s="19">
        <f>IF(OR('Ram - Digital ToDo'!O86="Scheduled",'Ram - Digital ToDo'!Q86="Scheduled"),"Scheduled within SLA (self-serve)",IF(OR(M86="Scheduled on call",M86="Booked on their behalf",N86="Scheduled on call",N86="Booked on their behalf"),"Scheduled within SLA (call)",IF(OR(M86="Not interested/Declined",N86="Not interested/Declined"),"Declined",IF(N86="Escalate to AM","SLA breach - unresolved","In progress"))))</f>
        <v/>
      </c>
      <c r="Q86" s="19" t="n"/>
    </row>
    <row r="87">
      <c r="A87" s="19" t="inlineStr">
        <is>
          <t>REQ-0086</t>
        </is>
      </c>
      <c r="B87" s="20" t="n">
        <v>44867.82708333333</v>
      </c>
      <c r="C87" s="20">
        <f>B87+1</f>
        <v/>
      </c>
      <c r="D87" s="21">
        <f>(C87-NOW())*24</f>
        <v/>
      </c>
      <c r="E87" s="19">
        <f>IF('Ram - Digital ToDo'!Q87="Escalate to call","CALL NOW",IF('Ram - Digital ToDo'!N87="Bad contact","CALL NOW (digital failed)","Ram is handling - no action"))</f>
        <v/>
      </c>
      <c r="F87" s="19">
        <f>IF(E87="Ram is handling - no action","No action needed",IF(M87="","CALL 1: ring candidate, offer to book on call (Playbook C1)",IF(OR(M87="Scheduled on call",M87="Booked on their behalf"),"DONE: scheduled on call",IF(M87="Not interested/Declined","CLOSED: candidate declined (log + tell lead)",IF(N87="","CALL 2: final attempt (Playbook C2)",IF(OR(N87="Scheduled on call",N87="Booked on their behalf"),"DONE: scheduled on call",IF(N87="Escalate to AM","ESCALATED TO LEAD","Review")))))))</f>
        <v/>
      </c>
      <c r="G87" s="20">
        <f>IF(E87="Ram is handling - no action","",IF(M87="",B87+6/24,IF(AND(M87&lt;&gt;"Scheduled on call",M87&lt;&gt;"Booked on their behalf",M87&lt;&gt;"Not interested/Declined",N87=""),B87+20/24,"")))</f>
        <v/>
      </c>
      <c r="H87" s="19" t="inlineStr">
        <is>
          <t>Chetan</t>
        </is>
      </c>
      <c r="I87" s="19" t="inlineStr">
        <is>
          <t>Google</t>
        </is>
      </c>
      <c r="J87" s="19" t="inlineStr">
        <is>
          <t>Round1</t>
        </is>
      </c>
      <c r="K87" s="22" t="inlineStr">
        <is>
          <t>+91 9920264452</t>
        </is>
      </c>
      <c r="L87" s="19" t="inlineStr">
        <is>
          <t>&lt;calendly_link&gt;</t>
        </is>
      </c>
      <c r="M87" s="19" t="n"/>
      <c r="N87" s="19" t="n"/>
      <c r="O87" s="19">
        <f>IF(OR(M87="Scheduled on call",M87="Booked on their behalf",N87="Scheduled on call",N87="Booked on their behalf"),"SCHEDULED (call)",IF(OR(M87="Not interested/Declined",N87="Not interested/Declined"),"DECLINED",IF(N87="Escalate to AM","ESCALATED TO LEAD",IF(E87="Ram is handling - no action","N/A",IF(M87="","PENDING CALL 1","IN PROGRESS")))))</f>
        <v/>
      </c>
      <c r="P87" s="19">
        <f>IF(OR('Ram - Digital ToDo'!O87="Scheduled",'Ram - Digital ToDo'!Q87="Scheduled"),"Scheduled within SLA (self-serve)",IF(OR(M87="Scheduled on call",M87="Booked on their behalf",N87="Scheduled on call",N87="Booked on their behalf"),"Scheduled within SLA (call)",IF(OR(M87="Not interested/Declined",N87="Not interested/Declined"),"Declined",IF(N87="Escalate to AM","SLA breach - unresolved","In progress"))))</f>
        <v/>
      </c>
      <c r="Q87" s="19" t="n"/>
    </row>
    <row r="88">
      <c r="A88" s="19" t="inlineStr">
        <is>
          <t>REQ-0087</t>
        </is>
      </c>
      <c r="B88" s="20" t="n">
        <v>44867.82708333333</v>
      </c>
      <c r="C88" s="20">
        <f>B88+1</f>
        <v/>
      </c>
      <c r="D88" s="21">
        <f>(C88-NOW())*24</f>
        <v/>
      </c>
      <c r="E88" s="19">
        <f>IF('Ram - Digital ToDo'!Q88="Escalate to call","CALL NOW",IF('Ram - Digital ToDo'!N88="Bad contact","CALL NOW (digital failed)","Ram is handling - no action"))</f>
        <v/>
      </c>
      <c r="F88" s="19">
        <f>IF(E88="Ram is handling - no action","No action needed",IF(M88="","CALL 1: ring candidate, offer to book on call (Playbook C1)",IF(OR(M88="Scheduled on call",M88="Booked on their behalf"),"DONE: scheduled on call",IF(M88="Not interested/Declined","CLOSED: candidate declined (log + tell lead)",IF(N88="","CALL 2: final attempt (Playbook C2)",IF(OR(N88="Scheduled on call",N88="Booked on their behalf"),"DONE: scheduled on call",IF(N88="Escalate to AM","ESCALATED TO LEAD","Review")))))))</f>
        <v/>
      </c>
      <c r="G88" s="20">
        <f>IF(E88="Ram is handling - no action","",IF(M88="",B88+6/24,IF(AND(M88&lt;&gt;"Scheduled on call",M88&lt;&gt;"Booked on their behalf",M88&lt;&gt;"Not interested/Declined",N88=""),B88+20/24,"")))</f>
        <v/>
      </c>
      <c r="H88" s="19" t="inlineStr">
        <is>
          <t>Chetan</t>
        </is>
      </c>
      <c r="I88" s="19" t="inlineStr">
        <is>
          <t>Google</t>
        </is>
      </c>
      <c r="J88" s="19" t="inlineStr">
        <is>
          <t>Round1</t>
        </is>
      </c>
      <c r="K88" s="22" t="inlineStr">
        <is>
          <t>+91 9920264452</t>
        </is>
      </c>
      <c r="L88" s="19" t="inlineStr">
        <is>
          <t>&lt;calendly_link&gt;</t>
        </is>
      </c>
      <c r="M88" s="19" t="n"/>
      <c r="N88" s="19" t="n"/>
      <c r="O88" s="19">
        <f>IF(OR(M88="Scheduled on call",M88="Booked on their behalf",N88="Scheduled on call",N88="Booked on their behalf"),"SCHEDULED (call)",IF(OR(M88="Not interested/Declined",N88="Not interested/Declined"),"DECLINED",IF(N88="Escalate to AM","ESCALATED TO LEAD",IF(E88="Ram is handling - no action","N/A",IF(M88="","PENDING CALL 1","IN PROGRESS")))))</f>
        <v/>
      </c>
      <c r="P88" s="19">
        <f>IF(OR('Ram - Digital ToDo'!O88="Scheduled",'Ram - Digital ToDo'!Q88="Scheduled"),"Scheduled within SLA (self-serve)",IF(OR(M88="Scheduled on call",M88="Booked on their behalf",N88="Scheduled on call",N88="Booked on their behalf"),"Scheduled within SLA (call)",IF(OR(M88="Not interested/Declined",N88="Not interested/Declined"),"Declined",IF(N88="Escalate to AM","SLA breach - unresolved","In progress"))))</f>
        <v/>
      </c>
      <c r="Q88" s="19" t="n"/>
    </row>
    <row r="89">
      <c r="A89" s="19" t="inlineStr">
        <is>
          <t>REQ-0088</t>
        </is>
      </c>
      <c r="B89" s="20" t="n">
        <v>44867.82708333333</v>
      </c>
      <c r="C89" s="20">
        <f>B89+1</f>
        <v/>
      </c>
      <c r="D89" s="21">
        <f>(C89-NOW())*24</f>
        <v/>
      </c>
      <c r="E89" s="19">
        <f>IF('Ram - Digital ToDo'!Q89="Escalate to call","CALL NOW",IF('Ram - Digital ToDo'!N89="Bad contact","CALL NOW (digital failed)","Ram is handling - no action"))</f>
        <v/>
      </c>
      <c r="F89" s="19">
        <f>IF(E89="Ram is handling - no action","No action needed",IF(M89="","CALL 1: ring candidate, offer to book on call (Playbook C1)",IF(OR(M89="Scheduled on call",M89="Booked on their behalf"),"DONE: scheduled on call",IF(M89="Not interested/Declined","CLOSED: candidate declined (log + tell lead)",IF(N89="","CALL 2: final attempt (Playbook C2)",IF(OR(N89="Scheduled on call",N89="Booked on their behalf"),"DONE: scheduled on call",IF(N89="Escalate to AM","ESCALATED TO LEAD","Review")))))))</f>
        <v/>
      </c>
      <c r="G89" s="20">
        <f>IF(E89="Ram is handling - no action","",IF(M89="",B89+6/24,IF(AND(M89&lt;&gt;"Scheduled on call",M89&lt;&gt;"Booked on their behalf",M89&lt;&gt;"Not interested/Declined",N89=""),B89+20/24,"")))</f>
        <v/>
      </c>
      <c r="H89" s="19" t="inlineStr">
        <is>
          <t>Chetan</t>
        </is>
      </c>
      <c r="I89" s="19" t="inlineStr">
        <is>
          <t>Google</t>
        </is>
      </c>
      <c r="J89" s="19" t="inlineStr">
        <is>
          <t>Round1</t>
        </is>
      </c>
      <c r="K89" s="22" t="inlineStr">
        <is>
          <t>+91 9920264452</t>
        </is>
      </c>
      <c r="L89" s="19" t="inlineStr">
        <is>
          <t>&lt;calendly_link&gt;</t>
        </is>
      </c>
      <c r="M89" s="19" t="n"/>
      <c r="N89" s="19" t="n"/>
      <c r="O89" s="19">
        <f>IF(OR(M89="Scheduled on call",M89="Booked on their behalf",N89="Scheduled on call",N89="Booked on their behalf"),"SCHEDULED (call)",IF(OR(M89="Not interested/Declined",N89="Not interested/Declined"),"DECLINED",IF(N89="Escalate to AM","ESCALATED TO LEAD",IF(E89="Ram is handling - no action","N/A",IF(M89="","PENDING CALL 1","IN PROGRESS")))))</f>
        <v/>
      </c>
      <c r="P89" s="19">
        <f>IF(OR('Ram - Digital ToDo'!O89="Scheduled",'Ram - Digital ToDo'!Q89="Scheduled"),"Scheduled within SLA (self-serve)",IF(OR(M89="Scheduled on call",M89="Booked on their behalf",N89="Scheduled on call",N89="Booked on their behalf"),"Scheduled within SLA (call)",IF(OR(M89="Not interested/Declined",N89="Not interested/Declined"),"Declined",IF(N89="Escalate to AM","SLA breach - unresolved","In progress"))))</f>
        <v/>
      </c>
      <c r="Q89" s="19" t="n"/>
    </row>
    <row r="90">
      <c r="A90" s="19" t="inlineStr">
        <is>
          <t>REQ-0089</t>
        </is>
      </c>
      <c r="B90" s="20" t="n">
        <v>44867.82708333333</v>
      </c>
      <c r="C90" s="20">
        <f>B90+1</f>
        <v/>
      </c>
      <c r="D90" s="21">
        <f>(C90-NOW())*24</f>
        <v/>
      </c>
      <c r="E90" s="19">
        <f>IF('Ram - Digital ToDo'!Q90="Escalate to call","CALL NOW",IF('Ram - Digital ToDo'!N90="Bad contact","CALL NOW (digital failed)","Ram is handling - no action"))</f>
        <v/>
      </c>
      <c r="F90" s="19">
        <f>IF(E90="Ram is handling - no action","No action needed",IF(M90="","CALL 1: ring candidate, offer to book on call (Playbook C1)",IF(OR(M90="Scheduled on call",M90="Booked on their behalf"),"DONE: scheduled on call",IF(M90="Not interested/Declined","CLOSED: candidate declined (log + tell lead)",IF(N90="","CALL 2: final attempt (Playbook C2)",IF(OR(N90="Scheduled on call",N90="Booked on their behalf"),"DONE: scheduled on call",IF(N90="Escalate to AM","ESCALATED TO LEAD","Review")))))))</f>
        <v/>
      </c>
      <c r="G90" s="20">
        <f>IF(E90="Ram is handling - no action","",IF(M90="",B90+6/24,IF(AND(M90&lt;&gt;"Scheduled on call",M90&lt;&gt;"Booked on their behalf",M90&lt;&gt;"Not interested/Declined",N90=""),B90+20/24,"")))</f>
        <v/>
      </c>
      <c r="H90" s="19" t="inlineStr">
        <is>
          <t>Chetan</t>
        </is>
      </c>
      <c r="I90" s="19" t="inlineStr">
        <is>
          <t>Google</t>
        </is>
      </c>
      <c r="J90" s="19" t="inlineStr">
        <is>
          <t>Round1</t>
        </is>
      </c>
      <c r="K90" s="22" t="inlineStr">
        <is>
          <t>+91 9920264452</t>
        </is>
      </c>
      <c r="L90" s="19" t="inlineStr">
        <is>
          <t>&lt;calendly_link&gt;</t>
        </is>
      </c>
      <c r="M90" s="19" t="n"/>
      <c r="N90" s="19" t="n"/>
      <c r="O90" s="19">
        <f>IF(OR(M90="Scheduled on call",M90="Booked on their behalf",N90="Scheduled on call",N90="Booked on their behalf"),"SCHEDULED (call)",IF(OR(M90="Not interested/Declined",N90="Not interested/Declined"),"DECLINED",IF(N90="Escalate to AM","ESCALATED TO LEAD",IF(E90="Ram is handling - no action","N/A",IF(M90="","PENDING CALL 1","IN PROGRESS")))))</f>
        <v/>
      </c>
      <c r="P90" s="19">
        <f>IF(OR('Ram - Digital ToDo'!O90="Scheduled",'Ram - Digital ToDo'!Q90="Scheduled"),"Scheduled within SLA (self-serve)",IF(OR(M90="Scheduled on call",M90="Booked on their behalf",N90="Scheduled on call",N90="Booked on their behalf"),"Scheduled within SLA (call)",IF(OR(M90="Not interested/Declined",N90="Not interested/Declined"),"Declined",IF(N90="Escalate to AM","SLA breach - unresolved","In progress"))))</f>
        <v/>
      </c>
      <c r="Q90" s="19" t="n"/>
    </row>
    <row r="91">
      <c r="A91" s="19" t="inlineStr">
        <is>
          <t>REQ-0090</t>
        </is>
      </c>
      <c r="B91" s="20" t="n">
        <v>44867.82708333333</v>
      </c>
      <c r="C91" s="20">
        <f>B91+1</f>
        <v/>
      </c>
      <c r="D91" s="21">
        <f>(C91-NOW())*24</f>
        <v/>
      </c>
      <c r="E91" s="19">
        <f>IF('Ram - Digital ToDo'!Q91="Escalate to call","CALL NOW",IF('Ram - Digital ToDo'!N91="Bad contact","CALL NOW (digital failed)","Ram is handling - no action"))</f>
        <v/>
      </c>
      <c r="F91" s="19">
        <f>IF(E91="Ram is handling - no action","No action needed",IF(M91="","CALL 1: ring candidate, offer to book on call (Playbook C1)",IF(OR(M91="Scheduled on call",M91="Booked on their behalf"),"DONE: scheduled on call",IF(M91="Not interested/Declined","CLOSED: candidate declined (log + tell lead)",IF(N91="","CALL 2: final attempt (Playbook C2)",IF(OR(N91="Scheduled on call",N91="Booked on their behalf"),"DONE: scheduled on call",IF(N91="Escalate to AM","ESCALATED TO LEAD","Review")))))))</f>
        <v/>
      </c>
      <c r="G91" s="20">
        <f>IF(E91="Ram is handling - no action","",IF(M91="",B91+6/24,IF(AND(M91&lt;&gt;"Scheduled on call",M91&lt;&gt;"Booked on their behalf",M91&lt;&gt;"Not interested/Declined",N91=""),B91+20/24,"")))</f>
        <v/>
      </c>
      <c r="H91" s="19" t="inlineStr">
        <is>
          <t>Chetan</t>
        </is>
      </c>
      <c r="I91" s="19" t="inlineStr">
        <is>
          <t>Google</t>
        </is>
      </c>
      <c r="J91" s="19" t="inlineStr">
        <is>
          <t>Round1</t>
        </is>
      </c>
      <c r="K91" s="22" t="inlineStr">
        <is>
          <t>+91 9920264452</t>
        </is>
      </c>
      <c r="L91" s="19" t="inlineStr">
        <is>
          <t>&lt;calendly_link&gt;</t>
        </is>
      </c>
      <c r="M91" s="19" t="n"/>
      <c r="N91" s="19" t="n"/>
      <c r="O91" s="19">
        <f>IF(OR(M91="Scheduled on call",M91="Booked on their behalf",N91="Scheduled on call",N91="Booked on their behalf"),"SCHEDULED (call)",IF(OR(M91="Not interested/Declined",N91="Not interested/Declined"),"DECLINED",IF(N91="Escalate to AM","ESCALATED TO LEAD",IF(E91="Ram is handling - no action","N/A",IF(M91="","PENDING CALL 1","IN PROGRESS")))))</f>
        <v/>
      </c>
      <c r="P91" s="19">
        <f>IF(OR('Ram - Digital ToDo'!O91="Scheduled",'Ram - Digital ToDo'!Q91="Scheduled"),"Scheduled within SLA (self-serve)",IF(OR(M91="Scheduled on call",M91="Booked on their behalf",N91="Scheduled on call",N91="Booked on their behalf"),"Scheduled within SLA (call)",IF(OR(M91="Not interested/Declined",N91="Not interested/Declined"),"Declined",IF(N91="Escalate to AM","SLA breach - unresolved","In progress"))))</f>
        <v/>
      </c>
      <c r="Q91" s="19" t="n"/>
    </row>
    <row r="92">
      <c r="A92" s="19" t="inlineStr">
        <is>
          <t>REQ-0091</t>
        </is>
      </c>
      <c r="B92" s="20" t="n">
        <v>44867.82708333333</v>
      </c>
      <c r="C92" s="20">
        <f>B92+1</f>
        <v/>
      </c>
      <c r="D92" s="21">
        <f>(C92-NOW())*24</f>
        <v/>
      </c>
      <c r="E92" s="19">
        <f>IF('Ram - Digital ToDo'!Q92="Escalate to call","CALL NOW",IF('Ram - Digital ToDo'!N92="Bad contact","CALL NOW (digital failed)","Ram is handling - no action"))</f>
        <v/>
      </c>
      <c r="F92" s="19">
        <f>IF(E92="Ram is handling - no action","No action needed",IF(M92="","CALL 1: ring candidate, offer to book on call (Playbook C1)",IF(OR(M92="Scheduled on call",M92="Booked on their behalf"),"DONE: scheduled on call",IF(M92="Not interested/Declined","CLOSED: candidate declined (log + tell lead)",IF(N92="","CALL 2: final attempt (Playbook C2)",IF(OR(N92="Scheduled on call",N92="Booked on their behalf"),"DONE: scheduled on call",IF(N92="Escalate to AM","ESCALATED TO LEAD","Review")))))))</f>
        <v/>
      </c>
      <c r="G92" s="20">
        <f>IF(E92="Ram is handling - no action","",IF(M92="",B92+6/24,IF(AND(M92&lt;&gt;"Scheduled on call",M92&lt;&gt;"Booked on their behalf",M92&lt;&gt;"Not interested/Declined",N92=""),B92+20/24,"")))</f>
        <v/>
      </c>
      <c r="H92" s="19" t="inlineStr">
        <is>
          <t>Chetan</t>
        </is>
      </c>
      <c r="I92" s="19" t="inlineStr">
        <is>
          <t>Google</t>
        </is>
      </c>
      <c r="J92" s="19" t="inlineStr">
        <is>
          <t>Round1</t>
        </is>
      </c>
      <c r="K92" s="22" t="inlineStr">
        <is>
          <t>+91 9920264452</t>
        </is>
      </c>
      <c r="L92" s="19" t="inlineStr">
        <is>
          <t>&lt;calendly_link&gt;</t>
        </is>
      </c>
      <c r="M92" s="19" t="n"/>
      <c r="N92" s="19" t="n"/>
      <c r="O92" s="19">
        <f>IF(OR(M92="Scheduled on call",M92="Booked on their behalf",N92="Scheduled on call",N92="Booked on their behalf"),"SCHEDULED (call)",IF(OR(M92="Not interested/Declined",N92="Not interested/Declined"),"DECLINED",IF(N92="Escalate to AM","ESCALATED TO LEAD",IF(E92="Ram is handling - no action","N/A",IF(M92="","PENDING CALL 1","IN PROGRESS")))))</f>
        <v/>
      </c>
      <c r="P92" s="19">
        <f>IF(OR('Ram - Digital ToDo'!O92="Scheduled",'Ram - Digital ToDo'!Q92="Scheduled"),"Scheduled within SLA (self-serve)",IF(OR(M92="Scheduled on call",M92="Booked on their behalf",N92="Scheduled on call",N92="Booked on their behalf"),"Scheduled within SLA (call)",IF(OR(M92="Not interested/Declined",N92="Not interested/Declined"),"Declined",IF(N92="Escalate to AM","SLA breach - unresolved","In progress"))))</f>
        <v/>
      </c>
      <c r="Q92" s="19" t="n"/>
    </row>
    <row r="93">
      <c r="A93" s="19" t="inlineStr">
        <is>
          <t>REQ-0092</t>
        </is>
      </c>
      <c r="B93" s="20" t="n">
        <v>44867.82708333333</v>
      </c>
      <c r="C93" s="20">
        <f>B93+1</f>
        <v/>
      </c>
      <c r="D93" s="21">
        <f>(C93-NOW())*24</f>
        <v/>
      </c>
      <c r="E93" s="19">
        <f>IF('Ram - Digital ToDo'!Q93="Escalate to call","CALL NOW",IF('Ram - Digital ToDo'!N93="Bad contact","CALL NOW (digital failed)","Ram is handling - no action"))</f>
        <v/>
      </c>
      <c r="F93" s="19">
        <f>IF(E93="Ram is handling - no action","No action needed",IF(M93="","CALL 1: ring candidate, offer to book on call (Playbook C1)",IF(OR(M93="Scheduled on call",M93="Booked on their behalf"),"DONE: scheduled on call",IF(M93="Not interested/Declined","CLOSED: candidate declined (log + tell lead)",IF(N93="","CALL 2: final attempt (Playbook C2)",IF(OR(N93="Scheduled on call",N93="Booked on their behalf"),"DONE: scheduled on call",IF(N93="Escalate to AM","ESCALATED TO LEAD","Review")))))))</f>
        <v/>
      </c>
      <c r="G93" s="20">
        <f>IF(E93="Ram is handling - no action","",IF(M93="",B93+6/24,IF(AND(M93&lt;&gt;"Scheduled on call",M93&lt;&gt;"Booked on their behalf",M93&lt;&gt;"Not interested/Declined",N93=""),B93+20/24,"")))</f>
        <v/>
      </c>
      <c r="H93" s="19" t="inlineStr">
        <is>
          <t>Chetan</t>
        </is>
      </c>
      <c r="I93" s="19" t="inlineStr">
        <is>
          <t>Google</t>
        </is>
      </c>
      <c r="J93" s="19" t="inlineStr">
        <is>
          <t>Round1</t>
        </is>
      </c>
      <c r="K93" s="22" t="inlineStr">
        <is>
          <t>+91 9920264452</t>
        </is>
      </c>
      <c r="L93" s="19" t="inlineStr">
        <is>
          <t>&lt;calendly_link&gt;</t>
        </is>
      </c>
      <c r="M93" s="19" t="n"/>
      <c r="N93" s="19" t="n"/>
      <c r="O93" s="19">
        <f>IF(OR(M93="Scheduled on call",M93="Booked on their behalf",N93="Scheduled on call",N93="Booked on their behalf"),"SCHEDULED (call)",IF(OR(M93="Not interested/Declined",N93="Not interested/Declined"),"DECLINED",IF(N93="Escalate to AM","ESCALATED TO LEAD",IF(E93="Ram is handling - no action","N/A",IF(M93="","PENDING CALL 1","IN PROGRESS")))))</f>
        <v/>
      </c>
      <c r="P93" s="19">
        <f>IF(OR('Ram - Digital ToDo'!O93="Scheduled",'Ram - Digital ToDo'!Q93="Scheduled"),"Scheduled within SLA (self-serve)",IF(OR(M93="Scheduled on call",M93="Booked on their behalf",N93="Scheduled on call",N93="Booked on their behalf"),"Scheduled within SLA (call)",IF(OR(M93="Not interested/Declined",N93="Not interested/Declined"),"Declined",IF(N93="Escalate to AM","SLA breach - unresolved","In progress"))))</f>
        <v/>
      </c>
      <c r="Q93" s="19" t="n"/>
    </row>
    <row r="94">
      <c r="A94" s="19" t="inlineStr">
        <is>
          <t>REQ-0093</t>
        </is>
      </c>
      <c r="B94" s="20" t="n">
        <v>44867.82708333333</v>
      </c>
      <c r="C94" s="20">
        <f>B94+1</f>
        <v/>
      </c>
      <c r="D94" s="21">
        <f>(C94-NOW())*24</f>
        <v/>
      </c>
      <c r="E94" s="19">
        <f>IF('Ram - Digital ToDo'!Q94="Escalate to call","CALL NOW",IF('Ram - Digital ToDo'!N94="Bad contact","CALL NOW (digital failed)","Ram is handling - no action"))</f>
        <v/>
      </c>
      <c r="F94" s="19">
        <f>IF(E94="Ram is handling - no action","No action needed",IF(M94="","CALL 1: ring candidate, offer to book on call (Playbook C1)",IF(OR(M94="Scheduled on call",M94="Booked on their behalf"),"DONE: scheduled on call",IF(M94="Not interested/Declined","CLOSED: candidate declined (log + tell lead)",IF(N94="","CALL 2: final attempt (Playbook C2)",IF(OR(N94="Scheduled on call",N94="Booked on their behalf"),"DONE: scheduled on call",IF(N94="Escalate to AM","ESCALATED TO LEAD","Review")))))))</f>
        <v/>
      </c>
      <c r="G94" s="20">
        <f>IF(E94="Ram is handling - no action","",IF(M94="",B94+6/24,IF(AND(M94&lt;&gt;"Scheduled on call",M94&lt;&gt;"Booked on their behalf",M94&lt;&gt;"Not interested/Declined",N94=""),B94+20/24,"")))</f>
        <v/>
      </c>
      <c r="H94" s="19" t="inlineStr">
        <is>
          <t>Chetan</t>
        </is>
      </c>
      <c r="I94" s="19" t="inlineStr">
        <is>
          <t>Google</t>
        </is>
      </c>
      <c r="J94" s="19" t="inlineStr">
        <is>
          <t>Round1</t>
        </is>
      </c>
      <c r="K94" s="22" t="inlineStr">
        <is>
          <t>+91 9920264452</t>
        </is>
      </c>
      <c r="L94" s="19" t="inlineStr">
        <is>
          <t>&lt;calendly_link&gt;</t>
        </is>
      </c>
      <c r="M94" s="19" t="n"/>
      <c r="N94" s="19" t="n"/>
      <c r="O94" s="19">
        <f>IF(OR(M94="Scheduled on call",M94="Booked on their behalf",N94="Scheduled on call",N94="Booked on their behalf"),"SCHEDULED (call)",IF(OR(M94="Not interested/Declined",N94="Not interested/Declined"),"DECLINED",IF(N94="Escalate to AM","ESCALATED TO LEAD",IF(E94="Ram is handling - no action","N/A",IF(M94="","PENDING CALL 1","IN PROGRESS")))))</f>
        <v/>
      </c>
      <c r="P94" s="19">
        <f>IF(OR('Ram - Digital ToDo'!O94="Scheduled",'Ram - Digital ToDo'!Q94="Scheduled"),"Scheduled within SLA (self-serve)",IF(OR(M94="Scheduled on call",M94="Booked on their behalf",N94="Scheduled on call",N94="Booked on their behalf"),"Scheduled within SLA (call)",IF(OR(M94="Not interested/Declined",N94="Not interested/Declined"),"Declined",IF(N94="Escalate to AM","SLA breach - unresolved","In progress"))))</f>
        <v/>
      </c>
      <c r="Q94" s="19" t="n"/>
    </row>
    <row r="95">
      <c r="A95" s="19" t="inlineStr">
        <is>
          <t>REQ-0094</t>
        </is>
      </c>
      <c r="B95" s="20" t="n">
        <v>44867.82708333333</v>
      </c>
      <c r="C95" s="20">
        <f>B95+1</f>
        <v/>
      </c>
      <c r="D95" s="21">
        <f>(C95-NOW())*24</f>
        <v/>
      </c>
      <c r="E95" s="19">
        <f>IF('Ram - Digital ToDo'!Q95="Escalate to call","CALL NOW",IF('Ram - Digital ToDo'!N95="Bad contact","CALL NOW (digital failed)","Ram is handling - no action"))</f>
        <v/>
      </c>
      <c r="F95" s="19">
        <f>IF(E95="Ram is handling - no action","No action needed",IF(M95="","CALL 1: ring candidate, offer to book on call (Playbook C1)",IF(OR(M95="Scheduled on call",M95="Booked on their behalf"),"DONE: scheduled on call",IF(M95="Not interested/Declined","CLOSED: candidate declined (log + tell lead)",IF(N95="","CALL 2: final attempt (Playbook C2)",IF(OR(N95="Scheduled on call",N95="Booked on their behalf"),"DONE: scheduled on call",IF(N95="Escalate to AM","ESCALATED TO LEAD","Review")))))))</f>
        <v/>
      </c>
      <c r="G95" s="20">
        <f>IF(E95="Ram is handling - no action","",IF(M95="",B95+6/24,IF(AND(M95&lt;&gt;"Scheduled on call",M95&lt;&gt;"Booked on their behalf",M95&lt;&gt;"Not interested/Declined",N95=""),B95+20/24,"")))</f>
        <v/>
      </c>
      <c r="H95" s="19" t="inlineStr">
        <is>
          <t>Chetan</t>
        </is>
      </c>
      <c r="I95" s="19" t="inlineStr">
        <is>
          <t>Google</t>
        </is>
      </c>
      <c r="J95" s="19" t="inlineStr">
        <is>
          <t>Round1</t>
        </is>
      </c>
      <c r="K95" s="22" t="inlineStr">
        <is>
          <t>+91 9920264452</t>
        </is>
      </c>
      <c r="L95" s="19" t="inlineStr">
        <is>
          <t>&lt;calendly_link&gt;</t>
        </is>
      </c>
      <c r="M95" s="19" t="n"/>
      <c r="N95" s="19" t="n"/>
      <c r="O95" s="19">
        <f>IF(OR(M95="Scheduled on call",M95="Booked on their behalf",N95="Scheduled on call",N95="Booked on their behalf"),"SCHEDULED (call)",IF(OR(M95="Not interested/Declined",N95="Not interested/Declined"),"DECLINED",IF(N95="Escalate to AM","ESCALATED TO LEAD",IF(E95="Ram is handling - no action","N/A",IF(M95="","PENDING CALL 1","IN PROGRESS")))))</f>
        <v/>
      </c>
      <c r="P95" s="19">
        <f>IF(OR('Ram - Digital ToDo'!O95="Scheduled",'Ram - Digital ToDo'!Q95="Scheduled"),"Scheduled within SLA (self-serve)",IF(OR(M95="Scheduled on call",M95="Booked on their behalf",N95="Scheduled on call",N95="Booked on their behalf"),"Scheduled within SLA (call)",IF(OR(M95="Not interested/Declined",N95="Not interested/Declined"),"Declined",IF(N95="Escalate to AM","SLA breach - unresolved","In progress"))))</f>
        <v/>
      </c>
      <c r="Q95" s="19" t="n"/>
    </row>
    <row r="96">
      <c r="A96" s="19" t="inlineStr">
        <is>
          <t>REQ-0095</t>
        </is>
      </c>
      <c r="B96" s="20" t="n">
        <v>44867.82708333333</v>
      </c>
      <c r="C96" s="20">
        <f>B96+1</f>
        <v/>
      </c>
      <c r="D96" s="21">
        <f>(C96-NOW())*24</f>
        <v/>
      </c>
      <c r="E96" s="19">
        <f>IF('Ram - Digital ToDo'!Q96="Escalate to call","CALL NOW",IF('Ram - Digital ToDo'!N96="Bad contact","CALL NOW (digital failed)","Ram is handling - no action"))</f>
        <v/>
      </c>
      <c r="F96" s="19">
        <f>IF(E96="Ram is handling - no action","No action needed",IF(M96="","CALL 1: ring candidate, offer to book on call (Playbook C1)",IF(OR(M96="Scheduled on call",M96="Booked on their behalf"),"DONE: scheduled on call",IF(M96="Not interested/Declined","CLOSED: candidate declined (log + tell lead)",IF(N96="","CALL 2: final attempt (Playbook C2)",IF(OR(N96="Scheduled on call",N96="Booked on their behalf"),"DONE: scheduled on call",IF(N96="Escalate to AM","ESCALATED TO LEAD","Review")))))))</f>
        <v/>
      </c>
      <c r="G96" s="20">
        <f>IF(E96="Ram is handling - no action","",IF(M96="",B96+6/24,IF(AND(M96&lt;&gt;"Scheduled on call",M96&lt;&gt;"Booked on their behalf",M96&lt;&gt;"Not interested/Declined",N96=""),B96+20/24,"")))</f>
        <v/>
      </c>
      <c r="H96" s="19" t="inlineStr">
        <is>
          <t>Chetan</t>
        </is>
      </c>
      <c r="I96" s="19" t="inlineStr">
        <is>
          <t>Google</t>
        </is>
      </c>
      <c r="J96" s="19" t="inlineStr">
        <is>
          <t>Round1</t>
        </is>
      </c>
      <c r="K96" s="22" t="inlineStr">
        <is>
          <t>+91 9920264452</t>
        </is>
      </c>
      <c r="L96" s="19" t="inlineStr">
        <is>
          <t>&lt;calendly_link&gt;</t>
        </is>
      </c>
      <c r="M96" s="19" t="n"/>
      <c r="N96" s="19" t="n"/>
      <c r="O96" s="19">
        <f>IF(OR(M96="Scheduled on call",M96="Booked on their behalf",N96="Scheduled on call",N96="Booked on their behalf"),"SCHEDULED (call)",IF(OR(M96="Not interested/Declined",N96="Not interested/Declined"),"DECLINED",IF(N96="Escalate to AM","ESCALATED TO LEAD",IF(E96="Ram is handling - no action","N/A",IF(M96="","PENDING CALL 1","IN PROGRESS")))))</f>
        <v/>
      </c>
      <c r="P96" s="19">
        <f>IF(OR('Ram - Digital ToDo'!O96="Scheduled",'Ram - Digital ToDo'!Q96="Scheduled"),"Scheduled within SLA (self-serve)",IF(OR(M96="Scheduled on call",M96="Booked on their behalf",N96="Scheduled on call",N96="Booked on their behalf"),"Scheduled within SLA (call)",IF(OR(M96="Not interested/Declined",N96="Not interested/Declined"),"Declined",IF(N96="Escalate to AM","SLA breach - unresolved","In progress"))))</f>
        <v/>
      </c>
      <c r="Q96" s="19" t="n"/>
    </row>
    <row r="97">
      <c r="A97" s="19" t="inlineStr">
        <is>
          <t>REQ-0096</t>
        </is>
      </c>
      <c r="B97" s="20" t="n">
        <v>44867.82708333333</v>
      </c>
      <c r="C97" s="20">
        <f>B97+1</f>
        <v/>
      </c>
      <c r="D97" s="21">
        <f>(C97-NOW())*24</f>
        <v/>
      </c>
      <c r="E97" s="19">
        <f>IF('Ram - Digital ToDo'!Q97="Escalate to call","CALL NOW",IF('Ram - Digital ToDo'!N97="Bad contact","CALL NOW (digital failed)","Ram is handling - no action"))</f>
        <v/>
      </c>
      <c r="F97" s="19">
        <f>IF(E97="Ram is handling - no action","No action needed",IF(M97="","CALL 1: ring candidate, offer to book on call (Playbook C1)",IF(OR(M97="Scheduled on call",M97="Booked on their behalf"),"DONE: scheduled on call",IF(M97="Not interested/Declined","CLOSED: candidate declined (log + tell lead)",IF(N97="","CALL 2: final attempt (Playbook C2)",IF(OR(N97="Scheduled on call",N97="Booked on their behalf"),"DONE: scheduled on call",IF(N97="Escalate to AM","ESCALATED TO LEAD","Review")))))))</f>
        <v/>
      </c>
      <c r="G97" s="20">
        <f>IF(E97="Ram is handling - no action","",IF(M97="",B97+6/24,IF(AND(M97&lt;&gt;"Scheduled on call",M97&lt;&gt;"Booked on their behalf",M97&lt;&gt;"Not interested/Declined",N97=""),B97+20/24,"")))</f>
        <v/>
      </c>
      <c r="H97" s="19" t="inlineStr">
        <is>
          <t>Chetan</t>
        </is>
      </c>
      <c r="I97" s="19" t="inlineStr">
        <is>
          <t>Google</t>
        </is>
      </c>
      <c r="J97" s="19" t="inlineStr">
        <is>
          <t>Round1</t>
        </is>
      </c>
      <c r="K97" s="22" t="inlineStr">
        <is>
          <t>+91 9920264452</t>
        </is>
      </c>
      <c r="L97" s="19" t="inlineStr">
        <is>
          <t>&lt;calendly_link&gt;</t>
        </is>
      </c>
      <c r="M97" s="19" t="n"/>
      <c r="N97" s="19" t="n"/>
      <c r="O97" s="19">
        <f>IF(OR(M97="Scheduled on call",M97="Booked on their behalf",N97="Scheduled on call",N97="Booked on their behalf"),"SCHEDULED (call)",IF(OR(M97="Not interested/Declined",N97="Not interested/Declined"),"DECLINED",IF(N97="Escalate to AM","ESCALATED TO LEAD",IF(E97="Ram is handling - no action","N/A",IF(M97="","PENDING CALL 1","IN PROGRESS")))))</f>
        <v/>
      </c>
      <c r="P97" s="19">
        <f>IF(OR('Ram - Digital ToDo'!O97="Scheduled",'Ram - Digital ToDo'!Q97="Scheduled"),"Scheduled within SLA (self-serve)",IF(OR(M97="Scheduled on call",M97="Booked on their behalf",N97="Scheduled on call",N97="Booked on their behalf"),"Scheduled within SLA (call)",IF(OR(M97="Not interested/Declined",N97="Not interested/Declined"),"Declined",IF(N97="Escalate to AM","SLA breach - unresolved","In progress"))))</f>
        <v/>
      </c>
      <c r="Q97" s="19" t="n"/>
    </row>
    <row r="98">
      <c r="A98" s="19" t="inlineStr">
        <is>
          <t>REQ-0097</t>
        </is>
      </c>
      <c r="B98" s="20" t="n">
        <v>44867.82708333333</v>
      </c>
      <c r="C98" s="20">
        <f>B98+1</f>
        <v/>
      </c>
      <c r="D98" s="21">
        <f>(C98-NOW())*24</f>
        <v/>
      </c>
      <c r="E98" s="19">
        <f>IF('Ram - Digital ToDo'!Q98="Escalate to call","CALL NOW",IF('Ram - Digital ToDo'!N98="Bad contact","CALL NOW (digital failed)","Ram is handling - no action"))</f>
        <v/>
      </c>
      <c r="F98" s="19">
        <f>IF(E98="Ram is handling - no action","No action needed",IF(M98="","CALL 1: ring candidate, offer to book on call (Playbook C1)",IF(OR(M98="Scheduled on call",M98="Booked on their behalf"),"DONE: scheduled on call",IF(M98="Not interested/Declined","CLOSED: candidate declined (log + tell lead)",IF(N98="","CALL 2: final attempt (Playbook C2)",IF(OR(N98="Scheduled on call",N98="Booked on their behalf"),"DONE: scheduled on call",IF(N98="Escalate to AM","ESCALATED TO LEAD","Review")))))))</f>
        <v/>
      </c>
      <c r="G98" s="20">
        <f>IF(E98="Ram is handling - no action","",IF(M98="",B98+6/24,IF(AND(M98&lt;&gt;"Scheduled on call",M98&lt;&gt;"Booked on their behalf",M98&lt;&gt;"Not interested/Declined",N98=""),B98+20/24,"")))</f>
        <v/>
      </c>
      <c r="H98" s="19" t="inlineStr">
        <is>
          <t>Chetan</t>
        </is>
      </c>
      <c r="I98" s="19" t="inlineStr">
        <is>
          <t>Google</t>
        </is>
      </c>
      <c r="J98" s="19" t="inlineStr">
        <is>
          <t>Round1</t>
        </is>
      </c>
      <c r="K98" s="22" t="inlineStr">
        <is>
          <t>+91 9920264452</t>
        </is>
      </c>
      <c r="L98" s="19" t="inlineStr">
        <is>
          <t>&lt;calendly_link&gt;</t>
        </is>
      </c>
      <c r="M98" s="19" t="n"/>
      <c r="N98" s="19" t="n"/>
      <c r="O98" s="19">
        <f>IF(OR(M98="Scheduled on call",M98="Booked on their behalf",N98="Scheduled on call",N98="Booked on their behalf"),"SCHEDULED (call)",IF(OR(M98="Not interested/Declined",N98="Not interested/Declined"),"DECLINED",IF(N98="Escalate to AM","ESCALATED TO LEAD",IF(E98="Ram is handling - no action","N/A",IF(M98="","PENDING CALL 1","IN PROGRESS")))))</f>
        <v/>
      </c>
      <c r="P98" s="19">
        <f>IF(OR('Ram - Digital ToDo'!O98="Scheduled",'Ram - Digital ToDo'!Q98="Scheduled"),"Scheduled within SLA (self-serve)",IF(OR(M98="Scheduled on call",M98="Booked on their behalf",N98="Scheduled on call",N98="Booked on their behalf"),"Scheduled within SLA (call)",IF(OR(M98="Not interested/Declined",N98="Not interested/Declined"),"Declined",IF(N98="Escalate to AM","SLA breach - unresolved","In progress"))))</f>
        <v/>
      </c>
      <c r="Q98" s="19" t="n"/>
    </row>
    <row r="99">
      <c r="A99" s="19" t="inlineStr">
        <is>
          <t>REQ-0098</t>
        </is>
      </c>
      <c r="B99" s="20" t="n">
        <v>44867.82708333333</v>
      </c>
      <c r="C99" s="20">
        <f>B99+1</f>
        <v/>
      </c>
      <c r="D99" s="21">
        <f>(C99-NOW())*24</f>
        <v/>
      </c>
      <c r="E99" s="19">
        <f>IF('Ram - Digital ToDo'!Q99="Escalate to call","CALL NOW",IF('Ram - Digital ToDo'!N99="Bad contact","CALL NOW (digital failed)","Ram is handling - no action"))</f>
        <v/>
      </c>
      <c r="F99" s="19">
        <f>IF(E99="Ram is handling - no action","No action needed",IF(M99="","CALL 1: ring candidate, offer to book on call (Playbook C1)",IF(OR(M99="Scheduled on call",M99="Booked on their behalf"),"DONE: scheduled on call",IF(M99="Not interested/Declined","CLOSED: candidate declined (log + tell lead)",IF(N99="","CALL 2: final attempt (Playbook C2)",IF(OR(N99="Scheduled on call",N99="Booked on their behalf"),"DONE: scheduled on call",IF(N99="Escalate to AM","ESCALATED TO LEAD","Review")))))))</f>
        <v/>
      </c>
      <c r="G99" s="20">
        <f>IF(E99="Ram is handling - no action","",IF(M99="",B99+6/24,IF(AND(M99&lt;&gt;"Scheduled on call",M99&lt;&gt;"Booked on their behalf",M99&lt;&gt;"Not interested/Declined",N99=""),B99+20/24,"")))</f>
        <v/>
      </c>
      <c r="H99" s="19" t="inlineStr">
        <is>
          <t>Chetan</t>
        </is>
      </c>
      <c r="I99" s="19" t="inlineStr">
        <is>
          <t>Google</t>
        </is>
      </c>
      <c r="J99" s="19" t="inlineStr">
        <is>
          <t>Round1</t>
        </is>
      </c>
      <c r="K99" s="22" t="inlineStr">
        <is>
          <t>+91 9920264452</t>
        </is>
      </c>
      <c r="L99" s="19" t="inlineStr">
        <is>
          <t>&lt;calendly_link&gt;</t>
        </is>
      </c>
      <c r="M99" s="19" t="n"/>
      <c r="N99" s="19" t="n"/>
      <c r="O99" s="19">
        <f>IF(OR(M99="Scheduled on call",M99="Booked on their behalf",N99="Scheduled on call",N99="Booked on their behalf"),"SCHEDULED (call)",IF(OR(M99="Not interested/Declined",N99="Not interested/Declined"),"DECLINED",IF(N99="Escalate to AM","ESCALATED TO LEAD",IF(E99="Ram is handling - no action","N/A",IF(M99="","PENDING CALL 1","IN PROGRESS")))))</f>
        <v/>
      </c>
      <c r="P99" s="19">
        <f>IF(OR('Ram - Digital ToDo'!O99="Scheduled",'Ram - Digital ToDo'!Q99="Scheduled"),"Scheduled within SLA (self-serve)",IF(OR(M99="Scheduled on call",M99="Booked on their behalf",N99="Scheduled on call",N99="Booked on their behalf"),"Scheduled within SLA (call)",IF(OR(M99="Not interested/Declined",N99="Not interested/Declined"),"Declined",IF(N99="Escalate to AM","SLA breach - unresolved","In progress"))))</f>
        <v/>
      </c>
      <c r="Q99" s="19" t="n"/>
    </row>
    <row r="100">
      <c r="A100" s="19" t="inlineStr">
        <is>
          <t>REQ-0099</t>
        </is>
      </c>
      <c r="B100" s="20" t="n">
        <v>44867.82708333333</v>
      </c>
      <c r="C100" s="20">
        <f>B100+1</f>
        <v/>
      </c>
      <c r="D100" s="21">
        <f>(C100-NOW())*24</f>
        <v/>
      </c>
      <c r="E100" s="19">
        <f>IF('Ram - Digital ToDo'!Q100="Escalate to call","CALL NOW",IF('Ram - Digital ToDo'!N100="Bad contact","CALL NOW (digital failed)","Ram is handling - no action"))</f>
        <v/>
      </c>
      <c r="F100" s="19">
        <f>IF(E100="Ram is handling - no action","No action needed",IF(M100="","CALL 1: ring candidate, offer to book on call (Playbook C1)",IF(OR(M100="Scheduled on call",M100="Booked on their behalf"),"DONE: scheduled on call",IF(M100="Not interested/Declined","CLOSED: candidate declined (log + tell lead)",IF(N100="","CALL 2: final attempt (Playbook C2)",IF(OR(N100="Scheduled on call",N100="Booked on their behalf"),"DONE: scheduled on call",IF(N100="Escalate to AM","ESCALATED TO LEAD","Review")))))))</f>
        <v/>
      </c>
      <c r="G100" s="20">
        <f>IF(E100="Ram is handling - no action","",IF(M100="",B100+6/24,IF(AND(M100&lt;&gt;"Scheduled on call",M100&lt;&gt;"Booked on their behalf",M100&lt;&gt;"Not interested/Declined",N100=""),B100+20/24,"")))</f>
        <v/>
      </c>
      <c r="H100" s="19" t="inlineStr">
        <is>
          <t>Chetan</t>
        </is>
      </c>
      <c r="I100" s="19" t="inlineStr">
        <is>
          <t>Google</t>
        </is>
      </c>
      <c r="J100" s="19" t="inlineStr">
        <is>
          <t>Round1</t>
        </is>
      </c>
      <c r="K100" s="22" t="inlineStr">
        <is>
          <t>+91 9920264452</t>
        </is>
      </c>
      <c r="L100" s="19" t="inlineStr">
        <is>
          <t>&lt;calendly_link&gt;</t>
        </is>
      </c>
      <c r="M100" s="19" t="n"/>
      <c r="N100" s="19" t="n"/>
      <c r="O100" s="19">
        <f>IF(OR(M100="Scheduled on call",M100="Booked on their behalf",N100="Scheduled on call",N100="Booked on their behalf"),"SCHEDULED (call)",IF(OR(M100="Not interested/Declined",N100="Not interested/Declined"),"DECLINED",IF(N100="Escalate to AM","ESCALATED TO LEAD",IF(E100="Ram is handling - no action","N/A",IF(M100="","PENDING CALL 1","IN PROGRESS")))))</f>
        <v/>
      </c>
      <c r="P100" s="19">
        <f>IF(OR('Ram - Digital ToDo'!O100="Scheduled",'Ram - Digital ToDo'!Q100="Scheduled"),"Scheduled within SLA (self-serve)",IF(OR(M100="Scheduled on call",M100="Booked on their behalf",N100="Scheduled on call",N100="Booked on their behalf"),"Scheduled within SLA (call)",IF(OR(M100="Not interested/Declined",N100="Not interested/Declined"),"Declined",IF(N100="Escalate to AM","SLA breach - unresolved","In progress"))))</f>
        <v/>
      </c>
      <c r="Q100" s="19" t="n"/>
    </row>
    <row r="101">
      <c r="A101" s="19" t="inlineStr">
        <is>
          <t>REQ-0100</t>
        </is>
      </c>
      <c r="B101" s="20" t="n">
        <v>44867.82708333333</v>
      </c>
      <c r="C101" s="20">
        <f>B101+1</f>
        <v/>
      </c>
      <c r="D101" s="21">
        <f>(C101-NOW())*24</f>
        <v/>
      </c>
      <c r="E101" s="19">
        <f>IF('Ram - Digital ToDo'!Q101="Escalate to call","CALL NOW",IF('Ram - Digital ToDo'!N101="Bad contact","CALL NOW (digital failed)","Ram is handling - no action"))</f>
        <v/>
      </c>
      <c r="F101" s="19">
        <f>IF(E101="Ram is handling - no action","No action needed",IF(M101="","CALL 1: ring candidate, offer to book on call (Playbook C1)",IF(OR(M101="Scheduled on call",M101="Booked on their behalf"),"DONE: scheduled on call",IF(M101="Not interested/Declined","CLOSED: candidate declined (log + tell lead)",IF(N101="","CALL 2: final attempt (Playbook C2)",IF(OR(N101="Scheduled on call",N101="Booked on their behalf"),"DONE: scheduled on call",IF(N101="Escalate to AM","ESCALATED TO LEAD","Review")))))))</f>
        <v/>
      </c>
      <c r="G101" s="20">
        <f>IF(E101="Ram is handling - no action","",IF(M101="",B101+6/24,IF(AND(M101&lt;&gt;"Scheduled on call",M101&lt;&gt;"Booked on their behalf",M101&lt;&gt;"Not interested/Declined",N101=""),B101+20/24,"")))</f>
        <v/>
      </c>
      <c r="H101" s="19" t="inlineStr">
        <is>
          <t>Chetan</t>
        </is>
      </c>
      <c r="I101" s="19" t="inlineStr">
        <is>
          <t>Google</t>
        </is>
      </c>
      <c r="J101" s="19" t="inlineStr">
        <is>
          <t>Round1</t>
        </is>
      </c>
      <c r="K101" s="22" t="inlineStr">
        <is>
          <t>+91 9920264452</t>
        </is>
      </c>
      <c r="L101" s="19" t="inlineStr">
        <is>
          <t>&lt;calendly_link&gt;</t>
        </is>
      </c>
      <c r="M101" s="19" t="n"/>
      <c r="N101" s="19" t="n"/>
      <c r="O101" s="19">
        <f>IF(OR(M101="Scheduled on call",M101="Booked on their behalf",N101="Scheduled on call",N101="Booked on their behalf"),"SCHEDULED (call)",IF(OR(M101="Not interested/Declined",N101="Not interested/Declined"),"DECLINED",IF(N101="Escalate to AM","ESCALATED TO LEAD",IF(E101="Ram is handling - no action","N/A",IF(M101="","PENDING CALL 1","IN PROGRESS")))))</f>
        <v/>
      </c>
      <c r="P101" s="19">
        <f>IF(OR('Ram - Digital ToDo'!O101="Scheduled",'Ram - Digital ToDo'!Q101="Scheduled"),"Scheduled within SLA (self-serve)",IF(OR(M101="Scheduled on call",M101="Booked on their behalf",N101="Scheduled on call",N101="Booked on their behalf"),"Scheduled within SLA (call)",IF(OR(M101="Not interested/Declined",N101="Not interested/Declined"),"Declined",IF(N101="Escalate to AM","SLA breach - unresolved","In progress"))))</f>
        <v/>
      </c>
      <c r="Q101" s="19" t="n"/>
    </row>
    <row r="102">
      <c r="A102" s="19" t="inlineStr">
        <is>
          <t>REQ-0101</t>
        </is>
      </c>
      <c r="B102" s="20" t="n">
        <v>44867.82708333333</v>
      </c>
      <c r="C102" s="20">
        <f>B102+1</f>
        <v/>
      </c>
      <c r="D102" s="21">
        <f>(C102-NOW())*24</f>
        <v/>
      </c>
      <c r="E102" s="19">
        <f>IF('Ram - Digital ToDo'!Q102="Escalate to call","CALL NOW",IF('Ram - Digital ToDo'!N102="Bad contact","CALL NOW (digital failed)","Ram is handling - no action"))</f>
        <v/>
      </c>
      <c r="F102" s="19">
        <f>IF(E102="Ram is handling - no action","No action needed",IF(M102="","CALL 1: ring candidate, offer to book on call (Playbook C1)",IF(OR(M102="Scheduled on call",M102="Booked on their behalf"),"DONE: scheduled on call",IF(M102="Not interested/Declined","CLOSED: candidate declined (log + tell lead)",IF(N102="","CALL 2: final attempt (Playbook C2)",IF(OR(N102="Scheduled on call",N102="Booked on their behalf"),"DONE: scheduled on call",IF(N102="Escalate to AM","ESCALATED TO LEAD","Review")))))))</f>
        <v/>
      </c>
      <c r="G102" s="20">
        <f>IF(E102="Ram is handling - no action","",IF(M102="",B102+6/24,IF(AND(M102&lt;&gt;"Scheduled on call",M102&lt;&gt;"Booked on their behalf",M102&lt;&gt;"Not interested/Declined",N102=""),B102+20/24,"")))</f>
        <v/>
      </c>
      <c r="H102" s="19" t="inlineStr">
        <is>
          <t>Chetan</t>
        </is>
      </c>
      <c r="I102" s="19" t="inlineStr">
        <is>
          <t>Google</t>
        </is>
      </c>
      <c r="J102" s="19" t="inlineStr">
        <is>
          <t>Round1</t>
        </is>
      </c>
      <c r="K102" s="22" t="inlineStr">
        <is>
          <t>+91 9920264452</t>
        </is>
      </c>
      <c r="L102" s="19" t="inlineStr">
        <is>
          <t>&lt;calendly_link&gt;</t>
        </is>
      </c>
      <c r="M102" s="19" t="n"/>
      <c r="N102" s="19" t="n"/>
      <c r="O102" s="19">
        <f>IF(OR(M102="Scheduled on call",M102="Booked on their behalf",N102="Scheduled on call",N102="Booked on their behalf"),"SCHEDULED (call)",IF(OR(M102="Not interested/Declined",N102="Not interested/Declined"),"DECLINED",IF(N102="Escalate to AM","ESCALATED TO LEAD",IF(E102="Ram is handling - no action","N/A",IF(M102="","PENDING CALL 1","IN PROGRESS")))))</f>
        <v/>
      </c>
      <c r="P102" s="19">
        <f>IF(OR('Ram - Digital ToDo'!O102="Scheduled",'Ram - Digital ToDo'!Q102="Scheduled"),"Scheduled within SLA (self-serve)",IF(OR(M102="Scheduled on call",M102="Booked on their behalf",N102="Scheduled on call",N102="Booked on their behalf"),"Scheduled within SLA (call)",IF(OR(M102="Not interested/Declined",N102="Not interested/Declined"),"Declined",IF(N102="Escalate to AM","SLA breach - unresolved","In progress"))))</f>
        <v/>
      </c>
      <c r="Q102" s="19" t="n"/>
    </row>
    <row r="103">
      <c r="A103" s="19" t="inlineStr">
        <is>
          <t>REQ-0102</t>
        </is>
      </c>
      <c r="B103" s="20" t="n">
        <v>44867.82708333333</v>
      </c>
      <c r="C103" s="20">
        <f>B103+1</f>
        <v/>
      </c>
      <c r="D103" s="21">
        <f>(C103-NOW())*24</f>
        <v/>
      </c>
      <c r="E103" s="19">
        <f>IF('Ram - Digital ToDo'!Q103="Escalate to call","CALL NOW",IF('Ram - Digital ToDo'!N103="Bad contact","CALL NOW (digital failed)","Ram is handling - no action"))</f>
        <v/>
      </c>
      <c r="F103" s="19">
        <f>IF(E103="Ram is handling - no action","No action needed",IF(M103="","CALL 1: ring candidate, offer to book on call (Playbook C1)",IF(OR(M103="Scheduled on call",M103="Booked on their behalf"),"DONE: scheduled on call",IF(M103="Not interested/Declined","CLOSED: candidate declined (log + tell lead)",IF(N103="","CALL 2: final attempt (Playbook C2)",IF(OR(N103="Scheduled on call",N103="Booked on their behalf"),"DONE: scheduled on call",IF(N103="Escalate to AM","ESCALATED TO LEAD","Review")))))))</f>
        <v/>
      </c>
      <c r="G103" s="20">
        <f>IF(E103="Ram is handling - no action","",IF(M103="",B103+6/24,IF(AND(M103&lt;&gt;"Scheduled on call",M103&lt;&gt;"Booked on their behalf",M103&lt;&gt;"Not interested/Declined",N103=""),B103+20/24,"")))</f>
        <v/>
      </c>
      <c r="H103" s="19" t="inlineStr">
        <is>
          <t>Chetan</t>
        </is>
      </c>
      <c r="I103" s="19" t="inlineStr">
        <is>
          <t>Google</t>
        </is>
      </c>
      <c r="J103" s="19" t="inlineStr">
        <is>
          <t>Round1</t>
        </is>
      </c>
      <c r="K103" s="22" t="inlineStr">
        <is>
          <t>+91 9920264452</t>
        </is>
      </c>
      <c r="L103" s="19" t="inlineStr">
        <is>
          <t>&lt;calendly_link&gt;</t>
        </is>
      </c>
      <c r="M103" s="19" t="n"/>
      <c r="N103" s="19" t="n"/>
      <c r="O103" s="19">
        <f>IF(OR(M103="Scheduled on call",M103="Booked on their behalf",N103="Scheduled on call",N103="Booked on their behalf"),"SCHEDULED (call)",IF(OR(M103="Not interested/Declined",N103="Not interested/Declined"),"DECLINED",IF(N103="Escalate to AM","ESCALATED TO LEAD",IF(E103="Ram is handling - no action","N/A",IF(M103="","PENDING CALL 1","IN PROGRESS")))))</f>
        <v/>
      </c>
      <c r="P103" s="19">
        <f>IF(OR('Ram - Digital ToDo'!O103="Scheduled",'Ram - Digital ToDo'!Q103="Scheduled"),"Scheduled within SLA (self-serve)",IF(OR(M103="Scheduled on call",M103="Booked on their behalf",N103="Scheduled on call",N103="Booked on their behalf"),"Scheduled within SLA (call)",IF(OR(M103="Not interested/Declined",N103="Not interested/Declined"),"Declined",IF(N103="Escalate to AM","SLA breach - unresolved","In progress"))))</f>
        <v/>
      </c>
      <c r="Q103" s="19" t="n"/>
    </row>
    <row r="104">
      <c r="A104" s="19" t="inlineStr">
        <is>
          <t>REQ-0103</t>
        </is>
      </c>
      <c r="B104" s="20" t="n">
        <v>44867.82708333333</v>
      </c>
      <c r="C104" s="20">
        <f>B104+1</f>
        <v/>
      </c>
      <c r="D104" s="21">
        <f>(C104-NOW())*24</f>
        <v/>
      </c>
      <c r="E104" s="19">
        <f>IF('Ram - Digital ToDo'!Q104="Escalate to call","CALL NOW",IF('Ram - Digital ToDo'!N104="Bad contact","CALL NOW (digital failed)","Ram is handling - no action"))</f>
        <v/>
      </c>
      <c r="F104" s="19">
        <f>IF(E104="Ram is handling - no action","No action needed",IF(M104="","CALL 1: ring candidate, offer to book on call (Playbook C1)",IF(OR(M104="Scheduled on call",M104="Booked on their behalf"),"DONE: scheduled on call",IF(M104="Not interested/Declined","CLOSED: candidate declined (log + tell lead)",IF(N104="","CALL 2: final attempt (Playbook C2)",IF(OR(N104="Scheduled on call",N104="Booked on their behalf"),"DONE: scheduled on call",IF(N104="Escalate to AM","ESCALATED TO LEAD","Review")))))))</f>
        <v/>
      </c>
      <c r="G104" s="20">
        <f>IF(E104="Ram is handling - no action","",IF(M104="",B104+6/24,IF(AND(M104&lt;&gt;"Scheduled on call",M104&lt;&gt;"Booked on their behalf",M104&lt;&gt;"Not interested/Declined",N104=""),B104+20/24,"")))</f>
        <v/>
      </c>
      <c r="H104" s="19" t="inlineStr">
        <is>
          <t>Chetan</t>
        </is>
      </c>
      <c r="I104" s="19" t="inlineStr">
        <is>
          <t>Google</t>
        </is>
      </c>
      <c r="J104" s="19" t="inlineStr">
        <is>
          <t>Round1</t>
        </is>
      </c>
      <c r="K104" s="22" t="inlineStr">
        <is>
          <t>+91 9920264452</t>
        </is>
      </c>
      <c r="L104" s="19" t="inlineStr">
        <is>
          <t>&lt;calendly_link&gt;</t>
        </is>
      </c>
      <c r="M104" s="19" t="n"/>
      <c r="N104" s="19" t="n"/>
      <c r="O104" s="19">
        <f>IF(OR(M104="Scheduled on call",M104="Booked on their behalf",N104="Scheduled on call",N104="Booked on their behalf"),"SCHEDULED (call)",IF(OR(M104="Not interested/Declined",N104="Not interested/Declined"),"DECLINED",IF(N104="Escalate to AM","ESCALATED TO LEAD",IF(E104="Ram is handling - no action","N/A",IF(M104="","PENDING CALL 1","IN PROGRESS")))))</f>
        <v/>
      </c>
      <c r="P104" s="19">
        <f>IF(OR('Ram - Digital ToDo'!O104="Scheduled",'Ram - Digital ToDo'!Q104="Scheduled"),"Scheduled within SLA (self-serve)",IF(OR(M104="Scheduled on call",M104="Booked on their behalf",N104="Scheduled on call",N104="Booked on their behalf"),"Scheduled within SLA (call)",IF(OR(M104="Not interested/Declined",N104="Not interested/Declined"),"Declined",IF(N104="Escalate to AM","SLA breach - unresolved","In progress"))))</f>
        <v/>
      </c>
      <c r="Q104" s="19" t="n"/>
    </row>
    <row r="105">
      <c r="A105" s="19" t="inlineStr">
        <is>
          <t>REQ-0104</t>
        </is>
      </c>
      <c r="B105" s="20" t="n">
        <v>44867.82708333333</v>
      </c>
      <c r="C105" s="20">
        <f>B105+1</f>
        <v/>
      </c>
      <c r="D105" s="21">
        <f>(C105-NOW())*24</f>
        <v/>
      </c>
      <c r="E105" s="19">
        <f>IF('Ram - Digital ToDo'!Q105="Escalate to call","CALL NOW",IF('Ram - Digital ToDo'!N105="Bad contact","CALL NOW (digital failed)","Ram is handling - no action"))</f>
        <v/>
      </c>
      <c r="F105" s="19">
        <f>IF(E105="Ram is handling - no action","No action needed",IF(M105="","CALL 1: ring candidate, offer to book on call (Playbook C1)",IF(OR(M105="Scheduled on call",M105="Booked on their behalf"),"DONE: scheduled on call",IF(M105="Not interested/Declined","CLOSED: candidate declined (log + tell lead)",IF(N105="","CALL 2: final attempt (Playbook C2)",IF(OR(N105="Scheduled on call",N105="Booked on their behalf"),"DONE: scheduled on call",IF(N105="Escalate to AM","ESCALATED TO LEAD","Review")))))))</f>
        <v/>
      </c>
      <c r="G105" s="20">
        <f>IF(E105="Ram is handling - no action","",IF(M105="",B105+6/24,IF(AND(M105&lt;&gt;"Scheduled on call",M105&lt;&gt;"Booked on their behalf",M105&lt;&gt;"Not interested/Declined",N105=""),B105+20/24,"")))</f>
        <v/>
      </c>
      <c r="H105" s="19" t="inlineStr">
        <is>
          <t>Chetan</t>
        </is>
      </c>
      <c r="I105" s="19" t="inlineStr">
        <is>
          <t>Google</t>
        </is>
      </c>
      <c r="J105" s="19" t="inlineStr">
        <is>
          <t>Round1</t>
        </is>
      </c>
      <c r="K105" s="22" t="inlineStr">
        <is>
          <t>+91 9920264452</t>
        </is>
      </c>
      <c r="L105" s="19" t="inlineStr">
        <is>
          <t>&lt;calendly_link&gt;</t>
        </is>
      </c>
      <c r="M105" s="19" t="n"/>
      <c r="N105" s="19" t="n"/>
      <c r="O105" s="19">
        <f>IF(OR(M105="Scheduled on call",M105="Booked on their behalf",N105="Scheduled on call",N105="Booked on their behalf"),"SCHEDULED (call)",IF(OR(M105="Not interested/Declined",N105="Not interested/Declined"),"DECLINED",IF(N105="Escalate to AM","ESCALATED TO LEAD",IF(E105="Ram is handling - no action","N/A",IF(M105="","PENDING CALL 1","IN PROGRESS")))))</f>
        <v/>
      </c>
      <c r="P105" s="19">
        <f>IF(OR('Ram - Digital ToDo'!O105="Scheduled",'Ram - Digital ToDo'!Q105="Scheduled"),"Scheduled within SLA (self-serve)",IF(OR(M105="Scheduled on call",M105="Booked on their behalf",N105="Scheduled on call",N105="Booked on their behalf"),"Scheduled within SLA (call)",IF(OR(M105="Not interested/Declined",N105="Not interested/Declined"),"Declined",IF(N105="Escalate to AM","SLA breach - unresolved","In progress"))))</f>
        <v/>
      </c>
      <c r="Q105" s="19" t="n"/>
    </row>
    <row r="106">
      <c r="A106" s="19" t="inlineStr">
        <is>
          <t>REQ-0105</t>
        </is>
      </c>
      <c r="B106" s="20" t="n">
        <v>44867.82708333333</v>
      </c>
      <c r="C106" s="20">
        <f>B106+1</f>
        <v/>
      </c>
      <c r="D106" s="21">
        <f>(C106-NOW())*24</f>
        <v/>
      </c>
      <c r="E106" s="19">
        <f>IF('Ram - Digital ToDo'!Q106="Escalate to call","CALL NOW",IF('Ram - Digital ToDo'!N106="Bad contact","CALL NOW (digital failed)","Ram is handling - no action"))</f>
        <v/>
      </c>
      <c r="F106" s="19">
        <f>IF(E106="Ram is handling - no action","No action needed",IF(M106="","CALL 1: ring candidate, offer to book on call (Playbook C1)",IF(OR(M106="Scheduled on call",M106="Booked on their behalf"),"DONE: scheduled on call",IF(M106="Not interested/Declined","CLOSED: candidate declined (log + tell lead)",IF(N106="","CALL 2: final attempt (Playbook C2)",IF(OR(N106="Scheduled on call",N106="Booked on their behalf"),"DONE: scheduled on call",IF(N106="Escalate to AM","ESCALATED TO LEAD","Review")))))))</f>
        <v/>
      </c>
      <c r="G106" s="20">
        <f>IF(E106="Ram is handling - no action","",IF(M106="",B106+6/24,IF(AND(M106&lt;&gt;"Scheduled on call",M106&lt;&gt;"Booked on their behalf",M106&lt;&gt;"Not interested/Declined",N106=""),B106+20/24,"")))</f>
        <v/>
      </c>
      <c r="H106" s="19" t="inlineStr">
        <is>
          <t>Chetan</t>
        </is>
      </c>
      <c r="I106" s="19" t="inlineStr">
        <is>
          <t>Google</t>
        </is>
      </c>
      <c r="J106" s="19" t="inlineStr">
        <is>
          <t>Round1</t>
        </is>
      </c>
      <c r="K106" s="22" t="inlineStr">
        <is>
          <t>+91 9920264452</t>
        </is>
      </c>
      <c r="L106" s="19" t="inlineStr">
        <is>
          <t>&lt;calendly_link&gt;</t>
        </is>
      </c>
      <c r="M106" s="19" t="n"/>
      <c r="N106" s="19" t="n"/>
      <c r="O106" s="19">
        <f>IF(OR(M106="Scheduled on call",M106="Booked on their behalf",N106="Scheduled on call",N106="Booked on their behalf"),"SCHEDULED (call)",IF(OR(M106="Not interested/Declined",N106="Not interested/Declined"),"DECLINED",IF(N106="Escalate to AM","ESCALATED TO LEAD",IF(E106="Ram is handling - no action","N/A",IF(M106="","PENDING CALL 1","IN PROGRESS")))))</f>
        <v/>
      </c>
      <c r="P106" s="19">
        <f>IF(OR('Ram - Digital ToDo'!O106="Scheduled",'Ram - Digital ToDo'!Q106="Scheduled"),"Scheduled within SLA (self-serve)",IF(OR(M106="Scheduled on call",M106="Booked on their behalf",N106="Scheduled on call",N106="Booked on their behalf"),"Scheduled within SLA (call)",IF(OR(M106="Not interested/Declined",N106="Not interested/Declined"),"Declined",IF(N106="Escalate to AM","SLA breach - unresolved","In progress"))))</f>
        <v/>
      </c>
      <c r="Q106" s="19" t="n"/>
    </row>
    <row r="107">
      <c r="A107" s="19" t="inlineStr">
        <is>
          <t>REQ-0106</t>
        </is>
      </c>
      <c r="B107" s="20" t="n">
        <v>44867.82708333333</v>
      </c>
      <c r="C107" s="20">
        <f>B107+1</f>
        <v/>
      </c>
      <c r="D107" s="21">
        <f>(C107-NOW())*24</f>
        <v/>
      </c>
      <c r="E107" s="19">
        <f>IF('Ram - Digital ToDo'!Q107="Escalate to call","CALL NOW",IF('Ram - Digital ToDo'!N107="Bad contact","CALL NOW (digital failed)","Ram is handling - no action"))</f>
        <v/>
      </c>
      <c r="F107" s="19">
        <f>IF(E107="Ram is handling - no action","No action needed",IF(M107="","CALL 1: ring candidate, offer to book on call (Playbook C1)",IF(OR(M107="Scheduled on call",M107="Booked on their behalf"),"DONE: scheduled on call",IF(M107="Not interested/Declined","CLOSED: candidate declined (log + tell lead)",IF(N107="","CALL 2: final attempt (Playbook C2)",IF(OR(N107="Scheduled on call",N107="Booked on their behalf"),"DONE: scheduled on call",IF(N107="Escalate to AM","ESCALATED TO LEAD","Review")))))))</f>
        <v/>
      </c>
      <c r="G107" s="20">
        <f>IF(E107="Ram is handling - no action","",IF(M107="",B107+6/24,IF(AND(M107&lt;&gt;"Scheduled on call",M107&lt;&gt;"Booked on their behalf",M107&lt;&gt;"Not interested/Declined",N107=""),B107+20/24,"")))</f>
        <v/>
      </c>
      <c r="H107" s="19" t="inlineStr">
        <is>
          <t>Chetan</t>
        </is>
      </c>
      <c r="I107" s="19" t="inlineStr">
        <is>
          <t>Google</t>
        </is>
      </c>
      <c r="J107" s="19" t="inlineStr">
        <is>
          <t>Round1</t>
        </is>
      </c>
      <c r="K107" s="22" t="inlineStr">
        <is>
          <t>+91 9920264452</t>
        </is>
      </c>
      <c r="L107" s="19" t="inlineStr">
        <is>
          <t>&lt;calendly_link&gt;</t>
        </is>
      </c>
      <c r="M107" s="19" t="n"/>
      <c r="N107" s="19" t="n"/>
      <c r="O107" s="19">
        <f>IF(OR(M107="Scheduled on call",M107="Booked on their behalf",N107="Scheduled on call",N107="Booked on their behalf"),"SCHEDULED (call)",IF(OR(M107="Not interested/Declined",N107="Not interested/Declined"),"DECLINED",IF(N107="Escalate to AM","ESCALATED TO LEAD",IF(E107="Ram is handling - no action","N/A",IF(M107="","PENDING CALL 1","IN PROGRESS")))))</f>
        <v/>
      </c>
      <c r="P107" s="19">
        <f>IF(OR('Ram - Digital ToDo'!O107="Scheduled",'Ram - Digital ToDo'!Q107="Scheduled"),"Scheduled within SLA (self-serve)",IF(OR(M107="Scheduled on call",M107="Booked on their behalf",N107="Scheduled on call",N107="Booked on their behalf"),"Scheduled within SLA (call)",IF(OR(M107="Not interested/Declined",N107="Not interested/Declined"),"Declined",IF(N107="Escalate to AM","SLA breach - unresolved","In progress"))))</f>
        <v/>
      </c>
      <c r="Q107" s="19" t="n"/>
    </row>
    <row r="108">
      <c r="A108" s="19" t="inlineStr">
        <is>
          <t>REQ-0107</t>
        </is>
      </c>
      <c r="B108" s="20" t="n">
        <v>44867.82708333333</v>
      </c>
      <c r="C108" s="20">
        <f>B108+1</f>
        <v/>
      </c>
      <c r="D108" s="21">
        <f>(C108-NOW())*24</f>
        <v/>
      </c>
      <c r="E108" s="19">
        <f>IF('Ram - Digital ToDo'!Q108="Escalate to call","CALL NOW",IF('Ram - Digital ToDo'!N108="Bad contact","CALL NOW (digital failed)","Ram is handling - no action"))</f>
        <v/>
      </c>
      <c r="F108" s="19">
        <f>IF(E108="Ram is handling - no action","No action needed",IF(M108="","CALL 1: ring candidate, offer to book on call (Playbook C1)",IF(OR(M108="Scheduled on call",M108="Booked on their behalf"),"DONE: scheduled on call",IF(M108="Not interested/Declined","CLOSED: candidate declined (log + tell lead)",IF(N108="","CALL 2: final attempt (Playbook C2)",IF(OR(N108="Scheduled on call",N108="Booked on their behalf"),"DONE: scheduled on call",IF(N108="Escalate to AM","ESCALATED TO LEAD","Review")))))))</f>
        <v/>
      </c>
      <c r="G108" s="20">
        <f>IF(E108="Ram is handling - no action","",IF(M108="",B108+6/24,IF(AND(M108&lt;&gt;"Scheduled on call",M108&lt;&gt;"Booked on their behalf",M108&lt;&gt;"Not interested/Declined",N108=""),B108+20/24,"")))</f>
        <v/>
      </c>
      <c r="H108" s="19" t="inlineStr">
        <is>
          <t>Chetan</t>
        </is>
      </c>
      <c r="I108" s="19" t="inlineStr">
        <is>
          <t>Google</t>
        </is>
      </c>
      <c r="J108" s="19" t="inlineStr">
        <is>
          <t>Round1</t>
        </is>
      </c>
      <c r="K108" s="22" t="inlineStr">
        <is>
          <t>+91 9920264452</t>
        </is>
      </c>
      <c r="L108" s="19" t="inlineStr">
        <is>
          <t>&lt;calendly_link&gt;</t>
        </is>
      </c>
      <c r="M108" s="19" t="n"/>
      <c r="N108" s="19" t="n"/>
      <c r="O108" s="19">
        <f>IF(OR(M108="Scheduled on call",M108="Booked on their behalf",N108="Scheduled on call",N108="Booked on their behalf"),"SCHEDULED (call)",IF(OR(M108="Not interested/Declined",N108="Not interested/Declined"),"DECLINED",IF(N108="Escalate to AM","ESCALATED TO LEAD",IF(E108="Ram is handling - no action","N/A",IF(M108="","PENDING CALL 1","IN PROGRESS")))))</f>
        <v/>
      </c>
      <c r="P108" s="19">
        <f>IF(OR('Ram - Digital ToDo'!O108="Scheduled",'Ram - Digital ToDo'!Q108="Scheduled"),"Scheduled within SLA (self-serve)",IF(OR(M108="Scheduled on call",M108="Booked on their behalf",N108="Scheduled on call",N108="Booked on their behalf"),"Scheduled within SLA (call)",IF(OR(M108="Not interested/Declined",N108="Not interested/Declined"),"Declined",IF(N108="Escalate to AM","SLA breach - unresolved","In progress"))))</f>
        <v/>
      </c>
      <c r="Q108" s="19" t="n"/>
    </row>
    <row r="109">
      <c r="A109" s="19" t="inlineStr">
        <is>
          <t>REQ-0108</t>
        </is>
      </c>
      <c r="B109" s="20" t="n">
        <v>44867.82708333333</v>
      </c>
      <c r="C109" s="20">
        <f>B109+1</f>
        <v/>
      </c>
      <c r="D109" s="21">
        <f>(C109-NOW())*24</f>
        <v/>
      </c>
      <c r="E109" s="19">
        <f>IF('Ram - Digital ToDo'!Q109="Escalate to call","CALL NOW",IF('Ram - Digital ToDo'!N109="Bad contact","CALL NOW (digital failed)","Ram is handling - no action"))</f>
        <v/>
      </c>
      <c r="F109" s="19">
        <f>IF(E109="Ram is handling - no action","No action needed",IF(M109="","CALL 1: ring candidate, offer to book on call (Playbook C1)",IF(OR(M109="Scheduled on call",M109="Booked on their behalf"),"DONE: scheduled on call",IF(M109="Not interested/Declined","CLOSED: candidate declined (log + tell lead)",IF(N109="","CALL 2: final attempt (Playbook C2)",IF(OR(N109="Scheduled on call",N109="Booked on their behalf"),"DONE: scheduled on call",IF(N109="Escalate to AM","ESCALATED TO LEAD","Review")))))))</f>
        <v/>
      </c>
      <c r="G109" s="20">
        <f>IF(E109="Ram is handling - no action","",IF(M109="",B109+6/24,IF(AND(M109&lt;&gt;"Scheduled on call",M109&lt;&gt;"Booked on their behalf",M109&lt;&gt;"Not interested/Declined",N109=""),B109+20/24,"")))</f>
        <v/>
      </c>
      <c r="H109" s="19" t="inlineStr">
        <is>
          <t>Chetan</t>
        </is>
      </c>
      <c r="I109" s="19" t="inlineStr">
        <is>
          <t>Google</t>
        </is>
      </c>
      <c r="J109" s="19" t="inlineStr">
        <is>
          <t>Round1</t>
        </is>
      </c>
      <c r="K109" s="22" t="inlineStr">
        <is>
          <t>+91 9920264452</t>
        </is>
      </c>
      <c r="L109" s="19" t="inlineStr">
        <is>
          <t>&lt;calendly_link&gt;</t>
        </is>
      </c>
      <c r="M109" s="19" t="n"/>
      <c r="N109" s="19" t="n"/>
      <c r="O109" s="19">
        <f>IF(OR(M109="Scheduled on call",M109="Booked on their behalf",N109="Scheduled on call",N109="Booked on their behalf"),"SCHEDULED (call)",IF(OR(M109="Not interested/Declined",N109="Not interested/Declined"),"DECLINED",IF(N109="Escalate to AM","ESCALATED TO LEAD",IF(E109="Ram is handling - no action","N/A",IF(M109="","PENDING CALL 1","IN PROGRESS")))))</f>
        <v/>
      </c>
      <c r="P109" s="19">
        <f>IF(OR('Ram - Digital ToDo'!O109="Scheduled",'Ram - Digital ToDo'!Q109="Scheduled"),"Scheduled within SLA (self-serve)",IF(OR(M109="Scheduled on call",M109="Booked on their behalf",N109="Scheduled on call",N109="Booked on their behalf"),"Scheduled within SLA (call)",IF(OR(M109="Not interested/Declined",N109="Not interested/Declined"),"Declined",IF(N109="Escalate to AM","SLA breach - unresolved","In progress"))))</f>
        <v/>
      </c>
      <c r="Q109" s="19" t="n"/>
    </row>
    <row r="110">
      <c r="A110" s="19" t="inlineStr">
        <is>
          <t>REQ-0109</t>
        </is>
      </c>
      <c r="B110" s="20" t="n">
        <v>44867.82708333333</v>
      </c>
      <c r="C110" s="20">
        <f>B110+1</f>
        <v/>
      </c>
      <c r="D110" s="21">
        <f>(C110-NOW())*24</f>
        <v/>
      </c>
      <c r="E110" s="19">
        <f>IF('Ram - Digital ToDo'!Q110="Escalate to call","CALL NOW",IF('Ram - Digital ToDo'!N110="Bad contact","CALL NOW (digital failed)","Ram is handling - no action"))</f>
        <v/>
      </c>
      <c r="F110" s="19">
        <f>IF(E110="Ram is handling - no action","No action needed",IF(M110="","CALL 1: ring candidate, offer to book on call (Playbook C1)",IF(OR(M110="Scheduled on call",M110="Booked on their behalf"),"DONE: scheduled on call",IF(M110="Not interested/Declined","CLOSED: candidate declined (log + tell lead)",IF(N110="","CALL 2: final attempt (Playbook C2)",IF(OR(N110="Scheduled on call",N110="Booked on their behalf"),"DONE: scheduled on call",IF(N110="Escalate to AM","ESCALATED TO LEAD","Review")))))))</f>
        <v/>
      </c>
      <c r="G110" s="20">
        <f>IF(E110="Ram is handling - no action","",IF(M110="",B110+6/24,IF(AND(M110&lt;&gt;"Scheduled on call",M110&lt;&gt;"Booked on their behalf",M110&lt;&gt;"Not interested/Declined",N110=""),B110+20/24,"")))</f>
        <v/>
      </c>
      <c r="H110" s="19" t="inlineStr">
        <is>
          <t>Chetan</t>
        </is>
      </c>
      <c r="I110" s="19" t="inlineStr">
        <is>
          <t>Google</t>
        </is>
      </c>
      <c r="J110" s="19" t="inlineStr">
        <is>
          <t>Round1</t>
        </is>
      </c>
      <c r="K110" s="22" t="inlineStr">
        <is>
          <t>+91 9920264452</t>
        </is>
      </c>
      <c r="L110" s="19" t="inlineStr">
        <is>
          <t>&lt;calendly_link&gt;</t>
        </is>
      </c>
      <c r="M110" s="19" t="n"/>
      <c r="N110" s="19" t="n"/>
      <c r="O110" s="19">
        <f>IF(OR(M110="Scheduled on call",M110="Booked on their behalf",N110="Scheduled on call",N110="Booked on their behalf"),"SCHEDULED (call)",IF(OR(M110="Not interested/Declined",N110="Not interested/Declined"),"DECLINED",IF(N110="Escalate to AM","ESCALATED TO LEAD",IF(E110="Ram is handling - no action","N/A",IF(M110="","PENDING CALL 1","IN PROGRESS")))))</f>
        <v/>
      </c>
      <c r="P110" s="19">
        <f>IF(OR('Ram - Digital ToDo'!O110="Scheduled",'Ram - Digital ToDo'!Q110="Scheduled"),"Scheduled within SLA (self-serve)",IF(OR(M110="Scheduled on call",M110="Booked on their behalf",N110="Scheduled on call",N110="Booked on their behalf"),"Scheduled within SLA (call)",IF(OR(M110="Not interested/Declined",N110="Not interested/Declined"),"Declined",IF(N110="Escalate to AM","SLA breach - unresolved","In progress"))))</f>
        <v/>
      </c>
      <c r="Q110" s="19" t="n"/>
    </row>
    <row r="111">
      <c r="A111" s="19" t="inlineStr">
        <is>
          <t>REQ-0110</t>
        </is>
      </c>
      <c r="B111" s="20" t="n">
        <v>44867.82708333333</v>
      </c>
      <c r="C111" s="20">
        <f>B111+1</f>
        <v/>
      </c>
      <c r="D111" s="21">
        <f>(C111-NOW())*24</f>
        <v/>
      </c>
      <c r="E111" s="19">
        <f>IF('Ram - Digital ToDo'!Q111="Escalate to call","CALL NOW",IF('Ram - Digital ToDo'!N111="Bad contact","CALL NOW (digital failed)","Ram is handling - no action"))</f>
        <v/>
      </c>
      <c r="F111" s="19">
        <f>IF(E111="Ram is handling - no action","No action needed",IF(M111="","CALL 1: ring candidate, offer to book on call (Playbook C1)",IF(OR(M111="Scheduled on call",M111="Booked on their behalf"),"DONE: scheduled on call",IF(M111="Not interested/Declined","CLOSED: candidate declined (log + tell lead)",IF(N111="","CALL 2: final attempt (Playbook C2)",IF(OR(N111="Scheduled on call",N111="Booked on their behalf"),"DONE: scheduled on call",IF(N111="Escalate to AM","ESCALATED TO LEAD","Review")))))))</f>
        <v/>
      </c>
      <c r="G111" s="20">
        <f>IF(E111="Ram is handling - no action","",IF(M111="",B111+6/24,IF(AND(M111&lt;&gt;"Scheduled on call",M111&lt;&gt;"Booked on their behalf",M111&lt;&gt;"Not interested/Declined",N111=""),B111+20/24,"")))</f>
        <v/>
      </c>
      <c r="H111" s="19" t="inlineStr">
        <is>
          <t>Chetan</t>
        </is>
      </c>
      <c r="I111" s="19" t="inlineStr">
        <is>
          <t>Google</t>
        </is>
      </c>
      <c r="J111" s="19" t="inlineStr">
        <is>
          <t>Round1</t>
        </is>
      </c>
      <c r="K111" s="22" t="inlineStr">
        <is>
          <t>+91 9920264452</t>
        </is>
      </c>
      <c r="L111" s="19" t="inlineStr">
        <is>
          <t>&lt;calendly_link&gt;</t>
        </is>
      </c>
      <c r="M111" s="19" t="n"/>
      <c r="N111" s="19" t="n"/>
      <c r="O111" s="19">
        <f>IF(OR(M111="Scheduled on call",M111="Booked on their behalf",N111="Scheduled on call",N111="Booked on their behalf"),"SCHEDULED (call)",IF(OR(M111="Not interested/Declined",N111="Not interested/Declined"),"DECLINED",IF(N111="Escalate to AM","ESCALATED TO LEAD",IF(E111="Ram is handling - no action","N/A",IF(M111="","PENDING CALL 1","IN PROGRESS")))))</f>
        <v/>
      </c>
      <c r="P111" s="19">
        <f>IF(OR('Ram - Digital ToDo'!O111="Scheduled",'Ram - Digital ToDo'!Q111="Scheduled"),"Scheduled within SLA (self-serve)",IF(OR(M111="Scheduled on call",M111="Booked on their behalf",N111="Scheduled on call",N111="Booked on their behalf"),"Scheduled within SLA (call)",IF(OR(M111="Not interested/Declined",N111="Not interested/Declined"),"Declined",IF(N111="Escalate to AM","SLA breach - unresolved","In progress"))))</f>
        <v/>
      </c>
      <c r="Q111" s="19" t="n"/>
    </row>
    <row r="112">
      <c r="A112" s="19" t="inlineStr">
        <is>
          <t>REQ-0111</t>
        </is>
      </c>
      <c r="B112" s="20" t="n">
        <v>44867.82708333333</v>
      </c>
      <c r="C112" s="20">
        <f>B112+1</f>
        <v/>
      </c>
      <c r="D112" s="21">
        <f>(C112-NOW())*24</f>
        <v/>
      </c>
      <c r="E112" s="19">
        <f>IF('Ram - Digital ToDo'!Q112="Escalate to call","CALL NOW",IF('Ram - Digital ToDo'!N112="Bad contact","CALL NOW (digital failed)","Ram is handling - no action"))</f>
        <v/>
      </c>
      <c r="F112" s="19">
        <f>IF(E112="Ram is handling - no action","No action needed",IF(M112="","CALL 1: ring candidate, offer to book on call (Playbook C1)",IF(OR(M112="Scheduled on call",M112="Booked on their behalf"),"DONE: scheduled on call",IF(M112="Not interested/Declined","CLOSED: candidate declined (log + tell lead)",IF(N112="","CALL 2: final attempt (Playbook C2)",IF(OR(N112="Scheduled on call",N112="Booked on their behalf"),"DONE: scheduled on call",IF(N112="Escalate to AM","ESCALATED TO LEAD","Review")))))))</f>
        <v/>
      </c>
      <c r="G112" s="20">
        <f>IF(E112="Ram is handling - no action","",IF(M112="",B112+6/24,IF(AND(M112&lt;&gt;"Scheduled on call",M112&lt;&gt;"Booked on their behalf",M112&lt;&gt;"Not interested/Declined",N112=""),B112+20/24,"")))</f>
        <v/>
      </c>
      <c r="H112" s="19" t="inlineStr">
        <is>
          <t>Chetan</t>
        </is>
      </c>
      <c r="I112" s="19" t="inlineStr">
        <is>
          <t>Google</t>
        </is>
      </c>
      <c r="J112" s="19" t="inlineStr">
        <is>
          <t>Round1</t>
        </is>
      </c>
      <c r="K112" s="22" t="inlineStr">
        <is>
          <t>+91 9920264452</t>
        </is>
      </c>
      <c r="L112" s="19" t="inlineStr">
        <is>
          <t>&lt;calendly_link&gt;</t>
        </is>
      </c>
      <c r="M112" s="19" t="n"/>
      <c r="N112" s="19" t="n"/>
      <c r="O112" s="19">
        <f>IF(OR(M112="Scheduled on call",M112="Booked on their behalf",N112="Scheduled on call",N112="Booked on their behalf"),"SCHEDULED (call)",IF(OR(M112="Not interested/Declined",N112="Not interested/Declined"),"DECLINED",IF(N112="Escalate to AM","ESCALATED TO LEAD",IF(E112="Ram is handling - no action","N/A",IF(M112="","PENDING CALL 1","IN PROGRESS")))))</f>
        <v/>
      </c>
      <c r="P112" s="19">
        <f>IF(OR('Ram - Digital ToDo'!O112="Scheduled",'Ram - Digital ToDo'!Q112="Scheduled"),"Scheduled within SLA (self-serve)",IF(OR(M112="Scheduled on call",M112="Booked on their behalf",N112="Scheduled on call",N112="Booked on their behalf"),"Scheduled within SLA (call)",IF(OR(M112="Not interested/Declined",N112="Not interested/Declined"),"Declined",IF(N112="Escalate to AM","SLA breach - unresolved","In progress"))))</f>
        <v/>
      </c>
      <c r="Q112" s="19" t="n"/>
    </row>
    <row r="113">
      <c r="A113" s="19" t="inlineStr">
        <is>
          <t>REQ-0112</t>
        </is>
      </c>
      <c r="B113" s="20" t="n">
        <v>44867.82708333333</v>
      </c>
      <c r="C113" s="20">
        <f>B113+1</f>
        <v/>
      </c>
      <c r="D113" s="21">
        <f>(C113-NOW())*24</f>
        <v/>
      </c>
      <c r="E113" s="19">
        <f>IF('Ram - Digital ToDo'!Q113="Escalate to call","CALL NOW",IF('Ram - Digital ToDo'!N113="Bad contact","CALL NOW (digital failed)","Ram is handling - no action"))</f>
        <v/>
      </c>
      <c r="F113" s="19">
        <f>IF(E113="Ram is handling - no action","No action needed",IF(M113="","CALL 1: ring candidate, offer to book on call (Playbook C1)",IF(OR(M113="Scheduled on call",M113="Booked on their behalf"),"DONE: scheduled on call",IF(M113="Not interested/Declined","CLOSED: candidate declined (log + tell lead)",IF(N113="","CALL 2: final attempt (Playbook C2)",IF(OR(N113="Scheduled on call",N113="Booked on their behalf"),"DONE: scheduled on call",IF(N113="Escalate to AM","ESCALATED TO LEAD","Review")))))))</f>
        <v/>
      </c>
      <c r="G113" s="20">
        <f>IF(E113="Ram is handling - no action","",IF(M113="",B113+6/24,IF(AND(M113&lt;&gt;"Scheduled on call",M113&lt;&gt;"Booked on their behalf",M113&lt;&gt;"Not interested/Declined",N113=""),B113+20/24,"")))</f>
        <v/>
      </c>
      <c r="H113" s="19" t="inlineStr">
        <is>
          <t>Chetan</t>
        </is>
      </c>
      <c r="I113" s="19" t="inlineStr">
        <is>
          <t>Google</t>
        </is>
      </c>
      <c r="J113" s="19" t="inlineStr">
        <is>
          <t>Round1</t>
        </is>
      </c>
      <c r="K113" s="22" t="inlineStr">
        <is>
          <t>+91 9920264452</t>
        </is>
      </c>
      <c r="L113" s="19" t="inlineStr">
        <is>
          <t>&lt;calendly_link&gt;</t>
        </is>
      </c>
      <c r="M113" s="19" t="n"/>
      <c r="N113" s="19" t="n"/>
      <c r="O113" s="19">
        <f>IF(OR(M113="Scheduled on call",M113="Booked on their behalf",N113="Scheduled on call",N113="Booked on their behalf"),"SCHEDULED (call)",IF(OR(M113="Not interested/Declined",N113="Not interested/Declined"),"DECLINED",IF(N113="Escalate to AM","ESCALATED TO LEAD",IF(E113="Ram is handling - no action","N/A",IF(M113="","PENDING CALL 1","IN PROGRESS")))))</f>
        <v/>
      </c>
      <c r="P113" s="19">
        <f>IF(OR('Ram - Digital ToDo'!O113="Scheduled",'Ram - Digital ToDo'!Q113="Scheduled"),"Scheduled within SLA (self-serve)",IF(OR(M113="Scheduled on call",M113="Booked on their behalf",N113="Scheduled on call",N113="Booked on their behalf"),"Scheduled within SLA (call)",IF(OR(M113="Not interested/Declined",N113="Not interested/Declined"),"Declined",IF(N113="Escalate to AM","SLA breach - unresolved","In progress"))))</f>
        <v/>
      </c>
      <c r="Q113" s="19" t="n"/>
    </row>
    <row r="114">
      <c r="A114" s="19" t="inlineStr">
        <is>
          <t>REQ-0113</t>
        </is>
      </c>
      <c r="B114" s="20" t="n">
        <v>44867.82708333333</v>
      </c>
      <c r="C114" s="20">
        <f>B114+1</f>
        <v/>
      </c>
      <c r="D114" s="21">
        <f>(C114-NOW())*24</f>
        <v/>
      </c>
      <c r="E114" s="19">
        <f>IF('Ram - Digital ToDo'!Q114="Escalate to call","CALL NOW",IF('Ram - Digital ToDo'!N114="Bad contact","CALL NOW (digital failed)","Ram is handling - no action"))</f>
        <v/>
      </c>
      <c r="F114" s="19">
        <f>IF(E114="Ram is handling - no action","No action needed",IF(M114="","CALL 1: ring candidate, offer to book on call (Playbook C1)",IF(OR(M114="Scheduled on call",M114="Booked on their behalf"),"DONE: scheduled on call",IF(M114="Not interested/Declined","CLOSED: candidate declined (log + tell lead)",IF(N114="","CALL 2: final attempt (Playbook C2)",IF(OR(N114="Scheduled on call",N114="Booked on their behalf"),"DONE: scheduled on call",IF(N114="Escalate to AM","ESCALATED TO LEAD","Review")))))))</f>
        <v/>
      </c>
      <c r="G114" s="20">
        <f>IF(E114="Ram is handling - no action","",IF(M114="",B114+6/24,IF(AND(M114&lt;&gt;"Scheduled on call",M114&lt;&gt;"Booked on their behalf",M114&lt;&gt;"Not interested/Declined",N114=""),B114+20/24,"")))</f>
        <v/>
      </c>
      <c r="H114" s="19" t="inlineStr">
        <is>
          <t>Chetan</t>
        </is>
      </c>
      <c r="I114" s="19" t="inlineStr">
        <is>
          <t>Google</t>
        </is>
      </c>
      <c r="J114" s="19" t="inlineStr">
        <is>
          <t>Round1</t>
        </is>
      </c>
      <c r="K114" s="22" t="inlineStr">
        <is>
          <t>+91 9920264452</t>
        </is>
      </c>
      <c r="L114" s="19" t="inlineStr">
        <is>
          <t>&lt;calendly_link&gt;</t>
        </is>
      </c>
      <c r="M114" s="19" t="n"/>
      <c r="N114" s="19" t="n"/>
      <c r="O114" s="19">
        <f>IF(OR(M114="Scheduled on call",M114="Booked on their behalf",N114="Scheduled on call",N114="Booked on their behalf"),"SCHEDULED (call)",IF(OR(M114="Not interested/Declined",N114="Not interested/Declined"),"DECLINED",IF(N114="Escalate to AM","ESCALATED TO LEAD",IF(E114="Ram is handling - no action","N/A",IF(M114="","PENDING CALL 1","IN PROGRESS")))))</f>
        <v/>
      </c>
      <c r="P114" s="19">
        <f>IF(OR('Ram - Digital ToDo'!O114="Scheduled",'Ram - Digital ToDo'!Q114="Scheduled"),"Scheduled within SLA (self-serve)",IF(OR(M114="Scheduled on call",M114="Booked on their behalf",N114="Scheduled on call",N114="Booked on their behalf"),"Scheduled within SLA (call)",IF(OR(M114="Not interested/Declined",N114="Not interested/Declined"),"Declined",IF(N114="Escalate to AM","SLA breach - unresolved","In progress"))))</f>
        <v/>
      </c>
      <c r="Q114" s="19" t="n"/>
    </row>
    <row r="115">
      <c r="A115" s="19" t="inlineStr">
        <is>
          <t>REQ-0114</t>
        </is>
      </c>
      <c r="B115" s="20" t="n">
        <v>44867.82708333333</v>
      </c>
      <c r="C115" s="20">
        <f>B115+1</f>
        <v/>
      </c>
      <c r="D115" s="21">
        <f>(C115-NOW())*24</f>
        <v/>
      </c>
      <c r="E115" s="19">
        <f>IF('Ram - Digital ToDo'!Q115="Escalate to call","CALL NOW",IF('Ram - Digital ToDo'!N115="Bad contact","CALL NOW (digital failed)","Ram is handling - no action"))</f>
        <v/>
      </c>
      <c r="F115" s="19">
        <f>IF(E115="Ram is handling - no action","No action needed",IF(M115="","CALL 1: ring candidate, offer to book on call (Playbook C1)",IF(OR(M115="Scheduled on call",M115="Booked on their behalf"),"DONE: scheduled on call",IF(M115="Not interested/Declined","CLOSED: candidate declined (log + tell lead)",IF(N115="","CALL 2: final attempt (Playbook C2)",IF(OR(N115="Scheduled on call",N115="Booked on their behalf"),"DONE: scheduled on call",IF(N115="Escalate to AM","ESCALATED TO LEAD","Review")))))))</f>
        <v/>
      </c>
      <c r="G115" s="20">
        <f>IF(E115="Ram is handling - no action","",IF(M115="",B115+6/24,IF(AND(M115&lt;&gt;"Scheduled on call",M115&lt;&gt;"Booked on their behalf",M115&lt;&gt;"Not interested/Declined",N115=""),B115+20/24,"")))</f>
        <v/>
      </c>
      <c r="H115" s="19" t="inlineStr">
        <is>
          <t>Chetan</t>
        </is>
      </c>
      <c r="I115" s="19" t="inlineStr">
        <is>
          <t>Google</t>
        </is>
      </c>
      <c r="J115" s="19" t="inlineStr">
        <is>
          <t>Round1</t>
        </is>
      </c>
      <c r="K115" s="22" t="inlineStr">
        <is>
          <t>+91 9920264452</t>
        </is>
      </c>
      <c r="L115" s="19" t="inlineStr">
        <is>
          <t>&lt;calendly_link&gt;</t>
        </is>
      </c>
      <c r="M115" s="19" t="n"/>
      <c r="N115" s="19" t="n"/>
      <c r="O115" s="19">
        <f>IF(OR(M115="Scheduled on call",M115="Booked on their behalf",N115="Scheduled on call",N115="Booked on their behalf"),"SCHEDULED (call)",IF(OR(M115="Not interested/Declined",N115="Not interested/Declined"),"DECLINED",IF(N115="Escalate to AM","ESCALATED TO LEAD",IF(E115="Ram is handling - no action","N/A",IF(M115="","PENDING CALL 1","IN PROGRESS")))))</f>
        <v/>
      </c>
      <c r="P115" s="19">
        <f>IF(OR('Ram - Digital ToDo'!O115="Scheduled",'Ram - Digital ToDo'!Q115="Scheduled"),"Scheduled within SLA (self-serve)",IF(OR(M115="Scheduled on call",M115="Booked on their behalf",N115="Scheduled on call",N115="Booked on their behalf"),"Scheduled within SLA (call)",IF(OR(M115="Not interested/Declined",N115="Not interested/Declined"),"Declined",IF(N115="Escalate to AM","SLA breach - unresolved","In progress"))))</f>
        <v/>
      </c>
      <c r="Q115" s="19" t="n"/>
    </row>
    <row r="116">
      <c r="A116" s="19" t="inlineStr">
        <is>
          <t>REQ-0115</t>
        </is>
      </c>
      <c r="B116" s="20" t="n">
        <v>44867.82708333333</v>
      </c>
      <c r="C116" s="20">
        <f>B116+1</f>
        <v/>
      </c>
      <c r="D116" s="21">
        <f>(C116-NOW())*24</f>
        <v/>
      </c>
      <c r="E116" s="19">
        <f>IF('Ram - Digital ToDo'!Q116="Escalate to call","CALL NOW",IF('Ram - Digital ToDo'!N116="Bad contact","CALL NOW (digital failed)","Ram is handling - no action"))</f>
        <v/>
      </c>
      <c r="F116" s="19">
        <f>IF(E116="Ram is handling - no action","No action needed",IF(M116="","CALL 1: ring candidate, offer to book on call (Playbook C1)",IF(OR(M116="Scheduled on call",M116="Booked on their behalf"),"DONE: scheduled on call",IF(M116="Not interested/Declined","CLOSED: candidate declined (log + tell lead)",IF(N116="","CALL 2: final attempt (Playbook C2)",IF(OR(N116="Scheduled on call",N116="Booked on their behalf"),"DONE: scheduled on call",IF(N116="Escalate to AM","ESCALATED TO LEAD","Review")))))))</f>
        <v/>
      </c>
      <c r="G116" s="20">
        <f>IF(E116="Ram is handling - no action","",IF(M116="",B116+6/24,IF(AND(M116&lt;&gt;"Scheduled on call",M116&lt;&gt;"Booked on their behalf",M116&lt;&gt;"Not interested/Declined",N116=""),B116+20/24,"")))</f>
        <v/>
      </c>
      <c r="H116" s="19" t="inlineStr">
        <is>
          <t>Chetan</t>
        </is>
      </c>
      <c r="I116" s="19" t="inlineStr">
        <is>
          <t>Google</t>
        </is>
      </c>
      <c r="J116" s="19" t="inlineStr">
        <is>
          <t>Round1</t>
        </is>
      </c>
      <c r="K116" s="22" t="inlineStr">
        <is>
          <t>+91 9920264452</t>
        </is>
      </c>
      <c r="L116" s="19" t="inlineStr">
        <is>
          <t>&lt;calendly_link&gt;</t>
        </is>
      </c>
      <c r="M116" s="19" t="n"/>
      <c r="N116" s="19" t="n"/>
      <c r="O116" s="19">
        <f>IF(OR(M116="Scheduled on call",M116="Booked on their behalf",N116="Scheduled on call",N116="Booked on their behalf"),"SCHEDULED (call)",IF(OR(M116="Not interested/Declined",N116="Not interested/Declined"),"DECLINED",IF(N116="Escalate to AM","ESCALATED TO LEAD",IF(E116="Ram is handling - no action","N/A",IF(M116="","PENDING CALL 1","IN PROGRESS")))))</f>
        <v/>
      </c>
      <c r="P116" s="19">
        <f>IF(OR('Ram - Digital ToDo'!O116="Scheduled",'Ram - Digital ToDo'!Q116="Scheduled"),"Scheduled within SLA (self-serve)",IF(OR(M116="Scheduled on call",M116="Booked on their behalf",N116="Scheduled on call",N116="Booked on their behalf"),"Scheduled within SLA (call)",IF(OR(M116="Not interested/Declined",N116="Not interested/Declined"),"Declined",IF(N116="Escalate to AM","SLA breach - unresolved","In progress"))))</f>
        <v/>
      </c>
      <c r="Q116" s="19" t="n"/>
    </row>
    <row r="117">
      <c r="A117" s="19" t="inlineStr">
        <is>
          <t>REQ-0116</t>
        </is>
      </c>
      <c r="B117" s="20" t="n">
        <v>44867.82708333333</v>
      </c>
      <c r="C117" s="20">
        <f>B117+1</f>
        <v/>
      </c>
      <c r="D117" s="21">
        <f>(C117-NOW())*24</f>
        <v/>
      </c>
      <c r="E117" s="19">
        <f>IF('Ram - Digital ToDo'!Q117="Escalate to call","CALL NOW",IF('Ram - Digital ToDo'!N117="Bad contact","CALL NOW (digital failed)","Ram is handling - no action"))</f>
        <v/>
      </c>
      <c r="F117" s="19">
        <f>IF(E117="Ram is handling - no action","No action needed",IF(M117="","CALL 1: ring candidate, offer to book on call (Playbook C1)",IF(OR(M117="Scheduled on call",M117="Booked on their behalf"),"DONE: scheduled on call",IF(M117="Not interested/Declined","CLOSED: candidate declined (log + tell lead)",IF(N117="","CALL 2: final attempt (Playbook C2)",IF(OR(N117="Scheduled on call",N117="Booked on their behalf"),"DONE: scheduled on call",IF(N117="Escalate to AM","ESCALATED TO LEAD","Review")))))))</f>
        <v/>
      </c>
      <c r="G117" s="20">
        <f>IF(E117="Ram is handling - no action","",IF(M117="",B117+6/24,IF(AND(M117&lt;&gt;"Scheduled on call",M117&lt;&gt;"Booked on their behalf",M117&lt;&gt;"Not interested/Declined",N117=""),B117+20/24,"")))</f>
        <v/>
      </c>
      <c r="H117" s="19" t="inlineStr">
        <is>
          <t>Chetan</t>
        </is>
      </c>
      <c r="I117" s="19" t="inlineStr">
        <is>
          <t>Google</t>
        </is>
      </c>
      <c r="J117" s="19" t="inlineStr">
        <is>
          <t>Round1</t>
        </is>
      </c>
      <c r="K117" s="22" t="inlineStr">
        <is>
          <t>+91 9920264452</t>
        </is>
      </c>
      <c r="L117" s="19" t="inlineStr">
        <is>
          <t>&lt;calendly_link&gt;</t>
        </is>
      </c>
      <c r="M117" s="19" t="n"/>
      <c r="N117" s="19" t="n"/>
      <c r="O117" s="19">
        <f>IF(OR(M117="Scheduled on call",M117="Booked on their behalf",N117="Scheduled on call",N117="Booked on their behalf"),"SCHEDULED (call)",IF(OR(M117="Not interested/Declined",N117="Not interested/Declined"),"DECLINED",IF(N117="Escalate to AM","ESCALATED TO LEAD",IF(E117="Ram is handling - no action","N/A",IF(M117="","PENDING CALL 1","IN PROGRESS")))))</f>
        <v/>
      </c>
      <c r="P117" s="19">
        <f>IF(OR('Ram - Digital ToDo'!O117="Scheduled",'Ram - Digital ToDo'!Q117="Scheduled"),"Scheduled within SLA (self-serve)",IF(OR(M117="Scheduled on call",M117="Booked on their behalf",N117="Scheduled on call",N117="Booked on their behalf"),"Scheduled within SLA (call)",IF(OR(M117="Not interested/Declined",N117="Not interested/Declined"),"Declined",IF(N117="Escalate to AM","SLA breach - unresolved","In progress"))))</f>
        <v/>
      </c>
      <c r="Q117" s="19" t="n"/>
    </row>
    <row r="118">
      <c r="A118" s="19" t="inlineStr">
        <is>
          <t>REQ-0117</t>
        </is>
      </c>
      <c r="B118" s="20" t="n">
        <v>44867.82708333333</v>
      </c>
      <c r="C118" s="20">
        <f>B118+1</f>
        <v/>
      </c>
      <c r="D118" s="21">
        <f>(C118-NOW())*24</f>
        <v/>
      </c>
      <c r="E118" s="19">
        <f>IF('Ram - Digital ToDo'!Q118="Escalate to call","CALL NOW",IF('Ram - Digital ToDo'!N118="Bad contact","CALL NOW (digital failed)","Ram is handling - no action"))</f>
        <v/>
      </c>
      <c r="F118" s="19">
        <f>IF(E118="Ram is handling - no action","No action needed",IF(M118="","CALL 1: ring candidate, offer to book on call (Playbook C1)",IF(OR(M118="Scheduled on call",M118="Booked on their behalf"),"DONE: scheduled on call",IF(M118="Not interested/Declined","CLOSED: candidate declined (log + tell lead)",IF(N118="","CALL 2: final attempt (Playbook C2)",IF(OR(N118="Scheduled on call",N118="Booked on their behalf"),"DONE: scheduled on call",IF(N118="Escalate to AM","ESCALATED TO LEAD","Review")))))))</f>
        <v/>
      </c>
      <c r="G118" s="20">
        <f>IF(E118="Ram is handling - no action","",IF(M118="",B118+6/24,IF(AND(M118&lt;&gt;"Scheduled on call",M118&lt;&gt;"Booked on their behalf",M118&lt;&gt;"Not interested/Declined",N118=""),B118+20/24,"")))</f>
        <v/>
      </c>
      <c r="H118" s="19" t="inlineStr">
        <is>
          <t>Chetan</t>
        </is>
      </c>
      <c r="I118" s="19" t="inlineStr">
        <is>
          <t>Google</t>
        </is>
      </c>
      <c r="J118" s="19" t="inlineStr">
        <is>
          <t>Round1</t>
        </is>
      </c>
      <c r="K118" s="22" t="inlineStr">
        <is>
          <t>+91 9920264452</t>
        </is>
      </c>
      <c r="L118" s="19" t="inlineStr">
        <is>
          <t>&lt;calendly_link&gt;</t>
        </is>
      </c>
      <c r="M118" s="19" t="n"/>
      <c r="N118" s="19" t="n"/>
      <c r="O118" s="19">
        <f>IF(OR(M118="Scheduled on call",M118="Booked on their behalf",N118="Scheduled on call",N118="Booked on their behalf"),"SCHEDULED (call)",IF(OR(M118="Not interested/Declined",N118="Not interested/Declined"),"DECLINED",IF(N118="Escalate to AM","ESCALATED TO LEAD",IF(E118="Ram is handling - no action","N/A",IF(M118="","PENDING CALL 1","IN PROGRESS")))))</f>
        <v/>
      </c>
      <c r="P118" s="19">
        <f>IF(OR('Ram - Digital ToDo'!O118="Scheduled",'Ram - Digital ToDo'!Q118="Scheduled"),"Scheduled within SLA (self-serve)",IF(OR(M118="Scheduled on call",M118="Booked on their behalf",N118="Scheduled on call",N118="Booked on their behalf"),"Scheduled within SLA (call)",IF(OR(M118="Not interested/Declined",N118="Not interested/Declined"),"Declined",IF(N118="Escalate to AM","SLA breach - unresolved","In progress"))))</f>
        <v/>
      </c>
      <c r="Q118" s="19" t="n"/>
    </row>
    <row r="119">
      <c r="A119" s="19" t="inlineStr">
        <is>
          <t>REQ-0118</t>
        </is>
      </c>
      <c r="B119" s="20" t="n">
        <v>44867.82708333333</v>
      </c>
      <c r="C119" s="20">
        <f>B119+1</f>
        <v/>
      </c>
      <c r="D119" s="21">
        <f>(C119-NOW())*24</f>
        <v/>
      </c>
      <c r="E119" s="19">
        <f>IF('Ram - Digital ToDo'!Q119="Escalate to call","CALL NOW",IF('Ram - Digital ToDo'!N119="Bad contact","CALL NOW (digital failed)","Ram is handling - no action"))</f>
        <v/>
      </c>
      <c r="F119" s="19">
        <f>IF(E119="Ram is handling - no action","No action needed",IF(M119="","CALL 1: ring candidate, offer to book on call (Playbook C1)",IF(OR(M119="Scheduled on call",M119="Booked on their behalf"),"DONE: scheduled on call",IF(M119="Not interested/Declined","CLOSED: candidate declined (log + tell lead)",IF(N119="","CALL 2: final attempt (Playbook C2)",IF(OR(N119="Scheduled on call",N119="Booked on their behalf"),"DONE: scheduled on call",IF(N119="Escalate to AM","ESCALATED TO LEAD","Review")))))))</f>
        <v/>
      </c>
      <c r="G119" s="20">
        <f>IF(E119="Ram is handling - no action","",IF(M119="",B119+6/24,IF(AND(M119&lt;&gt;"Scheduled on call",M119&lt;&gt;"Booked on their behalf",M119&lt;&gt;"Not interested/Declined",N119=""),B119+20/24,"")))</f>
        <v/>
      </c>
      <c r="H119" s="19" t="inlineStr">
        <is>
          <t>Chetan</t>
        </is>
      </c>
      <c r="I119" s="19" t="inlineStr">
        <is>
          <t>Google</t>
        </is>
      </c>
      <c r="J119" s="19" t="inlineStr">
        <is>
          <t>Round1</t>
        </is>
      </c>
      <c r="K119" s="22" t="inlineStr">
        <is>
          <t>+91 9920264452</t>
        </is>
      </c>
      <c r="L119" s="19" t="inlineStr">
        <is>
          <t>&lt;calendly_link&gt;</t>
        </is>
      </c>
      <c r="M119" s="19" t="n"/>
      <c r="N119" s="19" t="n"/>
      <c r="O119" s="19">
        <f>IF(OR(M119="Scheduled on call",M119="Booked on their behalf",N119="Scheduled on call",N119="Booked on their behalf"),"SCHEDULED (call)",IF(OR(M119="Not interested/Declined",N119="Not interested/Declined"),"DECLINED",IF(N119="Escalate to AM","ESCALATED TO LEAD",IF(E119="Ram is handling - no action","N/A",IF(M119="","PENDING CALL 1","IN PROGRESS")))))</f>
        <v/>
      </c>
      <c r="P119" s="19">
        <f>IF(OR('Ram - Digital ToDo'!O119="Scheduled",'Ram - Digital ToDo'!Q119="Scheduled"),"Scheduled within SLA (self-serve)",IF(OR(M119="Scheduled on call",M119="Booked on their behalf",N119="Scheduled on call",N119="Booked on their behalf"),"Scheduled within SLA (call)",IF(OR(M119="Not interested/Declined",N119="Not interested/Declined"),"Declined",IF(N119="Escalate to AM","SLA breach - unresolved","In progress"))))</f>
        <v/>
      </c>
      <c r="Q119" s="19" t="n"/>
    </row>
    <row r="120">
      <c r="A120" s="19" t="inlineStr">
        <is>
          <t>REQ-0119</t>
        </is>
      </c>
      <c r="B120" s="20" t="n">
        <v>44867.82708333333</v>
      </c>
      <c r="C120" s="20">
        <f>B120+1</f>
        <v/>
      </c>
      <c r="D120" s="21">
        <f>(C120-NOW())*24</f>
        <v/>
      </c>
      <c r="E120" s="19">
        <f>IF('Ram - Digital ToDo'!Q120="Escalate to call","CALL NOW",IF('Ram - Digital ToDo'!N120="Bad contact","CALL NOW (digital failed)","Ram is handling - no action"))</f>
        <v/>
      </c>
      <c r="F120" s="19">
        <f>IF(E120="Ram is handling - no action","No action needed",IF(M120="","CALL 1: ring candidate, offer to book on call (Playbook C1)",IF(OR(M120="Scheduled on call",M120="Booked on their behalf"),"DONE: scheduled on call",IF(M120="Not interested/Declined","CLOSED: candidate declined (log + tell lead)",IF(N120="","CALL 2: final attempt (Playbook C2)",IF(OR(N120="Scheduled on call",N120="Booked on their behalf"),"DONE: scheduled on call",IF(N120="Escalate to AM","ESCALATED TO LEAD","Review")))))))</f>
        <v/>
      </c>
      <c r="G120" s="20">
        <f>IF(E120="Ram is handling - no action","",IF(M120="",B120+6/24,IF(AND(M120&lt;&gt;"Scheduled on call",M120&lt;&gt;"Booked on their behalf",M120&lt;&gt;"Not interested/Declined",N120=""),B120+20/24,"")))</f>
        <v/>
      </c>
      <c r="H120" s="19" t="inlineStr">
        <is>
          <t>Chetan</t>
        </is>
      </c>
      <c r="I120" s="19" t="inlineStr">
        <is>
          <t>Google</t>
        </is>
      </c>
      <c r="J120" s="19" t="inlineStr">
        <is>
          <t>Round1</t>
        </is>
      </c>
      <c r="K120" s="22" t="inlineStr">
        <is>
          <t>+91 9920264452</t>
        </is>
      </c>
      <c r="L120" s="19" t="inlineStr">
        <is>
          <t>&lt;calendly_link&gt;</t>
        </is>
      </c>
      <c r="M120" s="19" t="n"/>
      <c r="N120" s="19" t="n"/>
      <c r="O120" s="19">
        <f>IF(OR(M120="Scheduled on call",M120="Booked on their behalf",N120="Scheduled on call",N120="Booked on their behalf"),"SCHEDULED (call)",IF(OR(M120="Not interested/Declined",N120="Not interested/Declined"),"DECLINED",IF(N120="Escalate to AM","ESCALATED TO LEAD",IF(E120="Ram is handling - no action","N/A",IF(M120="","PENDING CALL 1","IN PROGRESS")))))</f>
        <v/>
      </c>
      <c r="P120" s="19">
        <f>IF(OR('Ram - Digital ToDo'!O120="Scheduled",'Ram - Digital ToDo'!Q120="Scheduled"),"Scheduled within SLA (self-serve)",IF(OR(M120="Scheduled on call",M120="Booked on their behalf",N120="Scheduled on call",N120="Booked on their behalf"),"Scheduled within SLA (call)",IF(OR(M120="Not interested/Declined",N120="Not interested/Declined"),"Declined",IF(N120="Escalate to AM","SLA breach - unresolved","In progress"))))</f>
        <v/>
      </c>
      <c r="Q120" s="19" t="n"/>
    </row>
    <row r="121">
      <c r="A121" s="19" t="inlineStr">
        <is>
          <t>REQ-0120</t>
        </is>
      </c>
      <c r="B121" s="20" t="n">
        <v>44867.82708333333</v>
      </c>
      <c r="C121" s="20">
        <f>B121+1</f>
        <v/>
      </c>
      <c r="D121" s="21">
        <f>(C121-NOW())*24</f>
        <v/>
      </c>
      <c r="E121" s="19">
        <f>IF('Ram - Digital ToDo'!Q121="Escalate to call","CALL NOW",IF('Ram - Digital ToDo'!N121="Bad contact","CALL NOW (digital failed)","Ram is handling - no action"))</f>
        <v/>
      </c>
      <c r="F121" s="19">
        <f>IF(E121="Ram is handling - no action","No action needed",IF(M121="","CALL 1: ring candidate, offer to book on call (Playbook C1)",IF(OR(M121="Scheduled on call",M121="Booked on their behalf"),"DONE: scheduled on call",IF(M121="Not interested/Declined","CLOSED: candidate declined (log + tell lead)",IF(N121="","CALL 2: final attempt (Playbook C2)",IF(OR(N121="Scheduled on call",N121="Booked on their behalf"),"DONE: scheduled on call",IF(N121="Escalate to AM","ESCALATED TO LEAD","Review")))))))</f>
        <v/>
      </c>
      <c r="G121" s="20">
        <f>IF(E121="Ram is handling - no action","",IF(M121="",B121+6/24,IF(AND(M121&lt;&gt;"Scheduled on call",M121&lt;&gt;"Booked on their behalf",M121&lt;&gt;"Not interested/Declined",N121=""),B121+20/24,"")))</f>
        <v/>
      </c>
      <c r="H121" s="19" t="inlineStr">
        <is>
          <t>Chetan</t>
        </is>
      </c>
      <c r="I121" s="19" t="inlineStr">
        <is>
          <t>Google</t>
        </is>
      </c>
      <c r="J121" s="19" t="inlineStr">
        <is>
          <t>Round1</t>
        </is>
      </c>
      <c r="K121" s="22" t="inlineStr">
        <is>
          <t>+91 9920264452</t>
        </is>
      </c>
      <c r="L121" s="19" t="inlineStr">
        <is>
          <t>&lt;calendly_link&gt;</t>
        </is>
      </c>
      <c r="M121" s="19" t="n"/>
      <c r="N121" s="19" t="n"/>
      <c r="O121" s="19">
        <f>IF(OR(M121="Scheduled on call",M121="Booked on their behalf",N121="Scheduled on call",N121="Booked on their behalf"),"SCHEDULED (call)",IF(OR(M121="Not interested/Declined",N121="Not interested/Declined"),"DECLINED",IF(N121="Escalate to AM","ESCALATED TO LEAD",IF(E121="Ram is handling - no action","N/A",IF(M121="","PENDING CALL 1","IN PROGRESS")))))</f>
        <v/>
      </c>
      <c r="P121" s="19">
        <f>IF(OR('Ram - Digital ToDo'!O121="Scheduled",'Ram - Digital ToDo'!Q121="Scheduled"),"Scheduled within SLA (self-serve)",IF(OR(M121="Scheduled on call",M121="Booked on their behalf",N121="Scheduled on call",N121="Booked on their behalf"),"Scheduled within SLA (call)",IF(OR(M121="Not interested/Declined",N121="Not interested/Declined"),"Declined",IF(N121="Escalate to AM","SLA breach - unresolved","In progress"))))</f>
        <v/>
      </c>
      <c r="Q121" s="19" t="n"/>
    </row>
    <row r="122">
      <c r="A122" s="19" t="inlineStr">
        <is>
          <t>REQ-0121</t>
        </is>
      </c>
      <c r="B122" s="20" t="n">
        <v>44867.82708333333</v>
      </c>
      <c r="C122" s="20">
        <f>B122+1</f>
        <v/>
      </c>
      <c r="D122" s="21">
        <f>(C122-NOW())*24</f>
        <v/>
      </c>
      <c r="E122" s="19">
        <f>IF('Ram - Digital ToDo'!Q122="Escalate to call","CALL NOW",IF('Ram - Digital ToDo'!N122="Bad contact","CALL NOW (digital failed)","Ram is handling - no action"))</f>
        <v/>
      </c>
      <c r="F122" s="19">
        <f>IF(E122="Ram is handling - no action","No action needed",IF(M122="","CALL 1: ring candidate, offer to book on call (Playbook C1)",IF(OR(M122="Scheduled on call",M122="Booked on their behalf"),"DONE: scheduled on call",IF(M122="Not interested/Declined","CLOSED: candidate declined (log + tell lead)",IF(N122="","CALL 2: final attempt (Playbook C2)",IF(OR(N122="Scheduled on call",N122="Booked on their behalf"),"DONE: scheduled on call",IF(N122="Escalate to AM","ESCALATED TO LEAD","Review")))))))</f>
        <v/>
      </c>
      <c r="G122" s="20">
        <f>IF(E122="Ram is handling - no action","",IF(M122="",B122+6/24,IF(AND(M122&lt;&gt;"Scheduled on call",M122&lt;&gt;"Booked on their behalf",M122&lt;&gt;"Not interested/Declined",N122=""),B122+20/24,"")))</f>
        <v/>
      </c>
      <c r="H122" s="19" t="inlineStr">
        <is>
          <t>Chetan</t>
        </is>
      </c>
      <c r="I122" s="19" t="inlineStr">
        <is>
          <t>Google</t>
        </is>
      </c>
      <c r="J122" s="19" t="inlineStr">
        <is>
          <t>Round1</t>
        </is>
      </c>
      <c r="K122" s="22" t="inlineStr">
        <is>
          <t>+91 9920264452</t>
        </is>
      </c>
      <c r="L122" s="19" t="inlineStr">
        <is>
          <t>&lt;calendly_link&gt;</t>
        </is>
      </c>
      <c r="M122" s="19" t="n"/>
      <c r="N122" s="19" t="n"/>
      <c r="O122" s="19">
        <f>IF(OR(M122="Scheduled on call",M122="Booked on their behalf",N122="Scheduled on call",N122="Booked on their behalf"),"SCHEDULED (call)",IF(OR(M122="Not interested/Declined",N122="Not interested/Declined"),"DECLINED",IF(N122="Escalate to AM","ESCALATED TO LEAD",IF(E122="Ram is handling - no action","N/A",IF(M122="","PENDING CALL 1","IN PROGRESS")))))</f>
        <v/>
      </c>
      <c r="P122" s="19">
        <f>IF(OR('Ram - Digital ToDo'!O122="Scheduled",'Ram - Digital ToDo'!Q122="Scheduled"),"Scheduled within SLA (self-serve)",IF(OR(M122="Scheduled on call",M122="Booked on their behalf",N122="Scheduled on call",N122="Booked on their behalf"),"Scheduled within SLA (call)",IF(OR(M122="Not interested/Declined",N122="Not interested/Declined"),"Declined",IF(N122="Escalate to AM","SLA breach - unresolved","In progress"))))</f>
        <v/>
      </c>
      <c r="Q122" s="19" t="n"/>
    </row>
    <row r="123">
      <c r="A123" s="19" t="inlineStr">
        <is>
          <t>REQ-0122</t>
        </is>
      </c>
      <c r="B123" s="20" t="n">
        <v>44867.82708333333</v>
      </c>
      <c r="C123" s="20">
        <f>B123+1</f>
        <v/>
      </c>
      <c r="D123" s="21">
        <f>(C123-NOW())*24</f>
        <v/>
      </c>
      <c r="E123" s="19">
        <f>IF('Ram - Digital ToDo'!Q123="Escalate to call","CALL NOW",IF('Ram - Digital ToDo'!N123="Bad contact","CALL NOW (digital failed)","Ram is handling - no action"))</f>
        <v/>
      </c>
      <c r="F123" s="19">
        <f>IF(E123="Ram is handling - no action","No action needed",IF(M123="","CALL 1: ring candidate, offer to book on call (Playbook C1)",IF(OR(M123="Scheduled on call",M123="Booked on their behalf"),"DONE: scheduled on call",IF(M123="Not interested/Declined","CLOSED: candidate declined (log + tell lead)",IF(N123="","CALL 2: final attempt (Playbook C2)",IF(OR(N123="Scheduled on call",N123="Booked on their behalf"),"DONE: scheduled on call",IF(N123="Escalate to AM","ESCALATED TO LEAD","Review")))))))</f>
        <v/>
      </c>
      <c r="G123" s="20">
        <f>IF(E123="Ram is handling - no action","",IF(M123="",B123+6/24,IF(AND(M123&lt;&gt;"Scheduled on call",M123&lt;&gt;"Booked on their behalf",M123&lt;&gt;"Not interested/Declined",N123=""),B123+20/24,"")))</f>
        <v/>
      </c>
      <c r="H123" s="19" t="inlineStr">
        <is>
          <t>Chetan</t>
        </is>
      </c>
      <c r="I123" s="19" t="inlineStr">
        <is>
          <t>Google</t>
        </is>
      </c>
      <c r="J123" s="19" t="inlineStr">
        <is>
          <t>Round1</t>
        </is>
      </c>
      <c r="K123" s="22" t="inlineStr">
        <is>
          <t>+91 9920264452</t>
        </is>
      </c>
      <c r="L123" s="19" t="inlineStr">
        <is>
          <t>&lt;calendly_link&gt;</t>
        </is>
      </c>
      <c r="M123" s="19" t="n"/>
      <c r="N123" s="19" t="n"/>
      <c r="O123" s="19">
        <f>IF(OR(M123="Scheduled on call",M123="Booked on their behalf",N123="Scheduled on call",N123="Booked on their behalf"),"SCHEDULED (call)",IF(OR(M123="Not interested/Declined",N123="Not interested/Declined"),"DECLINED",IF(N123="Escalate to AM","ESCALATED TO LEAD",IF(E123="Ram is handling - no action","N/A",IF(M123="","PENDING CALL 1","IN PROGRESS")))))</f>
        <v/>
      </c>
      <c r="P123" s="19">
        <f>IF(OR('Ram - Digital ToDo'!O123="Scheduled",'Ram - Digital ToDo'!Q123="Scheduled"),"Scheduled within SLA (self-serve)",IF(OR(M123="Scheduled on call",M123="Booked on their behalf",N123="Scheduled on call",N123="Booked on their behalf"),"Scheduled within SLA (call)",IF(OR(M123="Not interested/Declined",N123="Not interested/Declined"),"Declined",IF(N123="Escalate to AM","SLA breach - unresolved","In progress"))))</f>
        <v/>
      </c>
      <c r="Q123" s="19" t="n"/>
    </row>
    <row r="124">
      <c r="A124" s="19" t="inlineStr">
        <is>
          <t>REQ-0123</t>
        </is>
      </c>
      <c r="B124" s="20" t="n">
        <v>44867.82708333333</v>
      </c>
      <c r="C124" s="20">
        <f>B124+1</f>
        <v/>
      </c>
      <c r="D124" s="21">
        <f>(C124-NOW())*24</f>
        <v/>
      </c>
      <c r="E124" s="19">
        <f>IF('Ram - Digital ToDo'!Q124="Escalate to call","CALL NOW",IF('Ram - Digital ToDo'!N124="Bad contact","CALL NOW (digital failed)","Ram is handling - no action"))</f>
        <v/>
      </c>
      <c r="F124" s="19">
        <f>IF(E124="Ram is handling - no action","No action needed",IF(M124="","CALL 1: ring candidate, offer to book on call (Playbook C1)",IF(OR(M124="Scheduled on call",M124="Booked on their behalf"),"DONE: scheduled on call",IF(M124="Not interested/Declined","CLOSED: candidate declined (log + tell lead)",IF(N124="","CALL 2: final attempt (Playbook C2)",IF(OR(N124="Scheduled on call",N124="Booked on their behalf"),"DONE: scheduled on call",IF(N124="Escalate to AM","ESCALATED TO LEAD","Review")))))))</f>
        <v/>
      </c>
      <c r="G124" s="20">
        <f>IF(E124="Ram is handling - no action","",IF(M124="",B124+6/24,IF(AND(M124&lt;&gt;"Scheduled on call",M124&lt;&gt;"Booked on their behalf",M124&lt;&gt;"Not interested/Declined",N124=""),B124+20/24,"")))</f>
        <v/>
      </c>
      <c r="H124" s="19" t="inlineStr">
        <is>
          <t>Chetan</t>
        </is>
      </c>
      <c r="I124" s="19" t="inlineStr">
        <is>
          <t>Google</t>
        </is>
      </c>
      <c r="J124" s="19" t="inlineStr">
        <is>
          <t>Round1</t>
        </is>
      </c>
      <c r="K124" s="22" t="inlineStr">
        <is>
          <t>+91 9920264452</t>
        </is>
      </c>
      <c r="L124" s="19" t="inlineStr">
        <is>
          <t>&lt;calendly_link&gt;</t>
        </is>
      </c>
      <c r="M124" s="19" t="n"/>
      <c r="N124" s="19" t="n"/>
      <c r="O124" s="19">
        <f>IF(OR(M124="Scheduled on call",M124="Booked on their behalf",N124="Scheduled on call",N124="Booked on their behalf"),"SCHEDULED (call)",IF(OR(M124="Not interested/Declined",N124="Not interested/Declined"),"DECLINED",IF(N124="Escalate to AM","ESCALATED TO LEAD",IF(E124="Ram is handling - no action","N/A",IF(M124="","PENDING CALL 1","IN PROGRESS")))))</f>
        <v/>
      </c>
      <c r="P124" s="19">
        <f>IF(OR('Ram - Digital ToDo'!O124="Scheduled",'Ram - Digital ToDo'!Q124="Scheduled"),"Scheduled within SLA (self-serve)",IF(OR(M124="Scheduled on call",M124="Booked on their behalf",N124="Scheduled on call",N124="Booked on their behalf"),"Scheduled within SLA (call)",IF(OR(M124="Not interested/Declined",N124="Not interested/Declined"),"Declined",IF(N124="Escalate to AM","SLA breach - unresolved","In progress"))))</f>
        <v/>
      </c>
      <c r="Q124" s="19" t="n"/>
    </row>
    <row r="125">
      <c r="A125" s="19" t="inlineStr">
        <is>
          <t>REQ-0124</t>
        </is>
      </c>
      <c r="B125" s="20" t="n">
        <v>44867.82708333333</v>
      </c>
      <c r="C125" s="20">
        <f>B125+1</f>
        <v/>
      </c>
      <c r="D125" s="21">
        <f>(C125-NOW())*24</f>
        <v/>
      </c>
      <c r="E125" s="19">
        <f>IF('Ram - Digital ToDo'!Q125="Escalate to call","CALL NOW",IF('Ram - Digital ToDo'!N125="Bad contact","CALL NOW (digital failed)","Ram is handling - no action"))</f>
        <v/>
      </c>
      <c r="F125" s="19">
        <f>IF(E125="Ram is handling - no action","No action needed",IF(M125="","CALL 1: ring candidate, offer to book on call (Playbook C1)",IF(OR(M125="Scheduled on call",M125="Booked on their behalf"),"DONE: scheduled on call",IF(M125="Not interested/Declined","CLOSED: candidate declined (log + tell lead)",IF(N125="","CALL 2: final attempt (Playbook C2)",IF(OR(N125="Scheduled on call",N125="Booked on their behalf"),"DONE: scheduled on call",IF(N125="Escalate to AM","ESCALATED TO LEAD","Review")))))))</f>
        <v/>
      </c>
      <c r="G125" s="20">
        <f>IF(E125="Ram is handling - no action","",IF(M125="",B125+6/24,IF(AND(M125&lt;&gt;"Scheduled on call",M125&lt;&gt;"Booked on their behalf",M125&lt;&gt;"Not interested/Declined",N125=""),B125+20/24,"")))</f>
        <v/>
      </c>
      <c r="H125" s="19" t="inlineStr">
        <is>
          <t>Chetan</t>
        </is>
      </c>
      <c r="I125" s="19" t="inlineStr">
        <is>
          <t>Google</t>
        </is>
      </c>
      <c r="J125" s="19" t="inlineStr">
        <is>
          <t>Round1</t>
        </is>
      </c>
      <c r="K125" s="22" t="inlineStr">
        <is>
          <t>+91 9920264452</t>
        </is>
      </c>
      <c r="L125" s="19" t="inlineStr">
        <is>
          <t>&lt;calendly_link&gt;</t>
        </is>
      </c>
      <c r="M125" s="19" t="n"/>
      <c r="N125" s="19" t="n"/>
      <c r="O125" s="19">
        <f>IF(OR(M125="Scheduled on call",M125="Booked on their behalf",N125="Scheduled on call",N125="Booked on their behalf"),"SCHEDULED (call)",IF(OR(M125="Not interested/Declined",N125="Not interested/Declined"),"DECLINED",IF(N125="Escalate to AM","ESCALATED TO LEAD",IF(E125="Ram is handling - no action","N/A",IF(M125="","PENDING CALL 1","IN PROGRESS")))))</f>
        <v/>
      </c>
      <c r="P125" s="19">
        <f>IF(OR('Ram - Digital ToDo'!O125="Scheduled",'Ram - Digital ToDo'!Q125="Scheduled"),"Scheduled within SLA (self-serve)",IF(OR(M125="Scheduled on call",M125="Booked on their behalf",N125="Scheduled on call",N125="Booked on their behalf"),"Scheduled within SLA (call)",IF(OR(M125="Not interested/Declined",N125="Not interested/Declined"),"Declined",IF(N125="Escalate to AM","SLA breach - unresolved","In progress"))))</f>
        <v/>
      </c>
      <c r="Q125" s="19" t="n"/>
    </row>
    <row r="126">
      <c r="A126" s="19" t="inlineStr">
        <is>
          <t>REQ-0125</t>
        </is>
      </c>
      <c r="B126" s="20" t="n">
        <v>44867.82708333333</v>
      </c>
      <c r="C126" s="20">
        <f>B126+1</f>
        <v/>
      </c>
      <c r="D126" s="21">
        <f>(C126-NOW())*24</f>
        <v/>
      </c>
      <c r="E126" s="19">
        <f>IF('Ram - Digital ToDo'!Q126="Escalate to call","CALL NOW",IF('Ram - Digital ToDo'!N126="Bad contact","CALL NOW (digital failed)","Ram is handling - no action"))</f>
        <v/>
      </c>
      <c r="F126" s="19">
        <f>IF(E126="Ram is handling - no action","No action needed",IF(M126="","CALL 1: ring candidate, offer to book on call (Playbook C1)",IF(OR(M126="Scheduled on call",M126="Booked on their behalf"),"DONE: scheduled on call",IF(M126="Not interested/Declined","CLOSED: candidate declined (log + tell lead)",IF(N126="","CALL 2: final attempt (Playbook C2)",IF(OR(N126="Scheduled on call",N126="Booked on their behalf"),"DONE: scheduled on call",IF(N126="Escalate to AM","ESCALATED TO LEAD","Review")))))))</f>
        <v/>
      </c>
      <c r="G126" s="20">
        <f>IF(E126="Ram is handling - no action","",IF(M126="",B126+6/24,IF(AND(M126&lt;&gt;"Scheduled on call",M126&lt;&gt;"Booked on their behalf",M126&lt;&gt;"Not interested/Declined",N126=""),B126+20/24,"")))</f>
        <v/>
      </c>
      <c r="H126" s="19" t="inlineStr">
        <is>
          <t>Chetan</t>
        </is>
      </c>
      <c r="I126" s="19" t="inlineStr">
        <is>
          <t>Google</t>
        </is>
      </c>
      <c r="J126" s="19" t="inlineStr">
        <is>
          <t>Round1</t>
        </is>
      </c>
      <c r="K126" s="22" t="inlineStr">
        <is>
          <t>+91 9920264452</t>
        </is>
      </c>
      <c r="L126" s="19" t="inlineStr">
        <is>
          <t>&lt;calendly_link&gt;</t>
        </is>
      </c>
      <c r="M126" s="19" t="n"/>
      <c r="N126" s="19" t="n"/>
      <c r="O126" s="19">
        <f>IF(OR(M126="Scheduled on call",M126="Booked on their behalf",N126="Scheduled on call",N126="Booked on their behalf"),"SCHEDULED (call)",IF(OR(M126="Not interested/Declined",N126="Not interested/Declined"),"DECLINED",IF(N126="Escalate to AM","ESCALATED TO LEAD",IF(E126="Ram is handling - no action","N/A",IF(M126="","PENDING CALL 1","IN PROGRESS")))))</f>
        <v/>
      </c>
      <c r="P126" s="19">
        <f>IF(OR('Ram - Digital ToDo'!O126="Scheduled",'Ram - Digital ToDo'!Q126="Scheduled"),"Scheduled within SLA (self-serve)",IF(OR(M126="Scheduled on call",M126="Booked on their behalf",N126="Scheduled on call",N126="Booked on their behalf"),"Scheduled within SLA (call)",IF(OR(M126="Not interested/Declined",N126="Not interested/Declined"),"Declined",IF(N126="Escalate to AM","SLA breach - unresolved","In progress"))))</f>
        <v/>
      </c>
      <c r="Q126" s="19" t="n"/>
    </row>
    <row r="127">
      <c r="A127" s="19" t="inlineStr">
        <is>
          <t>REQ-0126</t>
        </is>
      </c>
      <c r="B127" s="20" t="n">
        <v>44867.82708333333</v>
      </c>
      <c r="C127" s="20">
        <f>B127+1</f>
        <v/>
      </c>
      <c r="D127" s="21">
        <f>(C127-NOW())*24</f>
        <v/>
      </c>
      <c r="E127" s="19">
        <f>IF('Ram - Digital ToDo'!Q127="Escalate to call","CALL NOW",IF('Ram - Digital ToDo'!N127="Bad contact","CALL NOW (digital failed)","Ram is handling - no action"))</f>
        <v/>
      </c>
      <c r="F127" s="19">
        <f>IF(E127="Ram is handling - no action","No action needed",IF(M127="","CALL 1: ring candidate, offer to book on call (Playbook C1)",IF(OR(M127="Scheduled on call",M127="Booked on their behalf"),"DONE: scheduled on call",IF(M127="Not interested/Declined","CLOSED: candidate declined (log + tell lead)",IF(N127="","CALL 2: final attempt (Playbook C2)",IF(OR(N127="Scheduled on call",N127="Booked on their behalf"),"DONE: scheduled on call",IF(N127="Escalate to AM","ESCALATED TO LEAD","Review")))))))</f>
        <v/>
      </c>
      <c r="G127" s="20">
        <f>IF(E127="Ram is handling - no action","",IF(M127="",B127+6/24,IF(AND(M127&lt;&gt;"Scheduled on call",M127&lt;&gt;"Booked on their behalf",M127&lt;&gt;"Not interested/Declined",N127=""),B127+20/24,"")))</f>
        <v/>
      </c>
      <c r="H127" s="19" t="inlineStr">
        <is>
          <t>Chetan</t>
        </is>
      </c>
      <c r="I127" s="19" t="inlineStr">
        <is>
          <t>Google</t>
        </is>
      </c>
      <c r="J127" s="19" t="inlineStr">
        <is>
          <t>Round1</t>
        </is>
      </c>
      <c r="K127" s="22" t="inlineStr">
        <is>
          <t>+91 9920264452</t>
        </is>
      </c>
      <c r="L127" s="19" t="inlineStr">
        <is>
          <t>&lt;calendly_link&gt;</t>
        </is>
      </c>
      <c r="M127" s="19" t="n"/>
      <c r="N127" s="19" t="n"/>
      <c r="O127" s="19">
        <f>IF(OR(M127="Scheduled on call",M127="Booked on their behalf",N127="Scheduled on call",N127="Booked on their behalf"),"SCHEDULED (call)",IF(OR(M127="Not interested/Declined",N127="Not interested/Declined"),"DECLINED",IF(N127="Escalate to AM","ESCALATED TO LEAD",IF(E127="Ram is handling - no action","N/A",IF(M127="","PENDING CALL 1","IN PROGRESS")))))</f>
        <v/>
      </c>
      <c r="P127" s="19">
        <f>IF(OR('Ram - Digital ToDo'!O127="Scheduled",'Ram - Digital ToDo'!Q127="Scheduled"),"Scheduled within SLA (self-serve)",IF(OR(M127="Scheduled on call",M127="Booked on their behalf",N127="Scheduled on call",N127="Booked on their behalf"),"Scheduled within SLA (call)",IF(OR(M127="Not interested/Declined",N127="Not interested/Declined"),"Declined",IF(N127="Escalate to AM","SLA breach - unresolved","In progress"))))</f>
        <v/>
      </c>
      <c r="Q127" s="19" t="n"/>
    </row>
    <row r="128">
      <c r="A128" s="19" t="inlineStr">
        <is>
          <t>REQ-0127</t>
        </is>
      </c>
      <c r="B128" s="20" t="n">
        <v>44867.82708333333</v>
      </c>
      <c r="C128" s="20">
        <f>B128+1</f>
        <v/>
      </c>
      <c r="D128" s="21">
        <f>(C128-NOW())*24</f>
        <v/>
      </c>
      <c r="E128" s="19">
        <f>IF('Ram - Digital ToDo'!Q128="Escalate to call","CALL NOW",IF('Ram - Digital ToDo'!N128="Bad contact","CALL NOW (digital failed)","Ram is handling - no action"))</f>
        <v/>
      </c>
      <c r="F128" s="19">
        <f>IF(E128="Ram is handling - no action","No action needed",IF(M128="","CALL 1: ring candidate, offer to book on call (Playbook C1)",IF(OR(M128="Scheduled on call",M128="Booked on their behalf"),"DONE: scheduled on call",IF(M128="Not interested/Declined","CLOSED: candidate declined (log + tell lead)",IF(N128="","CALL 2: final attempt (Playbook C2)",IF(OR(N128="Scheduled on call",N128="Booked on their behalf"),"DONE: scheduled on call",IF(N128="Escalate to AM","ESCALATED TO LEAD","Review")))))))</f>
        <v/>
      </c>
      <c r="G128" s="20">
        <f>IF(E128="Ram is handling - no action","",IF(M128="",B128+6/24,IF(AND(M128&lt;&gt;"Scheduled on call",M128&lt;&gt;"Booked on their behalf",M128&lt;&gt;"Not interested/Declined",N128=""),B128+20/24,"")))</f>
        <v/>
      </c>
      <c r="H128" s="19" t="inlineStr">
        <is>
          <t>Chetan</t>
        </is>
      </c>
      <c r="I128" s="19" t="inlineStr">
        <is>
          <t>Google</t>
        </is>
      </c>
      <c r="J128" s="19" t="inlineStr">
        <is>
          <t>Round1</t>
        </is>
      </c>
      <c r="K128" s="22" t="inlineStr">
        <is>
          <t>+91 9920264452</t>
        </is>
      </c>
      <c r="L128" s="19" t="inlineStr">
        <is>
          <t>&lt;calendly_link&gt;</t>
        </is>
      </c>
      <c r="M128" s="19" t="n"/>
      <c r="N128" s="19" t="n"/>
      <c r="O128" s="19">
        <f>IF(OR(M128="Scheduled on call",M128="Booked on their behalf",N128="Scheduled on call",N128="Booked on their behalf"),"SCHEDULED (call)",IF(OR(M128="Not interested/Declined",N128="Not interested/Declined"),"DECLINED",IF(N128="Escalate to AM","ESCALATED TO LEAD",IF(E128="Ram is handling - no action","N/A",IF(M128="","PENDING CALL 1","IN PROGRESS")))))</f>
        <v/>
      </c>
      <c r="P128" s="19">
        <f>IF(OR('Ram - Digital ToDo'!O128="Scheduled",'Ram - Digital ToDo'!Q128="Scheduled"),"Scheduled within SLA (self-serve)",IF(OR(M128="Scheduled on call",M128="Booked on their behalf",N128="Scheduled on call",N128="Booked on their behalf"),"Scheduled within SLA (call)",IF(OR(M128="Not interested/Declined",N128="Not interested/Declined"),"Declined",IF(N128="Escalate to AM","SLA breach - unresolved","In progress"))))</f>
        <v/>
      </c>
      <c r="Q128" s="19" t="n"/>
    </row>
    <row r="129">
      <c r="A129" s="19" t="inlineStr">
        <is>
          <t>REQ-0128</t>
        </is>
      </c>
      <c r="B129" s="20" t="n">
        <v>44867.82708333333</v>
      </c>
      <c r="C129" s="20">
        <f>B129+1</f>
        <v/>
      </c>
      <c r="D129" s="21">
        <f>(C129-NOW())*24</f>
        <v/>
      </c>
      <c r="E129" s="19">
        <f>IF('Ram - Digital ToDo'!Q129="Escalate to call","CALL NOW",IF('Ram - Digital ToDo'!N129="Bad contact","CALL NOW (digital failed)","Ram is handling - no action"))</f>
        <v/>
      </c>
      <c r="F129" s="19">
        <f>IF(E129="Ram is handling - no action","No action needed",IF(M129="","CALL 1: ring candidate, offer to book on call (Playbook C1)",IF(OR(M129="Scheduled on call",M129="Booked on their behalf"),"DONE: scheduled on call",IF(M129="Not interested/Declined","CLOSED: candidate declined (log + tell lead)",IF(N129="","CALL 2: final attempt (Playbook C2)",IF(OR(N129="Scheduled on call",N129="Booked on their behalf"),"DONE: scheduled on call",IF(N129="Escalate to AM","ESCALATED TO LEAD","Review")))))))</f>
        <v/>
      </c>
      <c r="G129" s="20">
        <f>IF(E129="Ram is handling - no action","",IF(M129="",B129+6/24,IF(AND(M129&lt;&gt;"Scheduled on call",M129&lt;&gt;"Booked on their behalf",M129&lt;&gt;"Not interested/Declined",N129=""),B129+20/24,"")))</f>
        <v/>
      </c>
      <c r="H129" s="19" t="inlineStr">
        <is>
          <t>Chetan</t>
        </is>
      </c>
      <c r="I129" s="19" t="inlineStr">
        <is>
          <t>Google</t>
        </is>
      </c>
      <c r="J129" s="19" t="inlineStr">
        <is>
          <t>Round1</t>
        </is>
      </c>
      <c r="K129" s="22" t="inlineStr">
        <is>
          <t>+91 9920264452</t>
        </is>
      </c>
      <c r="L129" s="19" t="inlineStr">
        <is>
          <t>&lt;calendly_link&gt;</t>
        </is>
      </c>
      <c r="M129" s="19" t="n"/>
      <c r="N129" s="19" t="n"/>
      <c r="O129" s="19">
        <f>IF(OR(M129="Scheduled on call",M129="Booked on their behalf",N129="Scheduled on call",N129="Booked on their behalf"),"SCHEDULED (call)",IF(OR(M129="Not interested/Declined",N129="Not interested/Declined"),"DECLINED",IF(N129="Escalate to AM","ESCALATED TO LEAD",IF(E129="Ram is handling - no action","N/A",IF(M129="","PENDING CALL 1","IN PROGRESS")))))</f>
        <v/>
      </c>
      <c r="P129" s="19">
        <f>IF(OR('Ram - Digital ToDo'!O129="Scheduled",'Ram - Digital ToDo'!Q129="Scheduled"),"Scheduled within SLA (self-serve)",IF(OR(M129="Scheduled on call",M129="Booked on their behalf",N129="Scheduled on call",N129="Booked on their behalf"),"Scheduled within SLA (call)",IF(OR(M129="Not interested/Declined",N129="Not interested/Declined"),"Declined",IF(N129="Escalate to AM","SLA breach - unresolved","In progress"))))</f>
        <v/>
      </c>
      <c r="Q129" s="19" t="n"/>
    </row>
    <row r="130">
      <c r="A130" s="19" t="inlineStr">
        <is>
          <t>REQ-0129</t>
        </is>
      </c>
      <c r="B130" s="20" t="n">
        <v>44867.82708333333</v>
      </c>
      <c r="C130" s="20">
        <f>B130+1</f>
        <v/>
      </c>
      <c r="D130" s="21">
        <f>(C130-NOW())*24</f>
        <v/>
      </c>
      <c r="E130" s="19">
        <f>IF('Ram - Digital ToDo'!Q130="Escalate to call","CALL NOW",IF('Ram - Digital ToDo'!N130="Bad contact","CALL NOW (digital failed)","Ram is handling - no action"))</f>
        <v/>
      </c>
      <c r="F130" s="19">
        <f>IF(E130="Ram is handling - no action","No action needed",IF(M130="","CALL 1: ring candidate, offer to book on call (Playbook C1)",IF(OR(M130="Scheduled on call",M130="Booked on their behalf"),"DONE: scheduled on call",IF(M130="Not interested/Declined","CLOSED: candidate declined (log + tell lead)",IF(N130="","CALL 2: final attempt (Playbook C2)",IF(OR(N130="Scheduled on call",N130="Booked on their behalf"),"DONE: scheduled on call",IF(N130="Escalate to AM","ESCALATED TO LEAD","Review")))))))</f>
        <v/>
      </c>
      <c r="G130" s="20">
        <f>IF(E130="Ram is handling - no action","",IF(M130="",B130+6/24,IF(AND(M130&lt;&gt;"Scheduled on call",M130&lt;&gt;"Booked on their behalf",M130&lt;&gt;"Not interested/Declined",N130=""),B130+20/24,"")))</f>
        <v/>
      </c>
      <c r="H130" s="19" t="inlineStr">
        <is>
          <t>Chetan</t>
        </is>
      </c>
      <c r="I130" s="19" t="inlineStr">
        <is>
          <t>Google</t>
        </is>
      </c>
      <c r="J130" s="19" t="inlineStr">
        <is>
          <t>Round1</t>
        </is>
      </c>
      <c r="K130" s="22" t="inlineStr">
        <is>
          <t>+91 9920264452</t>
        </is>
      </c>
      <c r="L130" s="19" t="inlineStr">
        <is>
          <t>&lt;calendly_link&gt;</t>
        </is>
      </c>
      <c r="M130" s="19" t="n"/>
      <c r="N130" s="19" t="n"/>
      <c r="O130" s="19">
        <f>IF(OR(M130="Scheduled on call",M130="Booked on their behalf",N130="Scheduled on call",N130="Booked on their behalf"),"SCHEDULED (call)",IF(OR(M130="Not interested/Declined",N130="Not interested/Declined"),"DECLINED",IF(N130="Escalate to AM","ESCALATED TO LEAD",IF(E130="Ram is handling - no action","N/A",IF(M130="","PENDING CALL 1","IN PROGRESS")))))</f>
        <v/>
      </c>
      <c r="P130" s="19">
        <f>IF(OR('Ram - Digital ToDo'!O130="Scheduled",'Ram - Digital ToDo'!Q130="Scheduled"),"Scheduled within SLA (self-serve)",IF(OR(M130="Scheduled on call",M130="Booked on their behalf",N130="Scheduled on call",N130="Booked on their behalf"),"Scheduled within SLA (call)",IF(OR(M130="Not interested/Declined",N130="Not interested/Declined"),"Declined",IF(N130="Escalate to AM","SLA breach - unresolved","In progress"))))</f>
        <v/>
      </c>
      <c r="Q130" s="19" t="n"/>
    </row>
    <row r="131">
      <c r="A131" s="19" t="inlineStr">
        <is>
          <t>REQ-0130</t>
        </is>
      </c>
      <c r="B131" s="20" t="n">
        <v>44867.82708333333</v>
      </c>
      <c r="C131" s="20">
        <f>B131+1</f>
        <v/>
      </c>
      <c r="D131" s="21">
        <f>(C131-NOW())*24</f>
        <v/>
      </c>
      <c r="E131" s="19">
        <f>IF('Ram - Digital ToDo'!Q131="Escalate to call","CALL NOW",IF('Ram - Digital ToDo'!N131="Bad contact","CALL NOW (digital failed)","Ram is handling - no action"))</f>
        <v/>
      </c>
      <c r="F131" s="19">
        <f>IF(E131="Ram is handling - no action","No action needed",IF(M131="","CALL 1: ring candidate, offer to book on call (Playbook C1)",IF(OR(M131="Scheduled on call",M131="Booked on their behalf"),"DONE: scheduled on call",IF(M131="Not interested/Declined","CLOSED: candidate declined (log + tell lead)",IF(N131="","CALL 2: final attempt (Playbook C2)",IF(OR(N131="Scheduled on call",N131="Booked on their behalf"),"DONE: scheduled on call",IF(N131="Escalate to AM","ESCALATED TO LEAD","Review")))))))</f>
        <v/>
      </c>
      <c r="G131" s="20">
        <f>IF(E131="Ram is handling - no action","",IF(M131="",B131+6/24,IF(AND(M131&lt;&gt;"Scheduled on call",M131&lt;&gt;"Booked on their behalf",M131&lt;&gt;"Not interested/Declined",N131=""),B131+20/24,"")))</f>
        <v/>
      </c>
      <c r="H131" s="19" t="inlineStr">
        <is>
          <t>Chetan</t>
        </is>
      </c>
      <c r="I131" s="19" t="inlineStr">
        <is>
          <t>Google</t>
        </is>
      </c>
      <c r="J131" s="19" t="inlineStr">
        <is>
          <t>Round1</t>
        </is>
      </c>
      <c r="K131" s="22" t="inlineStr">
        <is>
          <t>+91 9920264452</t>
        </is>
      </c>
      <c r="L131" s="19" t="inlineStr">
        <is>
          <t>&lt;calendly_link&gt;</t>
        </is>
      </c>
      <c r="M131" s="19" t="n"/>
      <c r="N131" s="19" t="n"/>
      <c r="O131" s="19">
        <f>IF(OR(M131="Scheduled on call",M131="Booked on their behalf",N131="Scheduled on call",N131="Booked on their behalf"),"SCHEDULED (call)",IF(OR(M131="Not interested/Declined",N131="Not interested/Declined"),"DECLINED",IF(N131="Escalate to AM","ESCALATED TO LEAD",IF(E131="Ram is handling - no action","N/A",IF(M131="","PENDING CALL 1","IN PROGRESS")))))</f>
        <v/>
      </c>
      <c r="P131" s="19">
        <f>IF(OR('Ram - Digital ToDo'!O131="Scheduled",'Ram - Digital ToDo'!Q131="Scheduled"),"Scheduled within SLA (self-serve)",IF(OR(M131="Scheduled on call",M131="Booked on their behalf",N131="Scheduled on call",N131="Booked on their behalf"),"Scheduled within SLA (call)",IF(OR(M131="Not interested/Declined",N131="Not interested/Declined"),"Declined",IF(N131="Escalate to AM","SLA breach - unresolved","In progress"))))</f>
        <v/>
      </c>
      <c r="Q131" s="19" t="n"/>
    </row>
    <row r="132">
      <c r="A132" s="19" t="inlineStr">
        <is>
          <t>REQ-0131</t>
        </is>
      </c>
      <c r="B132" s="20" t="n">
        <v>44867.82708333333</v>
      </c>
      <c r="C132" s="20">
        <f>B132+1</f>
        <v/>
      </c>
      <c r="D132" s="21">
        <f>(C132-NOW())*24</f>
        <v/>
      </c>
      <c r="E132" s="19">
        <f>IF('Ram - Digital ToDo'!Q132="Escalate to call","CALL NOW",IF('Ram - Digital ToDo'!N132="Bad contact","CALL NOW (digital failed)","Ram is handling - no action"))</f>
        <v/>
      </c>
      <c r="F132" s="19">
        <f>IF(E132="Ram is handling - no action","No action needed",IF(M132="","CALL 1: ring candidate, offer to book on call (Playbook C1)",IF(OR(M132="Scheduled on call",M132="Booked on their behalf"),"DONE: scheduled on call",IF(M132="Not interested/Declined","CLOSED: candidate declined (log + tell lead)",IF(N132="","CALL 2: final attempt (Playbook C2)",IF(OR(N132="Scheduled on call",N132="Booked on their behalf"),"DONE: scheduled on call",IF(N132="Escalate to AM","ESCALATED TO LEAD","Review")))))))</f>
        <v/>
      </c>
      <c r="G132" s="20">
        <f>IF(E132="Ram is handling - no action","",IF(M132="",B132+6/24,IF(AND(M132&lt;&gt;"Scheduled on call",M132&lt;&gt;"Booked on their behalf",M132&lt;&gt;"Not interested/Declined",N132=""),B132+20/24,"")))</f>
        <v/>
      </c>
      <c r="H132" s="19" t="inlineStr">
        <is>
          <t>Chetan</t>
        </is>
      </c>
      <c r="I132" s="19" t="inlineStr">
        <is>
          <t>Google</t>
        </is>
      </c>
      <c r="J132" s="19" t="inlineStr">
        <is>
          <t>Round1</t>
        </is>
      </c>
      <c r="K132" s="22" t="inlineStr">
        <is>
          <t>+91 9920264452</t>
        </is>
      </c>
      <c r="L132" s="19" t="inlineStr">
        <is>
          <t>&lt;calendly_link&gt;</t>
        </is>
      </c>
      <c r="M132" s="19" t="n"/>
      <c r="N132" s="19" t="n"/>
      <c r="O132" s="19">
        <f>IF(OR(M132="Scheduled on call",M132="Booked on their behalf",N132="Scheduled on call",N132="Booked on their behalf"),"SCHEDULED (call)",IF(OR(M132="Not interested/Declined",N132="Not interested/Declined"),"DECLINED",IF(N132="Escalate to AM","ESCALATED TO LEAD",IF(E132="Ram is handling - no action","N/A",IF(M132="","PENDING CALL 1","IN PROGRESS")))))</f>
        <v/>
      </c>
      <c r="P132" s="19">
        <f>IF(OR('Ram - Digital ToDo'!O132="Scheduled",'Ram - Digital ToDo'!Q132="Scheduled"),"Scheduled within SLA (self-serve)",IF(OR(M132="Scheduled on call",M132="Booked on their behalf",N132="Scheduled on call",N132="Booked on their behalf"),"Scheduled within SLA (call)",IF(OR(M132="Not interested/Declined",N132="Not interested/Declined"),"Declined",IF(N132="Escalate to AM","SLA breach - unresolved","In progress"))))</f>
        <v/>
      </c>
      <c r="Q132" s="19" t="n"/>
    </row>
    <row r="133">
      <c r="A133" s="19" t="inlineStr">
        <is>
          <t>REQ-0132</t>
        </is>
      </c>
      <c r="B133" s="20" t="n">
        <v>44867.82708333333</v>
      </c>
      <c r="C133" s="20">
        <f>B133+1</f>
        <v/>
      </c>
      <c r="D133" s="21">
        <f>(C133-NOW())*24</f>
        <v/>
      </c>
      <c r="E133" s="19">
        <f>IF('Ram - Digital ToDo'!Q133="Escalate to call","CALL NOW",IF('Ram - Digital ToDo'!N133="Bad contact","CALL NOW (digital failed)","Ram is handling - no action"))</f>
        <v/>
      </c>
      <c r="F133" s="19">
        <f>IF(E133="Ram is handling - no action","No action needed",IF(M133="","CALL 1: ring candidate, offer to book on call (Playbook C1)",IF(OR(M133="Scheduled on call",M133="Booked on their behalf"),"DONE: scheduled on call",IF(M133="Not interested/Declined","CLOSED: candidate declined (log + tell lead)",IF(N133="","CALL 2: final attempt (Playbook C2)",IF(OR(N133="Scheduled on call",N133="Booked on their behalf"),"DONE: scheduled on call",IF(N133="Escalate to AM","ESCALATED TO LEAD","Review")))))))</f>
        <v/>
      </c>
      <c r="G133" s="20">
        <f>IF(E133="Ram is handling - no action","",IF(M133="",B133+6/24,IF(AND(M133&lt;&gt;"Scheduled on call",M133&lt;&gt;"Booked on their behalf",M133&lt;&gt;"Not interested/Declined",N133=""),B133+20/24,"")))</f>
        <v/>
      </c>
      <c r="H133" s="19" t="inlineStr">
        <is>
          <t>Chetan</t>
        </is>
      </c>
      <c r="I133" s="19" t="inlineStr">
        <is>
          <t>Google</t>
        </is>
      </c>
      <c r="J133" s="19" t="inlineStr">
        <is>
          <t>Round1</t>
        </is>
      </c>
      <c r="K133" s="22" t="inlineStr">
        <is>
          <t>+91 9920264452</t>
        </is>
      </c>
      <c r="L133" s="19" t="inlineStr">
        <is>
          <t>&lt;calendly_link&gt;</t>
        </is>
      </c>
      <c r="M133" s="19" t="n"/>
      <c r="N133" s="19" t="n"/>
      <c r="O133" s="19">
        <f>IF(OR(M133="Scheduled on call",M133="Booked on their behalf",N133="Scheduled on call",N133="Booked on their behalf"),"SCHEDULED (call)",IF(OR(M133="Not interested/Declined",N133="Not interested/Declined"),"DECLINED",IF(N133="Escalate to AM","ESCALATED TO LEAD",IF(E133="Ram is handling - no action","N/A",IF(M133="","PENDING CALL 1","IN PROGRESS")))))</f>
        <v/>
      </c>
      <c r="P133" s="19">
        <f>IF(OR('Ram - Digital ToDo'!O133="Scheduled",'Ram - Digital ToDo'!Q133="Scheduled"),"Scheduled within SLA (self-serve)",IF(OR(M133="Scheduled on call",M133="Booked on their behalf",N133="Scheduled on call",N133="Booked on their behalf"),"Scheduled within SLA (call)",IF(OR(M133="Not interested/Declined",N133="Not interested/Declined"),"Declined",IF(N133="Escalate to AM","SLA breach - unresolved","In progress"))))</f>
        <v/>
      </c>
      <c r="Q133" s="19" t="n"/>
    </row>
    <row r="134">
      <c r="A134" s="19" t="inlineStr">
        <is>
          <t>REQ-0133</t>
        </is>
      </c>
      <c r="B134" s="20" t="n">
        <v>44867.82708333333</v>
      </c>
      <c r="C134" s="20">
        <f>B134+1</f>
        <v/>
      </c>
      <c r="D134" s="21">
        <f>(C134-NOW())*24</f>
        <v/>
      </c>
      <c r="E134" s="19">
        <f>IF('Ram - Digital ToDo'!Q134="Escalate to call","CALL NOW",IF('Ram - Digital ToDo'!N134="Bad contact","CALL NOW (digital failed)","Ram is handling - no action"))</f>
        <v/>
      </c>
      <c r="F134" s="19">
        <f>IF(E134="Ram is handling - no action","No action needed",IF(M134="","CALL 1: ring candidate, offer to book on call (Playbook C1)",IF(OR(M134="Scheduled on call",M134="Booked on their behalf"),"DONE: scheduled on call",IF(M134="Not interested/Declined","CLOSED: candidate declined (log + tell lead)",IF(N134="","CALL 2: final attempt (Playbook C2)",IF(OR(N134="Scheduled on call",N134="Booked on their behalf"),"DONE: scheduled on call",IF(N134="Escalate to AM","ESCALATED TO LEAD","Review")))))))</f>
        <v/>
      </c>
      <c r="G134" s="20">
        <f>IF(E134="Ram is handling - no action","",IF(M134="",B134+6/24,IF(AND(M134&lt;&gt;"Scheduled on call",M134&lt;&gt;"Booked on their behalf",M134&lt;&gt;"Not interested/Declined",N134=""),B134+20/24,"")))</f>
        <v/>
      </c>
      <c r="H134" s="19" t="inlineStr">
        <is>
          <t>Chetan</t>
        </is>
      </c>
      <c r="I134" s="19" t="inlineStr">
        <is>
          <t>Google</t>
        </is>
      </c>
      <c r="J134" s="19" t="inlineStr">
        <is>
          <t>Round1</t>
        </is>
      </c>
      <c r="K134" s="22" t="inlineStr">
        <is>
          <t>+91 9920264452</t>
        </is>
      </c>
      <c r="L134" s="19" t="inlineStr">
        <is>
          <t>&lt;calendly_link&gt;</t>
        </is>
      </c>
      <c r="M134" s="19" t="n"/>
      <c r="N134" s="19" t="n"/>
      <c r="O134" s="19">
        <f>IF(OR(M134="Scheduled on call",M134="Booked on their behalf",N134="Scheduled on call",N134="Booked on their behalf"),"SCHEDULED (call)",IF(OR(M134="Not interested/Declined",N134="Not interested/Declined"),"DECLINED",IF(N134="Escalate to AM","ESCALATED TO LEAD",IF(E134="Ram is handling - no action","N/A",IF(M134="","PENDING CALL 1","IN PROGRESS")))))</f>
        <v/>
      </c>
      <c r="P134" s="19">
        <f>IF(OR('Ram - Digital ToDo'!O134="Scheduled",'Ram - Digital ToDo'!Q134="Scheduled"),"Scheduled within SLA (self-serve)",IF(OR(M134="Scheduled on call",M134="Booked on their behalf",N134="Scheduled on call",N134="Booked on their behalf"),"Scheduled within SLA (call)",IF(OR(M134="Not interested/Declined",N134="Not interested/Declined"),"Declined",IF(N134="Escalate to AM","SLA breach - unresolved","In progress"))))</f>
        <v/>
      </c>
      <c r="Q134" s="19" t="n"/>
    </row>
    <row r="135">
      <c r="A135" s="19" t="inlineStr">
        <is>
          <t>REQ-0134</t>
        </is>
      </c>
      <c r="B135" s="20" t="n">
        <v>44867.82708333333</v>
      </c>
      <c r="C135" s="20">
        <f>B135+1</f>
        <v/>
      </c>
      <c r="D135" s="21">
        <f>(C135-NOW())*24</f>
        <v/>
      </c>
      <c r="E135" s="19">
        <f>IF('Ram - Digital ToDo'!Q135="Escalate to call","CALL NOW",IF('Ram - Digital ToDo'!N135="Bad contact","CALL NOW (digital failed)","Ram is handling - no action"))</f>
        <v/>
      </c>
      <c r="F135" s="19">
        <f>IF(E135="Ram is handling - no action","No action needed",IF(M135="","CALL 1: ring candidate, offer to book on call (Playbook C1)",IF(OR(M135="Scheduled on call",M135="Booked on their behalf"),"DONE: scheduled on call",IF(M135="Not interested/Declined","CLOSED: candidate declined (log + tell lead)",IF(N135="","CALL 2: final attempt (Playbook C2)",IF(OR(N135="Scheduled on call",N135="Booked on their behalf"),"DONE: scheduled on call",IF(N135="Escalate to AM","ESCALATED TO LEAD","Review")))))))</f>
        <v/>
      </c>
      <c r="G135" s="20">
        <f>IF(E135="Ram is handling - no action","",IF(M135="",B135+6/24,IF(AND(M135&lt;&gt;"Scheduled on call",M135&lt;&gt;"Booked on their behalf",M135&lt;&gt;"Not interested/Declined",N135=""),B135+20/24,"")))</f>
        <v/>
      </c>
      <c r="H135" s="19" t="inlineStr">
        <is>
          <t>Chetan</t>
        </is>
      </c>
      <c r="I135" s="19" t="inlineStr">
        <is>
          <t>Google</t>
        </is>
      </c>
      <c r="J135" s="19" t="inlineStr">
        <is>
          <t>Round1</t>
        </is>
      </c>
      <c r="K135" s="22" t="inlineStr">
        <is>
          <t>+91 9920264452</t>
        </is>
      </c>
      <c r="L135" s="19" t="inlineStr">
        <is>
          <t>&lt;calendly_link&gt;</t>
        </is>
      </c>
      <c r="M135" s="19" t="n"/>
      <c r="N135" s="19" t="n"/>
      <c r="O135" s="19">
        <f>IF(OR(M135="Scheduled on call",M135="Booked on their behalf",N135="Scheduled on call",N135="Booked on their behalf"),"SCHEDULED (call)",IF(OR(M135="Not interested/Declined",N135="Not interested/Declined"),"DECLINED",IF(N135="Escalate to AM","ESCALATED TO LEAD",IF(E135="Ram is handling - no action","N/A",IF(M135="","PENDING CALL 1","IN PROGRESS")))))</f>
        <v/>
      </c>
      <c r="P135" s="19">
        <f>IF(OR('Ram - Digital ToDo'!O135="Scheduled",'Ram - Digital ToDo'!Q135="Scheduled"),"Scheduled within SLA (self-serve)",IF(OR(M135="Scheduled on call",M135="Booked on their behalf",N135="Scheduled on call",N135="Booked on their behalf"),"Scheduled within SLA (call)",IF(OR(M135="Not interested/Declined",N135="Not interested/Declined"),"Declined",IF(N135="Escalate to AM","SLA breach - unresolved","In progress"))))</f>
        <v/>
      </c>
      <c r="Q135" s="19" t="n"/>
    </row>
    <row r="136">
      <c r="A136" s="19" t="inlineStr">
        <is>
          <t>REQ-0135</t>
        </is>
      </c>
      <c r="B136" s="20" t="n">
        <v>44867.82708333333</v>
      </c>
      <c r="C136" s="20">
        <f>B136+1</f>
        <v/>
      </c>
      <c r="D136" s="21">
        <f>(C136-NOW())*24</f>
        <v/>
      </c>
      <c r="E136" s="19">
        <f>IF('Ram - Digital ToDo'!Q136="Escalate to call","CALL NOW",IF('Ram - Digital ToDo'!N136="Bad contact","CALL NOW (digital failed)","Ram is handling - no action"))</f>
        <v/>
      </c>
      <c r="F136" s="19">
        <f>IF(E136="Ram is handling - no action","No action needed",IF(M136="","CALL 1: ring candidate, offer to book on call (Playbook C1)",IF(OR(M136="Scheduled on call",M136="Booked on their behalf"),"DONE: scheduled on call",IF(M136="Not interested/Declined","CLOSED: candidate declined (log + tell lead)",IF(N136="","CALL 2: final attempt (Playbook C2)",IF(OR(N136="Scheduled on call",N136="Booked on their behalf"),"DONE: scheduled on call",IF(N136="Escalate to AM","ESCALATED TO LEAD","Review")))))))</f>
        <v/>
      </c>
      <c r="G136" s="20">
        <f>IF(E136="Ram is handling - no action","",IF(M136="",B136+6/24,IF(AND(M136&lt;&gt;"Scheduled on call",M136&lt;&gt;"Booked on their behalf",M136&lt;&gt;"Not interested/Declined",N136=""),B136+20/24,"")))</f>
        <v/>
      </c>
      <c r="H136" s="19" t="inlineStr">
        <is>
          <t>Chetan</t>
        </is>
      </c>
      <c r="I136" s="19" t="inlineStr">
        <is>
          <t>Google</t>
        </is>
      </c>
      <c r="J136" s="19" t="inlineStr">
        <is>
          <t>Round1</t>
        </is>
      </c>
      <c r="K136" s="22" t="inlineStr">
        <is>
          <t>+91 9920264452</t>
        </is>
      </c>
      <c r="L136" s="19" t="inlineStr">
        <is>
          <t>&lt;calendly_link&gt;</t>
        </is>
      </c>
      <c r="M136" s="19" t="n"/>
      <c r="N136" s="19" t="n"/>
      <c r="O136" s="19">
        <f>IF(OR(M136="Scheduled on call",M136="Booked on their behalf",N136="Scheduled on call",N136="Booked on their behalf"),"SCHEDULED (call)",IF(OR(M136="Not interested/Declined",N136="Not interested/Declined"),"DECLINED",IF(N136="Escalate to AM","ESCALATED TO LEAD",IF(E136="Ram is handling - no action","N/A",IF(M136="","PENDING CALL 1","IN PROGRESS")))))</f>
        <v/>
      </c>
      <c r="P136" s="19">
        <f>IF(OR('Ram - Digital ToDo'!O136="Scheduled",'Ram - Digital ToDo'!Q136="Scheduled"),"Scheduled within SLA (self-serve)",IF(OR(M136="Scheduled on call",M136="Booked on their behalf",N136="Scheduled on call",N136="Booked on their behalf"),"Scheduled within SLA (call)",IF(OR(M136="Not interested/Declined",N136="Not interested/Declined"),"Declined",IF(N136="Escalate to AM","SLA breach - unresolved","In progress"))))</f>
        <v/>
      </c>
      <c r="Q136" s="19" t="n"/>
    </row>
    <row r="137">
      <c r="A137" s="19" t="inlineStr">
        <is>
          <t>REQ-0136</t>
        </is>
      </c>
      <c r="B137" s="20" t="n">
        <v>44867.82708333333</v>
      </c>
      <c r="C137" s="20">
        <f>B137+1</f>
        <v/>
      </c>
      <c r="D137" s="21">
        <f>(C137-NOW())*24</f>
        <v/>
      </c>
      <c r="E137" s="19">
        <f>IF('Ram - Digital ToDo'!Q137="Escalate to call","CALL NOW",IF('Ram - Digital ToDo'!N137="Bad contact","CALL NOW (digital failed)","Ram is handling - no action"))</f>
        <v/>
      </c>
      <c r="F137" s="19">
        <f>IF(E137="Ram is handling - no action","No action needed",IF(M137="","CALL 1: ring candidate, offer to book on call (Playbook C1)",IF(OR(M137="Scheduled on call",M137="Booked on their behalf"),"DONE: scheduled on call",IF(M137="Not interested/Declined","CLOSED: candidate declined (log + tell lead)",IF(N137="","CALL 2: final attempt (Playbook C2)",IF(OR(N137="Scheduled on call",N137="Booked on their behalf"),"DONE: scheduled on call",IF(N137="Escalate to AM","ESCALATED TO LEAD","Review")))))))</f>
        <v/>
      </c>
      <c r="G137" s="20">
        <f>IF(E137="Ram is handling - no action","",IF(M137="",B137+6/24,IF(AND(M137&lt;&gt;"Scheduled on call",M137&lt;&gt;"Booked on their behalf",M137&lt;&gt;"Not interested/Declined",N137=""),B137+20/24,"")))</f>
        <v/>
      </c>
      <c r="H137" s="19" t="inlineStr">
        <is>
          <t>Chetan</t>
        </is>
      </c>
      <c r="I137" s="19" t="inlineStr">
        <is>
          <t>Google</t>
        </is>
      </c>
      <c r="J137" s="19" t="inlineStr">
        <is>
          <t>Round1</t>
        </is>
      </c>
      <c r="K137" s="22" t="inlineStr">
        <is>
          <t>+91 9920264452</t>
        </is>
      </c>
      <c r="L137" s="19" t="inlineStr">
        <is>
          <t>&lt;calendly_link&gt;</t>
        </is>
      </c>
      <c r="M137" s="19" t="n"/>
      <c r="N137" s="19" t="n"/>
      <c r="O137" s="19">
        <f>IF(OR(M137="Scheduled on call",M137="Booked on their behalf",N137="Scheduled on call",N137="Booked on their behalf"),"SCHEDULED (call)",IF(OR(M137="Not interested/Declined",N137="Not interested/Declined"),"DECLINED",IF(N137="Escalate to AM","ESCALATED TO LEAD",IF(E137="Ram is handling - no action","N/A",IF(M137="","PENDING CALL 1","IN PROGRESS")))))</f>
        <v/>
      </c>
      <c r="P137" s="19">
        <f>IF(OR('Ram - Digital ToDo'!O137="Scheduled",'Ram - Digital ToDo'!Q137="Scheduled"),"Scheduled within SLA (self-serve)",IF(OR(M137="Scheduled on call",M137="Booked on their behalf",N137="Scheduled on call",N137="Booked on their behalf"),"Scheduled within SLA (call)",IF(OR(M137="Not interested/Declined",N137="Not interested/Declined"),"Declined",IF(N137="Escalate to AM","SLA breach - unresolved","In progress"))))</f>
        <v/>
      </c>
      <c r="Q137" s="19" t="n"/>
    </row>
    <row r="138">
      <c r="A138" s="19" t="inlineStr">
        <is>
          <t>REQ-0137</t>
        </is>
      </c>
      <c r="B138" s="20" t="n">
        <v>44867.82708333333</v>
      </c>
      <c r="C138" s="20">
        <f>B138+1</f>
        <v/>
      </c>
      <c r="D138" s="21">
        <f>(C138-NOW())*24</f>
        <v/>
      </c>
      <c r="E138" s="19">
        <f>IF('Ram - Digital ToDo'!Q138="Escalate to call","CALL NOW",IF('Ram - Digital ToDo'!N138="Bad contact","CALL NOW (digital failed)","Ram is handling - no action"))</f>
        <v/>
      </c>
      <c r="F138" s="19">
        <f>IF(E138="Ram is handling - no action","No action needed",IF(M138="","CALL 1: ring candidate, offer to book on call (Playbook C1)",IF(OR(M138="Scheduled on call",M138="Booked on their behalf"),"DONE: scheduled on call",IF(M138="Not interested/Declined","CLOSED: candidate declined (log + tell lead)",IF(N138="","CALL 2: final attempt (Playbook C2)",IF(OR(N138="Scheduled on call",N138="Booked on their behalf"),"DONE: scheduled on call",IF(N138="Escalate to AM","ESCALATED TO LEAD","Review")))))))</f>
        <v/>
      </c>
      <c r="G138" s="20">
        <f>IF(E138="Ram is handling - no action","",IF(M138="",B138+6/24,IF(AND(M138&lt;&gt;"Scheduled on call",M138&lt;&gt;"Booked on their behalf",M138&lt;&gt;"Not interested/Declined",N138=""),B138+20/24,"")))</f>
        <v/>
      </c>
      <c r="H138" s="19" t="inlineStr">
        <is>
          <t>Chetan</t>
        </is>
      </c>
      <c r="I138" s="19" t="inlineStr">
        <is>
          <t>Google</t>
        </is>
      </c>
      <c r="J138" s="19" t="inlineStr">
        <is>
          <t>Round1</t>
        </is>
      </c>
      <c r="K138" s="22" t="inlineStr">
        <is>
          <t>+91 9920264452</t>
        </is>
      </c>
      <c r="L138" s="19" t="inlineStr">
        <is>
          <t>&lt;calendly_link&gt;</t>
        </is>
      </c>
      <c r="M138" s="19" t="n"/>
      <c r="N138" s="19" t="n"/>
      <c r="O138" s="19">
        <f>IF(OR(M138="Scheduled on call",M138="Booked on their behalf",N138="Scheduled on call",N138="Booked on their behalf"),"SCHEDULED (call)",IF(OR(M138="Not interested/Declined",N138="Not interested/Declined"),"DECLINED",IF(N138="Escalate to AM","ESCALATED TO LEAD",IF(E138="Ram is handling - no action","N/A",IF(M138="","PENDING CALL 1","IN PROGRESS")))))</f>
        <v/>
      </c>
      <c r="P138" s="19">
        <f>IF(OR('Ram - Digital ToDo'!O138="Scheduled",'Ram - Digital ToDo'!Q138="Scheduled"),"Scheduled within SLA (self-serve)",IF(OR(M138="Scheduled on call",M138="Booked on their behalf",N138="Scheduled on call",N138="Booked on their behalf"),"Scheduled within SLA (call)",IF(OR(M138="Not interested/Declined",N138="Not interested/Declined"),"Declined",IF(N138="Escalate to AM","SLA breach - unresolved","In progress"))))</f>
        <v/>
      </c>
      <c r="Q138" s="19" t="n"/>
    </row>
    <row r="139">
      <c r="A139" s="19" t="inlineStr">
        <is>
          <t>REQ-0138</t>
        </is>
      </c>
      <c r="B139" s="20" t="n">
        <v>44867.82708333333</v>
      </c>
      <c r="C139" s="20">
        <f>B139+1</f>
        <v/>
      </c>
      <c r="D139" s="21">
        <f>(C139-NOW())*24</f>
        <v/>
      </c>
      <c r="E139" s="19">
        <f>IF('Ram - Digital ToDo'!Q139="Escalate to call","CALL NOW",IF('Ram - Digital ToDo'!N139="Bad contact","CALL NOW (digital failed)","Ram is handling - no action"))</f>
        <v/>
      </c>
      <c r="F139" s="19">
        <f>IF(E139="Ram is handling - no action","No action needed",IF(M139="","CALL 1: ring candidate, offer to book on call (Playbook C1)",IF(OR(M139="Scheduled on call",M139="Booked on their behalf"),"DONE: scheduled on call",IF(M139="Not interested/Declined","CLOSED: candidate declined (log + tell lead)",IF(N139="","CALL 2: final attempt (Playbook C2)",IF(OR(N139="Scheduled on call",N139="Booked on their behalf"),"DONE: scheduled on call",IF(N139="Escalate to AM","ESCALATED TO LEAD","Review")))))))</f>
        <v/>
      </c>
      <c r="G139" s="20">
        <f>IF(E139="Ram is handling - no action","",IF(M139="",B139+6/24,IF(AND(M139&lt;&gt;"Scheduled on call",M139&lt;&gt;"Booked on their behalf",M139&lt;&gt;"Not interested/Declined",N139=""),B139+20/24,"")))</f>
        <v/>
      </c>
      <c r="H139" s="19" t="inlineStr">
        <is>
          <t>Chetan</t>
        </is>
      </c>
      <c r="I139" s="19" t="inlineStr">
        <is>
          <t>Google</t>
        </is>
      </c>
      <c r="J139" s="19" t="inlineStr">
        <is>
          <t>Round1</t>
        </is>
      </c>
      <c r="K139" s="22" t="inlineStr">
        <is>
          <t>+91 9920264452</t>
        </is>
      </c>
      <c r="L139" s="19" t="inlineStr">
        <is>
          <t>&lt;calendly_link&gt;</t>
        </is>
      </c>
      <c r="M139" s="19" t="n"/>
      <c r="N139" s="19" t="n"/>
      <c r="O139" s="19">
        <f>IF(OR(M139="Scheduled on call",M139="Booked on their behalf",N139="Scheduled on call",N139="Booked on their behalf"),"SCHEDULED (call)",IF(OR(M139="Not interested/Declined",N139="Not interested/Declined"),"DECLINED",IF(N139="Escalate to AM","ESCALATED TO LEAD",IF(E139="Ram is handling - no action","N/A",IF(M139="","PENDING CALL 1","IN PROGRESS")))))</f>
        <v/>
      </c>
      <c r="P139" s="19">
        <f>IF(OR('Ram - Digital ToDo'!O139="Scheduled",'Ram - Digital ToDo'!Q139="Scheduled"),"Scheduled within SLA (self-serve)",IF(OR(M139="Scheduled on call",M139="Booked on their behalf",N139="Scheduled on call",N139="Booked on their behalf"),"Scheduled within SLA (call)",IF(OR(M139="Not interested/Declined",N139="Not interested/Declined"),"Declined",IF(N139="Escalate to AM","SLA breach - unresolved","In progress"))))</f>
        <v/>
      </c>
      <c r="Q139" s="19" t="n"/>
    </row>
    <row r="140">
      <c r="A140" s="19" t="inlineStr">
        <is>
          <t>REQ-0139</t>
        </is>
      </c>
      <c r="B140" s="20" t="n">
        <v>44867.82708333333</v>
      </c>
      <c r="C140" s="20">
        <f>B140+1</f>
        <v/>
      </c>
      <c r="D140" s="21">
        <f>(C140-NOW())*24</f>
        <v/>
      </c>
      <c r="E140" s="19">
        <f>IF('Ram - Digital ToDo'!Q140="Escalate to call","CALL NOW",IF('Ram - Digital ToDo'!N140="Bad contact","CALL NOW (digital failed)","Ram is handling - no action"))</f>
        <v/>
      </c>
      <c r="F140" s="19">
        <f>IF(E140="Ram is handling - no action","No action needed",IF(M140="","CALL 1: ring candidate, offer to book on call (Playbook C1)",IF(OR(M140="Scheduled on call",M140="Booked on their behalf"),"DONE: scheduled on call",IF(M140="Not interested/Declined","CLOSED: candidate declined (log + tell lead)",IF(N140="","CALL 2: final attempt (Playbook C2)",IF(OR(N140="Scheduled on call",N140="Booked on their behalf"),"DONE: scheduled on call",IF(N140="Escalate to AM","ESCALATED TO LEAD","Review")))))))</f>
        <v/>
      </c>
      <c r="G140" s="20">
        <f>IF(E140="Ram is handling - no action","",IF(M140="",B140+6/24,IF(AND(M140&lt;&gt;"Scheduled on call",M140&lt;&gt;"Booked on their behalf",M140&lt;&gt;"Not interested/Declined",N140=""),B140+20/24,"")))</f>
        <v/>
      </c>
      <c r="H140" s="19" t="inlineStr">
        <is>
          <t>Chetan</t>
        </is>
      </c>
      <c r="I140" s="19" t="inlineStr">
        <is>
          <t>Google</t>
        </is>
      </c>
      <c r="J140" s="19" t="inlineStr">
        <is>
          <t>Round1</t>
        </is>
      </c>
      <c r="K140" s="22" t="inlineStr">
        <is>
          <t>+91 9920264452</t>
        </is>
      </c>
      <c r="L140" s="19" t="inlineStr">
        <is>
          <t>&lt;calendly_link&gt;</t>
        </is>
      </c>
      <c r="M140" s="19" t="n"/>
      <c r="N140" s="19" t="n"/>
      <c r="O140" s="19">
        <f>IF(OR(M140="Scheduled on call",M140="Booked on their behalf",N140="Scheduled on call",N140="Booked on their behalf"),"SCHEDULED (call)",IF(OR(M140="Not interested/Declined",N140="Not interested/Declined"),"DECLINED",IF(N140="Escalate to AM","ESCALATED TO LEAD",IF(E140="Ram is handling - no action","N/A",IF(M140="","PENDING CALL 1","IN PROGRESS")))))</f>
        <v/>
      </c>
      <c r="P140" s="19">
        <f>IF(OR('Ram - Digital ToDo'!O140="Scheduled",'Ram - Digital ToDo'!Q140="Scheduled"),"Scheduled within SLA (self-serve)",IF(OR(M140="Scheduled on call",M140="Booked on their behalf",N140="Scheduled on call",N140="Booked on their behalf"),"Scheduled within SLA (call)",IF(OR(M140="Not interested/Declined",N140="Not interested/Declined"),"Declined",IF(N140="Escalate to AM","SLA breach - unresolved","In progress"))))</f>
        <v/>
      </c>
      <c r="Q140" s="19" t="n"/>
    </row>
    <row r="141">
      <c r="A141" s="19" t="inlineStr">
        <is>
          <t>REQ-0140</t>
        </is>
      </c>
      <c r="B141" s="20" t="n">
        <v>44867.82708333333</v>
      </c>
      <c r="C141" s="20">
        <f>B141+1</f>
        <v/>
      </c>
      <c r="D141" s="21">
        <f>(C141-NOW())*24</f>
        <v/>
      </c>
      <c r="E141" s="19">
        <f>IF('Ram - Digital ToDo'!Q141="Escalate to call","CALL NOW",IF('Ram - Digital ToDo'!N141="Bad contact","CALL NOW (digital failed)","Ram is handling - no action"))</f>
        <v/>
      </c>
      <c r="F141" s="19">
        <f>IF(E141="Ram is handling - no action","No action needed",IF(M141="","CALL 1: ring candidate, offer to book on call (Playbook C1)",IF(OR(M141="Scheduled on call",M141="Booked on their behalf"),"DONE: scheduled on call",IF(M141="Not interested/Declined","CLOSED: candidate declined (log + tell lead)",IF(N141="","CALL 2: final attempt (Playbook C2)",IF(OR(N141="Scheduled on call",N141="Booked on their behalf"),"DONE: scheduled on call",IF(N141="Escalate to AM","ESCALATED TO LEAD","Review")))))))</f>
        <v/>
      </c>
      <c r="G141" s="20">
        <f>IF(E141="Ram is handling - no action","",IF(M141="",B141+6/24,IF(AND(M141&lt;&gt;"Scheduled on call",M141&lt;&gt;"Booked on their behalf",M141&lt;&gt;"Not interested/Declined",N141=""),B141+20/24,"")))</f>
        <v/>
      </c>
      <c r="H141" s="19" t="inlineStr">
        <is>
          <t>Chetan</t>
        </is>
      </c>
      <c r="I141" s="19" t="inlineStr">
        <is>
          <t>Google</t>
        </is>
      </c>
      <c r="J141" s="19" t="inlineStr">
        <is>
          <t>Round1</t>
        </is>
      </c>
      <c r="K141" s="22" t="inlineStr">
        <is>
          <t>+91 9920264452</t>
        </is>
      </c>
      <c r="L141" s="19" t="inlineStr">
        <is>
          <t>&lt;calendly_link&gt;</t>
        </is>
      </c>
      <c r="M141" s="19" t="n"/>
      <c r="N141" s="19" t="n"/>
      <c r="O141" s="19">
        <f>IF(OR(M141="Scheduled on call",M141="Booked on their behalf",N141="Scheduled on call",N141="Booked on their behalf"),"SCHEDULED (call)",IF(OR(M141="Not interested/Declined",N141="Not interested/Declined"),"DECLINED",IF(N141="Escalate to AM","ESCALATED TO LEAD",IF(E141="Ram is handling - no action","N/A",IF(M141="","PENDING CALL 1","IN PROGRESS")))))</f>
        <v/>
      </c>
      <c r="P141" s="19">
        <f>IF(OR('Ram - Digital ToDo'!O141="Scheduled",'Ram - Digital ToDo'!Q141="Scheduled"),"Scheduled within SLA (self-serve)",IF(OR(M141="Scheduled on call",M141="Booked on their behalf",N141="Scheduled on call",N141="Booked on their behalf"),"Scheduled within SLA (call)",IF(OR(M141="Not interested/Declined",N141="Not interested/Declined"),"Declined",IF(N141="Escalate to AM","SLA breach - unresolved","In progress"))))</f>
        <v/>
      </c>
      <c r="Q141" s="19" t="n"/>
    </row>
    <row r="142">
      <c r="A142" s="19" t="inlineStr">
        <is>
          <t>REQ-0141</t>
        </is>
      </c>
      <c r="B142" s="20" t="n">
        <v>44867.82708333333</v>
      </c>
      <c r="C142" s="20">
        <f>B142+1</f>
        <v/>
      </c>
      <c r="D142" s="21">
        <f>(C142-NOW())*24</f>
        <v/>
      </c>
      <c r="E142" s="19">
        <f>IF('Ram - Digital ToDo'!Q142="Escalate to call","CALL NOW",IF('Ram - Digital ToDo'!N142="Bad contact","CALL NOW (digital failed)","Ram is handling - no action"))</f>
        <v/>
      </c>
      <c r="F142" s="19">
        <f>IF(E142="Ram is handling - no action","No action needed",IF(M142="","CALL 1: ring candidate, offer to book on call (Playbook C1)",IF(OR(M142="Scheduled on call",M142="Booked on their behalf"),"DONE: scheduled on call",IF(M142="Not interested/Declined","CLOSED: candidate declined (log + tell lead)",IF(N142="","CALL 2: final attempt (Playbook C2)",IF(OR(N142="Scheduled on call",N142="Booked on their behalf"),"DONE: scheduled on call",IF(N142="Escalate to AM","ESCALATED TO LEAD","Review")))))))</f>
        <v/>
      </c>
      <c r="G142" s="20">
        <f>IF(E142="Ram is handling - no action","",IF(M142="",B142+6/24,IF(AND(M142&lt;&gt;"Scheduled on call",M142&lt;&gt;"Booked on their behalf",M142&lt;&gt;"Not interested/Declined",N142=""),B142+20/24,"")))</f>
        <v/>
      </c>
      <c r="H142" s="19" t="inlineStr">
        <is>
          <t>Chetan</t>
        </is>
      </c>
      <c r="I142" s="19" t="inlineStr">
        <is>
          <t>Google</t>
        </is>
      </c>
      <c r="J142" s="19" t="inlineStr">
        <is>
          <t>Round1</t>
        </is>
      </c>
      <c r="K142" s="22" t="inlineStr">
        <is>
          <t>+91 9920264452</t>
        </is>
      </c>
      <c r="L142" s="19" t="inlineStr">
        <is>
          <t>&lt;calendly_link&gt;</t>
        </is>
      </c>
      <c r="M142" s="19" t="n"/>
      <c r="N142" s="19" t="n"/>
      <c r="O142" s="19">
        <f>IF(OR(M142="Scheduled on call",M142="Booked on their behalf",N142="Scheduled on call",N142="Booked on their behalf"),"SCHEDULED (call)",IF(OR(M142="Not interested/Declined",N142="Not interested/Declined"),"DECLINED",IF(N142="Escalate to AM","ESCALATED TO LEAD",IF(E142="Ram is handling - no action","N/A",IF(M142="","PENDING CALL 1","IN PROGRESS")))))</f>
        <v/>
      </c>
      <c r="P142" s="19">
        <f>IF(OR('Ram - Digital ToDo'!O142="Scheduled",'Ram - Digital ToDo'!Q142="Scheduled"),"Scheduled within SLA (self-serve)",IF(OR(M142="Scheduled on call",M142="Booked on their behalf",N142="Scheduled on call",N142="Booked on their behalf"),"Scheduled within SLA (call)",IF(OR(M142="Not interested/Declined",N142="Not interested/Declined"),"Declined",IF(N142="Escalate to AM","SLA breach - unresolved","In progress"))))</f>
        <v/>
      </c>
      <c r="Q142" s="19" t="n"/>
    </row>
    <row r="143">
      <c r="A143" s="19" t="inlineStr">
        <is>
          <t>REQ-0142</t>
        </is>
      </c>
      <c r="B143" s="20" t="n">
        <v>44867.82708333333</v>
      </c>
      <c r="C143" s="20">
        <f>B143+1</f>
        <v/>
      </c>
      <c r="D143" s="21">
        <f>(C143-NOW())*24</f>
        <v/>
      </c>
      <c r="E143" s="19">
        <f>IF('Ram - Digital ToDo'!Q143="Escalate to call","CALL NOW",IF('Ram - Digital ToDo'!N143="Bad contact","CALL NOW (digital failed)","Ram is handling - no action"))</f>
        <v/>
      </c>
      <c r="F143" s="19">
        <f>IF(E143="Ram is handling - no action","No action needed",IF(M143="","CALL 1: ring candidate, offer to book on call (Playbook C1)",IF(OR(M143="Scheduled on call",M143="Booked on their behalf"),"DONE: scheduled on call",IF(M143="Not interested/Declined","CLOSED: candidate declined (log + tell lead)",IF(N143="","CALL 2: final attempt (Playbook C2)",IF(OR(N143="Scheduled on call",N143="Booked on their behalf"),"DONE: scheduled on call",IF(N143="Escalate to AM","ESCALATED TO LEAD","Review")))))))</f>
        <v/>
      </c>
      <c r="G143" s="20">
        <f>IF(E143="Ram is handling - no action","",IF(M143="",B143+6/24,IF(AND(M143&lt;&gt;"Scheduled on call",M143&lt;&gt;"Booked on their behalf",M143&lt;&gt;"Not interested/Declined",N143=""),B143+20/24,"")))</f>
        <v/>
      </c>
      <c r="H143" s="19" t="inlineStr">
        <is>
          <t>Chetan</t>
        </is>
      </c>
      <c r="I143" s="19" t="inlineStr">
        <is>
          <t>Google</t>
        </is>
      </c>
      <c r="J143" s="19" t="inlineStr">
        <is>
          <t>Round1</t>
        </is>
      </c>
      <c r="K143" s="22" t="inlineStr">
        <is>
          <t>+91 9920264452</t>
        </is>
      </c>
      <c r="L143" s="19" t="inlineStr">
        <is>
          <t>&lt;calendly_link&gt;</t>
        </is>
      </c>
      <c r="M143" s="19" t="n"/>
      <c r="N143" s="19" t="n"/>
      <c r="O143" s="19">
        <f>IF(OR(M143="Scheduled on call",M143="Booked on their behalf",N143="Scheduled on call",N143="Booked on their behalf"),"SCHEDULED (call)",IF(OR(M143="Not interested/Declined",N143="Not interested/Declined"),"DECLINED",IF(N143="Escalate to AM","ESCALATED TO LEAD",IF(E143="Ram is handling - no action","N/A",IF(M143="","PENDING CALL 1","IN PROGRESS")))))</f>
        <v/>
      </c>
      <c r="P143" s="19">
        <f>IF(OR('Ram - Digital ToDo'!O143="Scheduled",'Ram - Digital ToDo'!Q143="Scheduled"),"Scheduled within SLA (self-serve)",IF(OR(M143="Scheduled on call",M143="Booked on their behalf",N143="Scheduled on call",N143="Booked on their behalf"),"Scheduled within SLA (call)",IF(OR(M143="Not interested/Declined",N143="Not interested/Declined"),"Declined",IF(N143="Escalate to AM","SLA breach - unresolved","In progress"))))</f>
        <v/>
      </c>
      <c r="Q143" s="19" t="n"/>
    </row>
    <row r="144">
      <c r="A144" s="19" t="inlineStr">
        <is>
          <t>REQ-0143</t>
        </is>
      </c>
      <c r="B144" s="20" t="n">
        <v>44867.82708333333</v>
      </c>
      <c r="C144" s="20">
        <f>B144+1</f>
        <v/>
      </c>
      <c r="D144" s="21">
        <f>(C144-NOW())*24</f>
        <v/>
      </c>
      <c r="E144" s="19">
        <f>IF('Ram - Digital ToDo'!Q144="Escalate to call","CALL NOW",IF('Ram - Digital ToDo'!N144="Bad contact","CALL NOW (digital failed)","Ram is handling - no action"))</f>
        <v/>
      </c>
      <c r="F144" s="19">
        <f>IF(E144="Ram is handling - no action","No action needed",IF(M144="","CALL 1: ring candidate, offer to book on call (Playbook C1)",IF(OR(M144="Scheduled on call",M144="Booked on their behalf"),"DONE: scheduled on call",IF(M144="Not interested/Declined","CLOSED: candidate declined (log + tell lead)",IF(N144="","CALL 2: final attempt (Playbook C2)",IF(OR(N144="Scheduled on call",N144="Booked on their behalf"),"DONE: scheduled on call",IF(N144="Escalate to AM","ESCALATED TO LEAD","Review")))))))</f>
        <v/>
      </c>
      <c r="G144" s="20">
        <f>IF(E144="Ram is handling - no action","",IF(M144="",B144+6/24,IF(AND(M144&lt;&gt;"Scheduled on call",M144&lt;&gt;"Booked on their behalf",M144&lt;&gt;"Not interested/Declined",N144=""),B144+20/24,"")))</f>
        <v/>
      </c>
      <c r="H144" s="19" t="inlineStr">
        <is>
          <t>Chetan</t>
        </is>
      </c>
      <c r="I144" s="19" t="inlineStr">
        <is>
          <t>Google</t>
        </is>
      </c>
      <c r="J144" s="19" t="inlineStr">
        <is>
          <t>Round1</t>
        </is>
      </c>
      <c r="K144" s="22" t="inlineStr">
        <is>
          <t>+91 9920264452</t>
        </is>
      </c>
      <c r="L144" s="19" t="inlineStr">
        <is>
          <t>&lt;calendly_link&gt;</t>
        </is>
      </c>
      <c r="M144" s="19" t="n"/>
      <c r="N144" s="19" t="n"/>
      <c r="O144" s="19">
        <f>IF(OR(M144="Scheduled on call",M144="Booked on their behalf",N144="Scheduled on call",N144="Booked on their behalf"),"SCHEDULED (call)",IF(OR(M144="Not interested/Declined",N144="Not interested/Declined"),"DECLINED",IF(N144="Escalate to AM","ESCALATED TO LEAD",IF(E144="Ram is handling - no action","N/A",IF(M144="","PENDING CALL 1","IN PROGRESS")))))</f>
        <v/>
      </c>
      <c r="P144" s="19">
        <f>IF(OR('Ram - Digital ToDo'!O144="Scheduled",'Ram - Digital ToDo'!Q144="Scheduled"),"Scheduled within SLA (self-serve)",IF(OR(M144="Scheduled on call",M144="Booked on their behalf",N144="Scheduled on call",N144="Booked on their behalf"),"Scheduled within SLA (call)",IF(OR(M144="Not interested/Declined",N144="Not interested/Declined"),"Declined",IF(N144="Escalate to AM","SLA breach - unresolved","In progress"))))</f>
        <v/>
      </c>
      <c r="Q144" s="19" t="n"/>
    </row>
    <row r="145">
      <c r="A145" s="19" t="inlineStr">
        <is>
          <t>REQ-0144</t>
        </is>
      </c>
      <c r="B145" s="20" t="n">
        <v>44867.82708333333</v>
      </c>
      <c r="C145" s="20">
        <f>B145+1</f>
        <v/>
      </c>
      <c r="D145" s="21">
        <f>(C145-NOW())*24</f>
        <v/>
      </c>
      <c r="E145" s="19">
        <f>IF('Ram - Digital ToDo'!Q145="Escalate to call","CALL NOW",IF('Ram - Digital ToDo'!N145="Bad contact","CALL NOW (digital failed)","Ram is handling - no action"))</f>
        <v/>
      </c>
      <c r="F145" s="19">
        <f>IF(E145="Ram is handling - no action","No action needed",IF(M145="","CALL 1: ring candidate, offer to book on call (Playbook C1)",IF(OR(M145="Scheduled on call",M145="Booked on their behalf"),"DONE: scheduled on call",IF(M145="Not interested/Declined","CLOSED: candidate declined (log + tell lead)",IF(N145="","CALL 2: final attempt (Playbook C2)",IF(OR(N145="Scheduled on call",N145="Booked on their behalf"),"DONE: scheduled on call",IF(N145="Escalate to AM","ESCALATED TO LEAD","Review")))))))</f>
        <v/>
      </c>
      <c r="G145" s="20">
        <f>IF(E145="Ram is handling - no action","",IF(M145="",B145+6/24,IF(AND(M145&lt;&gt;"Scheduled on call",M145&lt;&gt;"Booked on their behalf",M145&lt;&gt;"Not interested/Declined",N145=""),B145+20/24,"")))</f>
        <v/>
      </c>
      <c r="H145" s="19" t="inlineStr">
        <is>
          <t>Chetan</t>
        </is>
      </c>
      <c r="I145" s="19" t="inlineStr">
        <is>
          <t>Google</t>
        </is>
      </c>
      <c r="J145" s="19" t="inlineStr">
        <is>
          <t>Round1</t>
        </is>
      </c>
      <c r="K145" s="22" t="inlineStr">
        <is>
          <t>+91 9920264452</t>
        </is>
      </c>
      <c r="L145" s="19" t="inlineStr">
        <is>
          <t>&lt;calendly_link&gt;</t>
        </is>
      </c>
      <c r="M145" s="19" t="n"/>
      <c r="N145" s="19" t="n"/>
      <c r="O145" s="19">
        <f>IF(OR(M145="Scheduled on call",M145="Booked on their behalf",N145="Scheduled on call",N145="Booked on their behalf"),"SCHEDULED (call)",IF(OR(M145="Not interested/Declined",N145="Not interested/Declined"),"DECLINED",IF(N145="Escalate to AM","ESCALATED TO LEAD",IF(E145="Ram is handling - no action","N/A",IF(M145="","PENDING CALL 1","IN PROGRESS")))))</f>
        <v/>
      </c>
      <c r="P145" s="19">
        <f>IF(OR('Ram - Digital ToDo'!O145="Scheduled",'Ram - Digital ToDo'!Q145="Scheduled"),"Scheduled within SLA (self-serve)",IF(OR(M145="Scheduled on call",M145="Booked on their behalf",N145="Scheduled on call",N145="Booked on their behalf"),"Scheduled within SLA (call)",IF(OR(M145="Not interested/Declined",N145="Not interested/Declined"),"Declined",IF(N145="Escalate to AM","SLA breach - unresolved","In progress"))))</f>
        <v/>
      </c>
      <c r="Q145" s="19" t="n"/>
    </row>
    <row r="146">
      <c r="A146" s="19" t="inlineStr">
        <is>
          <t>REQ-0145</t>
        </is>
      </c>
      <c r="B146" s="20" t="n">
        <v>44867.82708333333</v>
      </c>
      <c r="C146" s="20">
        <f>B146+1</f>
        <v/>
      </c>
      <c r="D146" s="21">
        <f>(C146-NOW())*24</f>
        <v/>
      </c>
      <c r="E146" s="19">
        <f>IF('Ram - Digital ToDo'!Q146="Escalate to call","CALL NOW",IF('Ram - Digital ToDo'!N146="Bad contact","CALL NOW (digital failed)","Ram is handling - no action"))</f>
        <v/>
      </c>
      <c r="F146" s="19">
        <f>IF(E146="Ram is handling - no action","No action needed",IF(M146="","CALL 1: ring candidate, offer to book on call (Playbook C1)",IF(OR(M146="Scheduled on call",M146="Booked on their behalf"),"DONE: scheduled on call",IF(M146="Not interested/Declined","CLOSED: candidate declined (log + tell lead)",IF(N146="","CALL 2: final attempt (Playbook C2)",IF(OR(N146="Scheduled on call",N146="Booked on their behalf"),"DONE: scheduled on call",IF(N146="Escalate to AM","ESCALATED TO LEAD","Review")))))))</f>
        <v/>
      </c>
      <c r="G146" s="20">
        <f>IF(E146="Ram is handling - no action","",IF(M146="",B146+6/24,IF(AND(M146&lt;&gt;"Scheduled on call",M146&lt;&gt;"Booked on their behalf",M146&lt;&gt;"Not interested/Declined",N146=""),B146+20/24,"")))</f>
        <v/>
      </c>
      <c r="H146" s="19" t="inlineStr">
        <is>
          <t>Chetan</t>
        </is>
      </c>
      <c r="I146" s="19" t="inlineStr">
        <is>
          <t>Google</t>
        </is>
      </c>
      <c r="J146" s="19" t="inlineStr">
        <is>
          <t>Round1</t>
        </is>
      </c>
      <c r="K146" s="22" t="inlineStr">
        <is>
          <t>+91 9920264452</t>
        </is>
      </c>
      <c r="L146" s="19" t="inlineStr">
        <is>
          <t>&lt;calendly_link&gt;</t>
        </is>
      </c>
      <c r="M146" s="19" t="n"/>
      <c r="N146" s="19" t="n"/>
      <c r="O146" s="19">
        <f>IF(OR(M146="Scheduled on call",M146="Booked on their behalf",N146="Scheduled on call",N146="Booked on their behalf"),"SCHEDULED (call)",IF(OR(M146="Not interested/Declined",N146="Not interested/Declined"),"DECLINED",IF(N146="Escalate to AM","ESCALATED TO LEAD",IF(E146="Ram is handling - no action","N/A",IF(M146="","PENDING CALL 1","IN PROGRESS")))))</f>
        <v/>
      </c>
      <c r="P146" s="19">
        <f>IF(OR('Ram - Digital ToDo'!O146="Scheduled",'Ram - Digital ToDo'!Q146="Scheduled"),"Scheduled within SLA (self-serve)",IF(OR(M146="Scheduled on call",M146="Booked on their behalf",N146="Scheduled on call",N146="Booked on their behalf"),"Scheduled within SLA (call)",IF(OR(M146="Not interested/Declined",N146="Not interested/Declined"),"Declined",IF(N146="Escalate to AM","SLA breach - unresolved","In progress"))))</f>
        <v/>
      </c>
      <c r="Q146" s="19" t="n"/>
    </row>
    <row r="147">
      <c r="A147" s="19" t="inlineStr">
        <is>
          <t>REQ-0146</t>
        </is>
      </c>
      <c r="B147" s="20" t="n">
        <v>44867.82708333333</v>
      </c>
      <c r="C147" s="20">
        <f>B147+1</f>
        <v/>
      </c>
      <c r="D147" s="21">
        <f>(C147-NOW())*24</f>
        <v/>
      </c>
      <c r="E147" s="19">
        <f>IF('Ram - Digital ToDo'!Q147="Escalate to call","CALL NOW",IF('Ram - Digital ToDo'!N147="Bad contact","CALL NOW (digital failed)","Ram is handling - no action"))</f>
        <v/>
      </c>
      <c r="F147" s="19">
        <f>IF(E147="Ram is handling - no action","No action needed",IF(M147="","CALL 1: ring candidate, offer to book on call (Playbook C1)",IF(OR(M147="Scheduled on call",M147="Booked on their behalf"),"DONE: scheduled on call",IF(M147="Not interested/Declined","CLOSED: candidate declined (log + tell lead)",IF(N147="","CALL 2: final attempt (Playbook C2)",IF(OR(N147="Scheduled on call",N147="Booked on their behalf"),"DONE: scheduled on call",IF(N147="Escalate to AM","ESCALATED TO LEAD","Review")))))))</f>
        <v/>
      </c>
      <c r="G147" s="20">
        <f>IF(E147="Ram is handling - no action","",IF(M147="",B147+6/24,IF(AND(M147&lt;&gt;"Scheduled on call",M147&lt;&gt;"Booked on their behalf",M147&lt;&gt;"Not interested/Declined",N147=""),B147+20/24,"")))</f>
        <v/>
      </c>
      <c r="H147" s="19" t="inlineStr">
        <is>
          <t>Chetan</t>
        </is>
      </c>
      <c r="I147" s="19" t="inlineStr">
        <is>
          <t>Google</t>
        </is>
      </c>
      <c r="J147" s="19" t="inlineStr">
        <is>
          <t>Round1</t>
        </is>
      </c>
      <c r="K147" s="22" t="inlineStr">
        <is>
          <t>+91 9920264452</t>
        </is>
      </c>
      <c r="L147" s="19" t="inlineStr">
        <is>
          <t>&lt;calendly_link&gt;</t>
        </is>
      </c>
      <c r="M147" s="19" t="n"/>
      <c r="N147" s="19" t="n"/>
      <c r="O147" s="19">
        <f>IF(OR(M147="Scheduled on call",M147="Booked on their behalf",N147="Scheduled on call",N147="Booked on their behalf"),"SCHEDULED (call)",IF(OR(M147="Not interested/Declined",N147="Not interested/Declined"),"DECLINED",IF(N147="Escalate to AM","ESCALATED TO LEAD",IF(E147="Ram is handling - no action","N/A",IF(M147="","PENDING CALL 1","IN PROGRESS")))))</f>
        <v/>
      </c>
      <c r="P147" s="19">
        <f>IF(OR('Ram - Digital ToDo'!O147="Scheduled",'Ram - Digital ToDo'!Q147="Scheduled"),"Scheduled within SLA (self-serve)",IF(OR(M147="Scheduled on call",M147="Booked on their behalf",N147="Scheduled on call",N147="Booked on their behalf"),"Scheduled within SLA (call)",IF(OR(M147="Not interested/Declined",N147="Not interested/Declined"),"Declined",IF(N147="Escalate to AM","SLA breach - unresolved","In progress"))))</f>
        <v/>
      </c>
      <c r="Q147" s="19" t="n"/>
    </row>
    <row r="148">
      <c r="A148" s="19" t="inlineStr">
        <is>
          <t>REQ-0147</t>
        </is>
      </c>
      <c r="B148" s="20" t="n">
        <v>44867.82708333333</v>
      </c>
      <c r="C148" s="20">
        <f>B148+1</f>
        <v/>
      </c>
      <c r="D148" s="21">
        <f>(C148-NOW())*24</f>
        <v/>
      </c>
      <c r="E148" s="19">
        <f>IF('Ram - Digital ToDo'!Q148="Escalate to call","CALL NOW",IF('Ram - Digital ToDo'!N148="Bad contact","CALL NOW (digital failed)","Ram is handling - no action"))</f>
        <v/>
      </c>
      <c r="F148" s="19">
        <f>IF(E148="Ram is handling - no action","No action needed",IF(M148="","CALL 1: ring candidate, offer to book on call (Playbook C1)",IF(OR(M148="Scheduled on call",M148="Booked on their behalf"),"DONE: scheduled on call",IF(M148="Not interested/Declined","CLOSED: candidate declined (log + tell lead)",IF(N148="","CALL 2: final attempt (Playbook C2)",IF(OR(N148="Scheduled on call",N148="Booked on their behalf"),"DONE: scheduled on call",IF(N148="Escalate to AM","ESCALATED TO LEAD","Review")))))))</f>
        <v/>
      </c>
      <c r="G148" s="20">
        <f>IF(E148="Ram is handling - no action","",IF(M148="",B148+6/24,IF(AND(M148&lt;&gt;"Scheduled on call",M148&lt;&gt;"Booked on their behalf",M148&lt;&gt;"Not interested/Declined",N148=""),B148+20/24,"")))</f>
        <v/>
      </c>
      <c r="H148" s="19" t="inlineStr">
        <is>
          <t>Chetan</t>
        </is>
      </c>
      <c r="I148" s="19" t="inlineStr">
        <is>
          <t>Google</t>
        </is>
      </c>
      <c r="J148" s="19" t="inlineStr">
        <is>
          <t>Round1</t>
        </is>
      </c>
      <c r="K148" s="22" t="inlineStr">
        <is>
          <t>+91 9920264452</t>
        </is>
      </c>
      <c r="L148" s="19" t="inlineStr">
        <is>
          <t>&lt;calendly_link&gt;</t>
        </is>
      </c>
      <c r="M148" s="19" t="n"/>
      <c r="N148" s="19" t="n"/>
      <c r="O148" s="19">
        <f>IF(OR(M148="Scheduled on call",M148="Booked on their behalf",N148="Scheduled on call",N148="Booked on their behalf"),"SCHEDULED (call)",IF(OR(M148="Not interested/Declined",N148="Not interested/Declined"),"DECLINED",IF(N148="Escalate to AM","ESCALATED TO LEAD",IF(E148="Ram is handling - no action","N/A",IF(M148="","PENDING CALL 1","IN PROGRESS")))))</f>
        <v/>
      </c>
      <c r="P148" s="19">
        <f>IF(OR('Ram - Digital ToDo'!O148="Scheduled",'Ram - Digital ToDo'!Q148="Scheduled"),"Scheduled within SLA (self-serve)",IF(OR(M148="Scheduled on call",M148="Booked on their behalf",N148="Scheduled on call",N148="Booked on their behalf"),"Scheduled within SLA (call)",IF(OR(M148="Not interested/Declined",N148="Not interested/Declined"),"Declined",IF(N148="Escalate to AM","SLA breach - unresolved","In progress"))))</f>
        <v/>
      </c>
      <c r="Q148" s="19" t="n"/>
    </row>
    <row r="149">
      <c r="A149" s="19" t="inlineStr">
        <is>
          <t>REQ-0148</t>
        </is>
      </c>
      <c r="B149" s="20" t="n">
        <v>44867.82708333333</v>
      </c>
      <c r="C149" s="20">
        <f>B149+1</f>
        <v/>
      </c>
      <c r="D149" s="21">
        <f>(C149-NOW())*24</f>
        <v/>
      </c>
      <c r="E149" s="19">
        <f>IF('Ram - Digital ToDo'!Q149="Escalate to call","CALL NOW",IF('Ram - Digital ToDo'!N149="Bad contact","CALL NOW (digital failed)","Ram is handling - no action"))</f>
        <v/>
      </c>
      <c r="F149" s="19">
        <f>IF(E149="Ram is handling - no action","No action needed",IF(M149="","CALL 1: ring candidate, offer to book on call (Playbook C1)",IF(OR(M149="Scheduled on call",M149="Booked on their behalf"),"DONE: scheduled on call",IF(M149="Not interested/Declined","CLOSED: candidate declined (log + tell lead)",IF(N149="","CALL 2: final attempt (Playbook C2)",IF(OR(N149="Scheduled on call",N149="Booked on their behalf"),"DONE: scheduled on call",IF(N149="Escalate to AM","ESCALATED TO LEAD","Review")))))))</f>
        <v/>
      </c>
      <c r="G149" s="20">
        <f>IF(E149="Ram is handling - no action","",IF(M149="",B149+6/24,IF(AND(M149&lt;&gt;"Scheduled on call",M149&lt;&gt;"Booked on their behalf",M149&lt;&gt;"Not interested/Declined",N149=""),B149+20/24,"")))</f>
        <v/>
      </c>
      <c r="H149" s="19" t="inlineStr">
        <is>
          <t>Chetan</t>
        </is>
      </c>
      <c r="I149" s="19" t="inlineStr">
        <is>
          <t>Google</t>
        </is>
      </c>
      <c r="J149" s="19" t="inlineStr">
        <is>
          <t>Round1</t>
        </is>
      </c>
      <c r="K149" s="22" t="inlineStr">
        <is>
          <t>+91 9920264452</t>
        </is>
      </c>
      <c r="L149" s="19" t="inlineStr">
        <is>
          <t>&lt;calendly_link&gt;</t>
        </is>
      </c>
      <c r="M149" s="19" t="n"/>
      <c r="N149" s="19" t="n"/>
      <c r="O149" s="19">
        <f>IF(OR(M149="Scheduled on call",M149="Booked on their behalf",N149="Scheduled on call",N149="Booked on their behalf"),"SCHEDULED (call)",IF(OR(M149="Not interested/Declined",N149="Not interested/Declined"),"DECLINED",IF(N149="Escalate to AM","ESCALATED TO LEAD",IF(E149="Ram is handling - no action","N/A",IF(M149="","PENDING CALL 1","IN PROGRESS")))))</f>
        <v/>
      </c>
      <c r="P149" s="19">
        <f>IF(OR('Ram - Digital ToDo'!O149="Scheduled",'Ram - Digital ToDo'!Q149="Scheduled"),"Scheduled within SLA (self-serve)",IF(OR(M149="Scheduled on call",M149="Booked on their behalf",N149="Scheduled on call",N149="Booked on their behalf"),"Scheduled within SLA (call)",IF(OR(M149="Not interested/Declined",N149="Not interested/Declined"),"Declined",IF(N149="Escalate to AM","SLA breach - unresolved","In progress"))))</f>
        <v/>
      </c>
      <c r="Q149" s="19" t="n"/>
    </row>
    <row r="150">
      <c r="A150" s="19" t="inlineStr">
        <is>
          <t>REQ-0149</t>
        </is>
      </c>
      <c r="B150" s="20" t="n">
        <v>44867.82708333333</v>
      </c>
      <c r="C150" s="20">
        <f>B150+1</f>
        <v/>
      </c>
      <c r="D150" s="21">
        <f>(C150-NOW())*24</f>
        <v/>
      </c>
      <c r="E150" s="19">
        <f>IF('Ram - Digital ToDo'!Q150="Escalate to call","CALL NOW",IF('Ram - Digital ToDo'!N150="Bad contact","CALL NOW (digital failed)","Ram is handling - no action"))</f>
        <v/>
      </c>
      <c r="F150" s="19">
        <f>IF(E150="Ram is handling - no action","No action needed",IF(M150="","CALL 1: ring candidate, offer to book on call (Playbook C1)",IF(OR(M150="Scheduled on call",M150="Booked on their behalf"),"DONE: scheduled on call",IF(M150="Not interested/Declined","CLOSED: candidate declined (log + tell lead)",IF(N150="","CALL 2: final attempt (Playbook C2)",IF(OR(N150="Scheduled on call",N150="Booked on their behalf"),"DONE: scheduled on call",IF(N150="Escalate to AM","ESCALATED TO LEAD","Review")))))))</f>
        <v/>
      </c>
      <c r="G150" s="20">
        <f>IF(E150="Ram is handling - no action","",IF(M150="",B150+6/24,IF(AND(M150&lt;&gt;"Scheduled on call",M150&lt;&gt;"Booked on their behalf",M150&lt;&gt;"Not interested/Declined",N150=""),B150+20/24,"")))</f>
        <v/>
      </c>
      <c r="H150" s="19" t="inlineStr">
        <is>
          <t>Chetan</t>
        </is>
      </c>
      <c r="I150" s="19" t="inlineStr">
        <is>
          <t>Google</t>
        </is>
      </c>
      <c r="J150" s="19" t="inlineStr">
        <is>
          <t>Round1</t>
        </is>
      </c>
      <c r="K150" s="22" t="inlineStr">
        <is>
          <t>+91 9920264452</t>
        </is>
      </c>
      <c r="L150" s="19" t="inlineStr">
        <is>
          <t>&lt;calendly_link&gt;</t>
        </is>
      </c>
      <c r="M150" s="19" t="n"/>
      <c r="N150" s="19" t="n"/>
      <c r="O150" s="19">
        <f>IF(OR(M150="Scheduled on call",M150="Booked on their behalf",N150="Scheduled on call",N150="Booked on their behalf"),"SCHEDULED (call)",IF(OR(M150="Not interested/Declined",N150="Not interested/Declined"),"DECLINED",IF(N150="Escalate to AM","ESCALATED TO LEAD",IF(E150="Ram is handling - no action","N/A",IF(M150="","PENDING CALL 1","IN PROGRESS")))))</f>
        <v/>
      </c>
      <c r="P150" s="19">
        <f>IF(OR('Ram - Digital ToDo'!O150="Scheduled",'Ram - Digital ToDo'!Q150="Scheduled"),"Scheduled within SLA (self-serve)",IF(OR(M150="Scheduled on call",M150="Booked on their behalf",N150="Scheduled on call",N150="Booked on their behalf"),"Scheduled within SLA (call)",IF(OR(M150="Not interested/Declined",N150="Not interested/Declined"),"Declined",IF(N150="Escalate to AM","SLA breach - unresolved","In progress"))))</f>
        <v/>
      </c>
      <c r="Q150" s="19" t="n"/>
    </row>
    <row r="151">
      <c r="A151" s="19" t="inlineStr">
        <is>
          <t>REQ-0150</t>
        </is>
      </c>
      <c r="B151" s="20" t="n">
        <v>44867.82708333333</v>
      </c>
      <c r="C151" s="20">
        <f>B151+1</f>
        <v/>
      </c>
      <c r="D151" s="21">
        <f>(C151-NOW())*24</f>
        <v/>
      </c>
      <c r="E151" s="19">
        <f>IF('Ram - Digital ToDo'!Q151="Escalate to call","CALL NOW",IF('Ram - Digital ToDo'!N151="Bad contact","CALL NOW (digital failed)","Ram is handling - no action"))</f>
        <v/>
      </c>
      <c r="F151" s="19">
        <f>IF(E151="Ram is handling - no action","No action needed",IF(M151="","CALL 1: ring candidate, offer to book on call (Playbook C1)",IF(OR(M151="Scheduled on call",M151="Booked on their behalf"),"DONE: scheduled on call",IF(M151="Not interested/Declined","CLOSED: candidate declined (log + tell lead)",IF(N151="","CALL 2: final attempt (Playbook C2)",IF(OR(N151="Scheduled on call",N151="Booked on their behalf"),"DONE: scheduled on call",IF(N151="Escalate to AM","ESCALATED TO LEAD","Review")))))))</f>
        <v/>
      </c>
      <c r="G151" s="20">
        <f>IF(E151="Ram is handling - no action","",IF(M151="",B151+6/24,IF(AND(M151&lt;&gt;"Scheduled on call",M151&lt;&gt;"Booked on their behalf",M151&lt;&gt;"Not interested/Declined",N151=""),B151+20/24,"")))</f>
        <v/>
      </c>
      <c r="H151" s="19" t="inlineStr">
        <is>
          <t>Chetan</t>
        </is>
      </c>
      <c r="I151" s="19" t="inlineStr">
        <is>
          <t>Google</t>
        </is>
      </c>
      <c r="J151" s="19" t="inlineStr">
        <is>
          <t>Round1</t>
        </is>
      </c>
      <c r="K151" s="22" t="inlineStr">
        <is>
          <t>+91 9920264452</t>
        </is>
      </c>
      <c r="L151" s="19" t="inlineStr">
        <is>
          <t>&lt;calendly_link&gt;</t>
        </is>
      </c>
      <c r="M151" s="19" t="n"/>
      <c r="N151" s="19" t="n"/>
      <c r="O151" s="19">
        <f>IF(OR(M151="Scheduled on call",M151="Booked on their behalf",N151="Scheduled on call",N151="Booked on their behalf"),"SCHEDULED (call)",IF(OR(M151="Not interested/Declined",N151="Not interested/Declined"),"DECLINED",IF(N151="Escalate to AM","ESCALATED TO LEAD",IF(E151="Ram is handling - no action","N/A",IF(M151="","PENDING CALL 1","IN PROGRESS")))))</f>
        <v/>
      </c>
      <c r="P151" s="19">
        <f>IF(OR('Ram - Digital ToDo'!O151="Scheduled",'Ram - Digital ToDo'!Q151="Scheduled"),"Scheduled within SLA (self-serve)",IF(OR(M151="Scheduled on call",M151="Booked on their behalf",N151="Scheduled on call",N151="Booked on their behalf"),"Scheduled within SLA (call)",IF(OR(M151="Not interested/Declined",N151="Not interested/Declined"),"Declined",IF(N151="Escalate to AM","SLA breach - unresolved","In progress"))))</f>
        <v/>
      </c>
      <c r="Q151" s="19" t="n"/>
    </row>
    <row r="152">
      <c r="A152" s="19" t="inlineStr">
        <is>
          <t>REQ-0151</t>
        </is>
      </c>
      <c r="B152" s="20" t="n">
        <v>44867.82708333333</v>
      </c>
      <c r="C152" s="20">
        <f>B152+1</f>
        <v/>
      </c>
      <c r="D152" s="21">
        <f>(C152-NOW())*24</f>
        <v/>
      </c>
      <c r="E152" s="19">
        <f>IF('Ram - Digital ToDo'!Q152="Escalate to call","CALL NOW",IF('Ram - Digital ToDo'!N152="Bad contact","CALL NOW (digital failed)","Ram is handling - no action"))</f>
        <v/>
      </c>
      <c r="F152" s="19">
        <f>IF(E152="Ram is handling - no action","No action needed",IF(M152="","CALL 1: ring candidate, offer to book on call (Playbook C1)",IF(OR(M152="Scheduled on call",M152="Booked on their behalf"),"DONE: scheduled on call",IF(M152="Not interested/Declined","CLOSED: candidate declined (log + tell lead)",IF(N152="","CALL 2: final attempt (Playbook C2)",IF(OR(N152="Scheduled on call",N152="Booked on their behalf"),"DONE: scheduled on call",IF(N152="Escalate to AM","ESCALATED TO LEAD","Review")))))))</f>
        <v/>
      </c>
      <c r="G152" s="20">
        <f>IF(E152="Ram is handling - no action","",IF(M152="",B152+6/24,IF(AND(M152&lt;&gt;"Scheduled on call",M152&lt;&gt;"Booked on their behalf",M152&lt;&gt;"Not interested/Declined",N152=""),B152+20/24,"")))</f>
        <v/>
      </c>
      <c r="H152" s="19" t="inlineStr">
        <is>
          <t>Chetan</t>
        </is>
      </c>
      <c r="I152" s="19" t="inlineStr">
        <is>
          <t>Google</t>
        </is>
      </c>
      <c r="J152" s="19" t="inlineStr">
        <is>
          <t>Round1</t>
        </is>
      </c>
      <c r="K152" s="22" t="inlineStr">
        <is>
          <t>+91 9920264452</t>
        </is>
      </c>
      <c r="L152" s="19" t="inlineStr">
        <is>
          <t>&lt;calendly_link&gt;</t>
        </is>
      </c>
      <c r="M152" s="19" t="n"/>
      <c r="N152" s="19" t="n"/>
      <c r="O152" s="19">
        <f>IF(OR(M152="Scheduled on call",M152="Booked on their behalf",N152="Scheduled on call",N152="Booked on their behalf"),"SCHEDULED (call)",IF(OR(M152="Not interested/Declined",N152="Not interested/Declined"),"DECLINED",IF(N152="Escalate to AM","ESCALATED TO LEAD",IF(E152="Ram is handling - no action","N/A",IF(M152="","PENDING CALL 1","IN PROGRESS")))))</f>
        <v/>
      </c>
      <c r="P152" s="19">
        <f>IF(OR('Ram - Digital ToDo'!O152="Scheduled",'Ram - Digital ToDo'!Q152="Scheduled"),"Scheduled within SLA (self-serve)",IF(OR(M152="Scheduled on call",M152="Booked on their behalf",N152="Scheduled on call",N152="Booked on their behalf"),"Scheduled within SLA (call)",IF(OR(M152="Not interested/Declined",N152="Not interested/Declined"),"Declined",IF(N152="Escalate to AM","SLA breach - unresolved","In progress"))))</f>
        <v/>
      </c>
      <c r="Q152" s="19" t="n"/>
    </row>
    <row r="153">
      <c r="A153" s="19" t="inlineStr">
        <is>
          <t>REQ-0152</t>
        </is>
      </c>
      <c r="B153" s="20" t="n">
        <v>44867.82708333333</v>
      </c>
      <c r="C153" s="20">
        <f>B153+1</f>
        <v/>
      </c>
      <c r="D153" s="21">
        <f>(C153-NOW())*24</f>
        <v/>
      </c>
      <c r="E153" s="19">
        <f>IF('Ram - Digital ToDo'!Q153="Escalate to call","CALL NOW",IF('Ram - Digital ToDo'!N153="Bad contact","CALL NOW (digital failed)","Ram is handling - no action"))</f>
        <v/>
      </c>
      <c r="F153" s="19">
        <f>IF(E153="Ram is handling - no action","No action needed",IF(M153="","CALL 1: ring candidate, offer to book on call (Playbook C1)",IF(OR(M153="Scheduled on call",M153="Booked on their behalf"),"DONE: scheduled on call",IF(M153="Not interested/Declined","CLOSED: candidate declined (log + tell lead)",IF(N153="","CALL 2: final attempt (Playbook C2)",IF(OR(N153="Scheduled on call",N153="Booked on their behalf"),"DONE: scheduled on call",IF(N153="Escalate to AM","ESCALATED TO LEAD","Review")))))))</f>
        <v/>
      </c>
      <c r="G153" s="20">
        <f>IF(E153="Ram is handling - no action","",IF(M153="",B153+6/24,IF(AND(M153&lt;&gt;"Scheduled on call",M153&lt;&gt;"Booked on their behalf",M153&lt;&gt;"Not interested/Declined",N153=""),B153+20/24,"")))</f>
        <v/>
      </c>
      <c r="H153" s="19" t="inlineStr">
        <is>
          <t>Chetan</t>
        </is>
      </c>
      <c r="I153" s="19" t="inlineStr">
        <is>
          <t>Google</t>
        </is>
      </c>
      <c r="J153" s="19" t="inlineStr">
        <is>
          <t>Round1</t>
        </is>
      </c>
      <c r="K153" s="22" t="inlineStr">
        <is>
          <t>+91 9920264452</t>
        </is>
      </c>
      <c r="L153" s="19" t="inlineStr">
        <is>
          <t>&lt;calendly_link&gt;</t>
        </is>
      </c>
      <c r="M153" s="19" t="n"/>
      <c r="N153" s="19" t="n"/>
      <c r="O153" s="19">
        <f>IF(OR(M153="Scheduled on call",M153="Booked on their behalf",N153="Scheduled on call",N153="Booked on their behalf"),"SCHEDULED (call)",IF(OR(M153="Not interested/Declined",N153="Not interested/Declined"),"DECLINED",IF(N153="Escalate to AM","ESCALATED TO LEAD",IF(E153="Ram is handling - no action","N/A",IF(M153="","PENDING CALL 1","IN PROGRESS")))))</f>
        <v/>
      </c>
      <c r="P153" s="19">
        <f>IF(OR('Ram - Digital ToDo'!O153="Scheduled",'Ram - Digital ToDo'!Q153="Scheduled"),"Scheduled within SLA (self-serve)",IF(OR(M153="Scheduled on call",M153="Booked on their behalf",N153="Scheduled on call",N153="Booked on their behalf"),"Scheduled within SLA (call)",IF(OR(M153="Not interested/Declined",N153="Not interested/Declined"),"Declined",IF(N153="Escalate to AM","SLA breach - unresolved","In progress"))))</f>
        <v/>
      </c>
      <c r="Q153" s="19" t="n"/>
    </row>
    <row r="154">
      <c r="A154" s="19" t="inlineStr">
        <is>
          <t>REQ-0153</t>
        </is>
      </c>
      <c r="B154" s="20" t="n">
        <v>44867.82708333333</v>
      </c>
      <c r="C154" s="20">
        <f>B154+1</f>
        <v/>
      </c>
      <c r="D154" s="21">
        <f>(C154-NOW())*24</f>
        <v/>
      </c>
      <c r="E154" s="19">
        <f>IF('Ram - Digital ToDo'!Q154="Escalate to call","CALL NOW",IF('Ram - Digital ToDo'!N154="Bad contact","CALL NOW (digital failed)","Ram is handling - no action"))</f>
        <v/>
      </c>
      <c r="F154" s="19">
        <f>IF(E154="Ram is handling - no action","No action needed",IF(M154="","CALL 1: ring candidate, offer to book on call (Playbook C1)",IF(OR(M154="Scheduled on call",M154="Booked on their behalf"),"DONE: scheduled on call",IF(M154="Not interested/Declined","CLOSED: candidate declined (log + tell lead)",IF(N154="","CALL 2: final attempt (Playbook C2)",IF(OR(N154="Scheduled on call",N154="Booked on their behalf"),"DONE: scheduled on call",IF(N154="Escalate to AM","ESCALATED TO LEAD","Review")))))))</f>
        <v/>
      </c>
      <c r="G154" s="20">
        <f>IF(E154="Ram is handling - no action","",IF(M154="",B154+6/24,IF(AND(M154&lt;&gt;"Scheduled on call",M154&lt;&gt;"Booked on their behalf",M154&lt;&gt;"Not interested/Declined",N154=""),B154+20/24,"")))</f>
        <v/>
      </c>
      <c r="H154" s="19" t="inlineStr">
        <is>
          <t>Chetan</t>
        </is>
      </c>
      <c r="I154" s="19" t="inlineStr">
        <is>
          <t>Google</t>
        </is>
      </c>
      <c r="J154" s="19" t="inlineStr">
        <is>
          <t>Round1</t>
        </is>
      </c>
      <c r="K154" s="22" t="inlineStr">
        <is>
          <t>+91 9920264452</t>
        </is>
      </c>
      <c r="L154" s="19" t="inlineStr">
        <is>
          <t>&lt;calendly_link&gt;</t>
        </is>
      </c>
      <c r="M154" s="19" t="n"/>
      <c r="N154" s="19" t="n"/>
      <c r="O154" s="19">
        <f>IF(OR(M154="Scheduled on call",M154="Booked on their behalf",N154="Scheduled on call",N154="Booked on their behalf"),"SCHEDULED (call)",IF(OR(M154="Not interested/Declined",N154="Not interested/Declined"),"DECLINED",IF(N154="Escalate to AM","ESCALATED TO LEAD",IF(E154="Ram is handling - no action","N/A",IF(M154="","PENDING CALL 1","IN PROGRESS")))))</f>
        <v/>
      </c>
      <c r="P154" s="19">
        <f>IF(OR('Ram - Digital ToDo'!O154="Scheduled",'Ram - Digital ToDo'!Q154="Scheduled"),"Scheduled within SLA (self-serve)",IF(OR(M154="Scheduled on call",M154="Booked on their behalf",N154="Scheduled on call",N154="Booked on their behalf"),"Scheduled within SLA (call)",IF(OR(M154="Not interested/Declined",N154="Not interested/Declined"),"Declined",IF(N154="Escalate to AM","SLA breach - unresolved","In progress"))))</f>
        <v/>
      </c>
      <c r="Q154" s="19" t="n"/>
    </row>
    <row r="155">
      <c r="A155" s="19" t="inlineStr">
        <is>
          <t>REQ-0154</t>
        </is>
      </c>
      <c r="B155" s="20" t="n">
        <v>44867.82708333333</v>
      </c>
      <c r="C155" s="20">
        <f>B155+1</f>
        <v/>
      </c>
      <c r="D155" s="21">
        <f>(C155-NOW())*24</f>
        <v/>
      </c>
      <c r="E155" s="19">
        <f>IF('Ram - Digital ToDo'!Q155="Escalate to call","CALL NOW",IF('Ram - Digital ToDo'!N155="Bad contact","CALL NOW (digital failed)","Ram is handling - no action"))</f>
        <v/>
      </c>
      <c r="F155" s="19">
        <f>IF(E155="Ram is handling - no action","No action needed",IF(M155="","CALL 1: ring candidate, offer to book on call (Playbook C1)",IF(OR(M155="Scheduled on call",M155="Booked on their behalf"),"DONE: scheduled on call",IF(M155="Not interested/Declined","CLOSED: candidate declined (log + tell lead)",IF(N155="","CALL 2: final attempt (Playbook C2)",IF(OR(N155="Scheduled on call",N155="Booked on their behalf"),"DONE: scheduled on call",IF(N155="Escalate to AM","ESCALATED TO LEAD","Review")))))))</f>
        <v/>
      </c>
      <c r="G155" s="20">
        <f>IF(E155="Ram is handling - no action","",IF(M155="",B155+6/24,IF(AND(M155&lt;&gt;"Scheduled on call",M155&lt;&gt;"Booked on their behalf",M155&lt;&gt;"Not interested/Declined",N155=""),B155+20/24,"")))</f>
        <v/>
      </c>
      <c r="H155" s="19" t="inlineStr">
        <is>
          <t>Chetan</t>
        </is>
      </c>
      <c r="I155" s="19" t="inlineStr">
        <is>
          <t>Google</t>
        </is>
      </c>
      <c r="J155" s="19" t="inlineStr">
        <is>
          <t>Round1</t>
        </is>
      </c>
      <c r="K155" s="22" t="inlineStr">
        <is>
          <t>+91 9920264452</t>
        </is>
      </c>
      <c r="L155" s="19" t="inlineStr">
        <is>
          <t>&lt;calendly_link&gt;</t>
        </is>
      </c>
      <c r="M155" s="19" t="n"/>
      <c r="N155" s="19" t="n"/>
      <c r="O155" s="19">
        <f>IF(OR(M155="Scheduled on call",M155="Booked on their behalf",N155="Scheduled on call",N155="Booked on their behalf"),"SCHEDULED (call)",IF(OR(M155="Not interested/Declined",N155="Not interested/Declined"),"DECLINED",IF(N155="Escalate to AM","ESCALATED TO LEAD",IF(E155="Ram is handling - no action","N/A",IF(M155="","PENDING CALL 1","IN PROGRESS")))))</f>
        <v/>
      </c>
      <c r="P155" s="19">
        <f>IF(OR('Ram - Digital ToDo'!O155="Scheduled",'Ram - Digital ToDo'!Q155="Scheduled"),"Scheduled within SLA (self-serve)",IF(OR(M155="Scheduled on call",M155="Booked on their behalf",N155="Scheduled on call",N155="Booked on their behalf"),"Scheduled within SLA (call)",IF(OR(M155="Not interested/Declined",N155="Not interested/Declined"),"Declined",IF(N155="Escalate to AM","SLA breach - unresolved","In progress"))))</f>
        <v/>
      </c>
      <c r="Q155" s="19" t="n"/>
    </row>
    <row r="156">
      <c r="A156" s="19" t="inlineStr">
        <is>
          <t>REQ-0155</t>
        </is>
      </c>
      <c r="B156" s="20" t="n">
        <v>44867.82708333333</v>
      </c>
      <c r="C156" s="20">
        <f>B156+1</f>
        <v/>
      </c>
      <c r="D156" s="21">
        <f>(C156-NOW())*24</f>
        <v/>
      </c>
      <c r="E156" s="19">
        <f>IF('Ram - Digital ToDo'!Q156="Escalate to call","CALL NOW",IF('Ram - Digital ToDo'!N156="Bad contact","CALL NOW (digital failed)","Ram is handling - no action"))</f>
        <v/>
      </c>
      <c r="F156" s="19">
        <f>IF(E156="Ram is handling - no action","No action needed",IF(M156="","CALL 1: ring candidate, offer to book on call (Playbook C1)",IF(OR(M156="Scheduled on call",M156="Booked on their behalf"),"DONE: scheduled on call",IF(M156="Not interested/Declined","CLOSED: candidate declined (log + tell lead)",IF(N156="","CALL 2: final attempt (Playbook C2)",IF(OR(N156="Scheduled on call",N156="Booked on their behalf"),"DONE: scheduled on call",IF(N156="Escalate to AM","ESCALATED TO LEAD","Review")))))))</f>
        <v/>
      </c>
      <c r="G156" s="20">
        <f>IF(E156="Ram is handling - no action","",IF(M156="",B156+6/24,IF(AND(M156&lt;&gt;"Scheduled on call",M156&lt;&gt;"Booked on their behalf",M156&lt;&gt;"Not interested/Declined",N156=""),B156+20/24,"")))</f>
        <v/>
      </c>
      <c r="H156" s="19" t="inlineStr">
        <is>
          <t>Chetan</t>
        </is>
      </c>
      <c r="I156" s="19" t="inlineStr">
        <is>
          <t>Google</t>
        </is>
      </c>
      <c r="J156" s="19" t="inlineStr">
        <is>
          <t>Round1</t>
        </is>
      </c>
      <c r="K156" s="22" t="inlineStr">
        <is>
          <t>+91 9920264452</t>
        </is>
      </c>
      <c r="L156" s="19" t="inlineStr">
        <is>
          <t>&lt;calendly_link&gt;</t>
        </is>
      </c>
      <c r="M156" s="19" t="n"/>
      <c r="N156" s="19" t="n"/>
      <c r="O156" s="19">
        <f>IF(OR(M156="Scheduled on call",M156="Booked on their behalf",N156="Scheduled on call",N156="Booked on their behalf"),"SCHEDULED (call)",IF(OR(M156="Not interested/Declined",N156="Not interested/Declined"),"DECLINED",IF(N156="Escalate to AM","ESCALATED TO LEAD",IF(E156="Ram is handling - no action","N/A",IF(M156="","PENDING CALL 1","IN PROGRESS")))))</f>
        <v/>
      </c>
      <c r="P156" s="19">
        <f>IF(OR('Ram - Digital ToDo'!O156="Scheduled",'Ram - Digital ToDo'!Q156="Scheduled"),"Scheduled within SLA (self-serve)",IF(OR(M156="Scheduled on call",M156="Booked on their behalf",N156="Scheduled on call",N156="Booked on their behalf"),"Scheduled within SLA (call)",IF(OR(M156="Not interested/Declined",N156="Not interested/Declined"),"Declined",IF(N156="Escalate to AM","SLA breach - unresolved","In progress"))))</f>
        <v/>
      </c>
      <c r="Q156" s="19" t="n"/>
    </row>
    <row r="157">
      <c r="A157" s="19" t="inlineStr">
        <is>
          <t>REQ-0156</t>
        </is>
      </c>
      <c r="B157" s="20" t="n">
        <v>44867.82708333333</v>
      </c>
      <c r="C157" s="20">
        <f>B157+1</f>
        <v/>
      </c>
      <c r="D157" s="21">
        <f>(C157-NOW())*24</f>
        <v/>
      </c>
      <c r="E157" s="19">
        <f>IF('Ram - Digital ToDo'!Q157="Escalate to call","CALL NOW",IF('Ram - Digital ToDo'!N157="Bad contact","CALL NOW (digital failed)","Ram is handling - no action"))</f>
        <v/>
      </c>
      <c r="F157" s="19">
        <f>IF(E157="Ram is handling - no action","No action needed",IF(M157="","CALL 1: ring candidate, offer to book on call (Playbook C1)",IF(OR(M157="Scheduled on call",M157="Booked on their behalf"),"DONE: scheduled on call",IF(M157="Not interested/Declined","CLOSED: candidate declined (log + tell lead)",IF(N157="","CALL 2: final attempt (Playbook C2)",IF(OR(N157="Scheduled on call",N157="Booked on their behalf"),"DONE: scheduled on call",IF(N157="Escalate to AM","ESCALATED TO LEAD","Review")))))))</f>
        <v/>
      </c>
      <c r="G157" s="20">
        <f>IF(E157="Ram is handling - no action","",IF(M157="",B157+6/24,IF(AND(M157&lt;&gt;"Scheduled on call",M157&lt;&gt;"Booked on their behalf",M157&lt;&gt;"Not interested/Declined",N157=""),B157+20/24,"")))</f>
        <v/>
      </c>
      <c r="H157" s="19" t="inlineStr">
        <is>
          <t>Chetan</t>
        </is>
      </c>
      <c r="I157" s="19" t="inlineStr">
        <is>
          <t>Google</t>
        </is>
      </c>
      <c r="J157" s="19" t="inlineStr">
        <is>
          <t>Round1</t>
        </is>
      </c>
      <c r="K157" s="22" t="inlineStr">
        <is>
          <t>+91 9920264452</t>
        </is>
      </c>
      <c r="L157" s="19" t="inlineStr">
        <is>
          <t>&lt;calendly_link&gt;</t>
        </is>
      </c>
      <c r="M157" s="19" t="n"/>
      <c r="N157" s="19" t="n"/>
      <c r="O157" s="19">
        <f>IF(OR(M157="Scheduled on call",M157="Booked on their behalf",N157="Scheduled on call",N157="Booked on their behalf"),"SCHEDULED (call)",IF(OR(M157="Not interested/Declined",N157="Not interested/Declined"),"DECLINED",IF(N157="Escalate to AM","ESCALATED TO LEAD",IF(E157="Ram is handling - no action","N/A",IF(M157="","PENDING CALL 1","IN PROGRESS")))))</f>
        <v/>
      </c>
      <c r="P157" s="19">
        <f>IF(OR('Ram - Digital ToDo'!O157="Scheduled",'Ram - Digital ToDo'!Q157="Scheduled"),"Scheduled within SLA (self-serve)",IF(OR(M157="Scheduled on call",M157="Booked on their behalf",N157="Scheduled on call",N157="Booked on their behalf"),"Scheduled within SLA (call)",IF(OR(M157="Not interested/Declined",N157="Not interested/Declined"),"Declined",IF(N157="Escalate to AM","SLA breach - unresolved","In progress"))))</f>
        <v/>
      </c>
      <c r="Q157" s="19" t="n"/>
    </row>
    <row r="158">
      <c r="A158" s="19" t="inlineStr">
        <is>
          <t>REQ-0157</t>
        </is>
      </c>
      <c r="B158" s="20" t="n">
        <v>44867.82708333333</v>
      </c>
      <c r="C158" s="20">
        <f>B158+1</f>
        <v/>
      </c>
      <c r="D158" s="21">
        <f>(C158-NOW())*24</f>
        <v/>
      </c>
      <c r="E158" s="19">
        <f>IF('Ram - Digital ToDo'!Q158="Escalate to call","CALL NOW",IF('Ram - Digital ToDo'!N158="Bad contact","CALL NOW (digital failed)","Ram is handling - no action"))</f>
        <v/>
      </c>
      <c r="F158" s="19">
        <f>IF(E158="Ram is handling - no action","No action needed",IF(M158="","CALL 1: ring candidate, offer to book on call (Playbook C1)",IF(OR(M158="Scheduled on call",M158="Booked on their behalf"),"DONE: scheduled on call",IF(M158="Not interested/Declined","CLOSED: candidate declined (log + tell lead)",IF(N158="","CALL 2: final attempt (Playbook C2)",IF(OR(N158="Scheduled on call",N158="Booked on their behalf"),"DONE: scheduled on call",IF(N158="Escalate to AM","ESCALATED TO LEAD","Review")))))))</f>
        <v/>
      </c>
      <c r="G158" s="20">
        <f>IF(E158="Ram is handling - no action","",IF(M158="",B158+6/24,IF(AND(M158&lt;&gt;"Scheduled on call",M158&lt;&gt;"Booked on their behalf",M158&lt;&gt;"Not interested/Declined",N158=""),B158+20/24,"")))</f>
        <v/>
      </c>
      <c r="H158" s="19" t="inlineStr">
        <is>
          <t>Chetan</t>
        </is>
      </c>
      <c r="I158" s="19" t="inlineStr">
        <is>
          <t>Google</t>
        </is>
      </c>
      <c r="J158" s="19" t="inlineStr">
        <is>
          <t>Round1</t>
        </is>
      </c>
      <c r="K158" s="22" t="inlineStr">
        <is>
          <t>+91 9920264452</t>
        </is>
      </c>
      <c r="L158" s="19" t="inlineStr">
        <is>
          <t>&lt;calendly_link&gt;</t>
        </is>
      </c>
      <c r="M158" s="19" t="n"/>
      <c r="N158" s="19" t="n"/>
      <c r="O158" s="19">
        <f>IF(OR(M158="Scheduled on call",M158="Booked on their behalf",N158="Scheduled on call",N158="Booked on their behalf"),"SCHEDULED (call)",IF(OR(M158="Not interested/Declined",N158="Not interested/Declined"),"DECLINED",IF(N158="Escalate to AM","ESCALATED TO LEAD",IF(E158="Ram is handling - no action","N/A",IF(M158="","PENDING CALL 1","IN PROGRESS")))))</f>
        <v/>
      </c>
      <c r="P158" s="19">
        <f>IF(OR('Ram - Digital ToDo'!O158="Scheduled",'Ram - Digital ToDo'!Q158="Scheduled"),"Scheduled within SLA (self-serve)",IF(OR(M158="Scheduled on call",M158="Booked on their behalf",N158="Scheduled on call",N158="Booked on their behalf"),"Scheduled within SLA (call)",IF(OR(M158="Not interested/Declined",N158="Not interested/Declined"),"Declined",IF(N158="Escalate to AM","SLA breach - unresolved","In progress"))))</f>
        <v/>
      </c>
      <c r="Q158" s="19" t="n"/>
    </row>
    <row r="159">
      <c r="A159" s="19" t="inlineStr">
        <is>
          <t>REQ-0158</t>
        </is>
      </c>
      <c r="B159" s="20" t="n">
        <v>44867.82708333333</v>
      </c>
      <c r="C159" s="20">
        <f>B159+1</f>
        <v/>
      </c>
      <c r="D159" s="21">
        <f>(C159-NOW())*24</f>
        <v/>
      </c>
      <c r="E159" s="19">
        <f>IF('Ram - Digital ToDo'!Q159="Escalate to call","CALL NOW",IF('Ram - Digital ToDo'!N159="Bad contact","CALL NOW (digital failed)","Ram is handling - no action"))</f>
        <v/>
      </c>
      <c r="F159" s="19">
        <f>IF(E159="Ram is handling - no action","No action needed",IF(M159="","CALL 1: ring candidate, offer to book on call (Playbook C1)",IF(OR(M159="Scheduled on call",M159="Booked on their behalf"),"DONE: scheduled on call",IF(M159="Not interested/Declined","CLOSED: candidate declined (log + tell lead)",IF(N159="","CALL 2: final attempt (Playbook C2)",IF(OR(N159="Scheduled on call",N159="Booked on their behalf"),"DONE: scheduled on call",IF(N159="Escalate to AM","ESCALATED TO LEAD","Review")))))))</f>
        <v/>
      </c>
      <c r="G159" s="20">
        <f>IF(E159="Ram is handling - no action","",IF(M159="",B159+6/24,IF(AND(M159&lt;&gt;"Scheduled on call",M159&lt;&gt;"Booked on their behalf",M159&lt;&gt;"Not interested/Declined",N159=""),B159+20/24,"")))</f>
        <v/>
      </c>
      <c r="H159" s="19" t="inlineStr">
        <is>
          <t>Chetan</t>
        </is>
      </c>
      <c r="I159" s="19" t="inlineStr">
        <is>
          <t>Google</t>
        </is>
      </c>
      <c r="J159" s="19" t="inlineStr">
        <is>
          <t>Round1</t>
        </is>
      </c>
      <c r="K159" s="22" t="inlineStr">
        <is>
          <t>+91 9920264452</t>
        </is>
      </c>
      <c r="L159" s="19" t="inlineStr">
        <is>
          <t>&lt;calendly_link&gt;</t>
        </is>
      </c>
      <c r="M159" s="19" t="n"/>
      <c r="N159" s="19" t="n"/>
      <c r="O159" s="19">
        <f>IF(OR(M159="Scheduled on call",M159="Booked on their behalf",N159="Scheduled on call",N159="Booked on their behalf"),"SCHEDULED (call)",IF(OR(M159="Not interested/Declined",N159="Not interested/Declined"),"DECLINED",IF(N159="Escalate to AM","ESCALATED TO LEAD",IF(E159="Ram is handling - no action","N/A",IF(M159="","PENDING CALL 1","IN PROGRESS")))))</f>
        <v/>
      </c>
      <c r="P159" s="19">
        <f>IF(OR('Ram - Digital ToDo'!O159="Scheduled",'Ram - Digital ToDo'!Q159="Scheduled"),"Scheduled within SLA (self-serve)",IF(OR(M159="Scheduled on call",M159="Booked on their behalf",N159="Scheduled on call",N159="Booked on their behalf"),"Scheduled within SLA (call)",IF(OR(M159="Not interested/Declined",N159="Not interested/Declined"),"Declined",IF(N159="Escalate to AM","SLA breach - unresolved","In progress"))))</f>
        <v/>
      </c>
      <c r="Q159" s="19" t="n"/>
    </row>
    <row r="160">
      <c r="A160" s="19" t="inlineStr">
        <is>
          <t>REQ-0159</t>
        </is>
      </c>
      <c r="B160" s="20" t="n">
        <v>44867.82708333333</v>
      </c>
      <c r="C160" s="20">
        <f>B160+1</f>
        <v/>
      </c>
      <c r="D160" s="21">
        <f>(C160-NOW())*24</f>
        <v/>
      </c>
      <c r="E160" s="19">
        <f>IF('Ram - Digital ToDo'!Q160="Escalate to call","CALL NOW",IF('Ram - Digital ToDo'!N160="Bad contact","CALL NOW (digital failed)","Ram is handling - no action"))</f>
        <v/>
      </c>
      <c r="F160" s="19">
        <f>IF(E160="Ram is handling - no action","No action needed",IF(M160="","CALL 1: ring candidate, offer to book on call (Playbook C1)",IF(OR(M160="Scheduled on call",M160="Booked on their behalf"),"DONE: scheduled on call",IF(M160="Not interested/Declined","CLOSED: candidate declined (log + tell lead)",IF(N160="","CALL 2: final attempt (Playbook C2)",IF(OR(N160="Scheduled on call",N160="Booked on their behalf"),"DONE: scheduled on call",IF(N160="Escalate to AM","ESCALATED TO LEAD","Review")))))))</f>
        <v/>
      </c>
      <c r="G160" s="20">
        <f>IF(E160="Ram is handling - no action","",IF(M160="",B160+6/24,IF(AND(M160&lt;&gt;"Scheduled on call",M160&lt;&gt;"Booked on their behalf",M160&lt;&gt;"Not interested/Declined",N160=""),B160+20/24,"")))</f>
        <v/>
      </c>
      <c r="H160" s="19" t="inlineStr">
        <is>
          <t>Chetan</t>
        </is>
      </c>
      <c r="I160" s="19" t="inlineStr">
        <is>
          <t>Google</t>
        </is>
      </c>
      <c r="J160" s="19" t="inlineStr">
        <is>
          <t>Round1</t>
        </is>
      </c>
      <c r="K160" s="22" t="inlineStr">
        <is>
          <t>+91 9920264452</t>
        </is>
      </c>
      <c r="L160" s="19" t="inlineStr">
        <is>
          <t>&lt;calendly_link&gt;</t>
        </is>
      </c>
      <c r="M160" s="19" t="n"/>
      <c r="N160" s="19" t="n"/>
      <c r="O160" s="19">
        <f>IF(OR(M160="Scheduled on call",M160="Booked on their behalf",N160="Scheduled on call",N160="Booked on their behalf"),"SCHEDULED (call)",IF(OR(M160="Not interested/Declined",N160="Not interested/Declined"),"DECLINED",IF(N160="Escalate to AM","ESCALATED TO LEAD",IF(E160="Ram is handling - no action","N/A",IF(M160="","PENDING CALL 1","IN PROGRESS")))))</f>
        <v/>
      </c>
      <c r="P160" s="19">
        <f>IF(OR('Ram - Digital ToDo'!O160="Scheduled",'Ram - Digital ToDo'!Q160="Scheduled"),"Scheduled within SLA (self-serve)",IF(OR(M160="Scheduled on call",M160="Booked on their behalf",N160="Scheduled on call",N160="Booked on their behalf"),"Scheduled within SLA (call)",IF(OR(M160="Not interested/Declined",N160="Not interested/Declined"),"Declined",IF(N160="Escalate to AM","SLA breach - unresolved","In progress"))))</f>
        <v/>
      </c>
      <c r="Q160" s="19" t="n"/>
    </row>
    <row r="161">
      <c r="A161" s="19" t="inlineStr">
        <is>
          <t>REQ-0160</t>
        </is>
      </c>
      <c r="B161" s="20" t="n">
        <v>44867.82708333333</v>
      </c>
      <c r="C161" s="20">
        <f>B161+1</f>
        <v/>
      </c>
      <c r="D161" s="21">
        <f>(C161-NOW())*24</f>
        <v/>
      </c>
      <c r="E161" s="19">
        <f>IF('Ram - Digital ToDo'!Q161="Escalate to call","CALL NOW",IF('Ram - Digital ToDo'!N161="Bad contact","CALL NOW (digital failed)","Ram is handling - no action"))</f>
        <v/>
      </c>
      <c r="F161" s="19">
        <f>IF(E161="Ram is handling - no action","No action needed",IF(M161="","CALL 1: ring candidate, offer to book on call (Playbook C1)",IF(OR(M161="Scheduled on call",M161="Booked on their behalf"),"DONE: scheduled on call",IF(M161="Not interested/Declined","CLOSED: candidate declined (log + tell lead)",IF(N161="","CALL 2: final attempt (Playbook C2)",IF(OR(N161="Scheduled on call",N161="Booked on their behalf"),"DONE: scheduled on call",IF(N161="Escalate to AM","ESCALATED TO LEAD","Review")))))))</f>
        <v/>
      </c>
      <c r="G161" s="20">
        <f>IF(E161="Ram is handling - no action","",IF(M161="",B161+6/24,IF(AND(M161&lt;&gt;"Scheduled on call",M161&lt;&gt;"Booked on their behalf",M161&lt;&gt;"Not interested/Declined",N161=""),B161+20/24,"")))</f>
        <v/>
      </c>
      <c r="H161" s="19" t="inlineStr">
        <is>
          <t>Chetan</t>
        </is>
      </c>
      <c r="I161" s="19" t="inlineStr">
        <is>
          <t>Google</t>
        </is>
      </c>
      <c r="J161" s="19" t="inlineStr">
        <is>
          <t>Round1</t>
        </is>
      </c>
      <c r="K161" s="22" t="inlineStr">
        <is>
          <t>+91 9920264452</t>
        </is>
      </c>
      <c r="L161" s="19" t="inlineStr">
        <is>
          <t>&lt;calendly_link&gt;</t>
        </is>
      </c>
      <c r="M161" s="19" t="n"/>
      <c r="N161" s="19" t="n"/>
      <c r="O161" s="19">
        <f>IF(OR(M161="Scheduled on call",M161="Booked on their behalf",N161="Scheduled on call",N161="Booked on their behalf"),"SCHEDULED (call)",IF(OR(M161="Not interested/Declined",N161="Not interested/Declined"),"DECLINED",IF(N161="Escalate to AM","ESCALATED TO LEAD",IF(E161="Ram is handling - no action","N/A",IF(M161="","PENDING CALL 1","IN PROGRESS")))))</f>
        <v/>
      </c>
      <c r="P161" s="19">
        <f>IF(OR('Ram - Digital ToDo'!O161="Scheduled",'Ram - Digital ToDo'!Q161="Scheduled"),"Scheduled within SLA (self-serve)",IF(OR(M161="Scheduled on call",M161="Booked on their behalf",N161="Scheduled on call",N161="Booked on their behalf"),"Scheduled within SLA (call)",IF(OR(M161="Not interested/Declined",N161="Not interested/Declined"),"Declined",IF(N161="Escalate to AM","SLA breach - unresolved","In progress"))))</f>
        <v/>
      </c>
      <c r="Q161" s="19" t="n"/>
    </row>
    <row r="162">
      <c r="A162" s="19" t="inlineStr">
        <is>
          <t>REQ-0161</t>
        </is>
      </c>
      <c r="B162" s="20" t="n">
        <v>44867.82708333333</v>
      </c>
      <c r="C162" s="20">
        <f>B162+1</f>
        <v/>
      </c>
      <c r="D162" s="21">
        <f>(C162-NOW())*24</f>
        <v/>
      </c>
      <c r="E162" s="19">
        <f>IF('Ram - Digital ToDo'!Q162="Escalate to call","CALL NOW",IF('Ram - Digital ToDo'!N162="Bad contact","CALL NOW (digital failed)","Ram is handling - no action"))</f>
        <v/>
      </c>
      <c r="F162" s="19">
        <f>IF(E162="Ram is handling - no action","No action needed",IF(M162="","CALL 1: ring candidate, offer to book on call (Playbook C1)",IF(OR(M162="Scheduled on call",M162="Booked on their behalf"),"DONE: scheduled on call",IF(M162="Not interested/Declined","CLOSED: candidate declined (log + tell lead)",IF(N162="","CALL 2: final attempt (Playbook C2)",IF(OR(N162="Scheduled on call",N162="Booked on their behalf"),"DONE: scheduled on call",IF(N162="Escalate to AM","ESCALATED TO LEAD","Review")))))))</f>
        <v/>
      </c>
      <c r="G162" s="20">
        <f>IF(E162="Ram is handling - no action","",IF(M162="",B162+6/24,IF(AND(M162&lt;&gt;"Scheduled on call",M162&lt;&gt;"Booked on their behalf",M162&lt;&gt;"Not interested/Declined",N162=""),B162+20/24,"")))</f>
        <v/>
      </c>
      <c r="H162" s="19" t="inlineStr">
        <is>
          <t>Chetan</t>
        </is>
      </c>
      <c r="I162" s="19" t="inlineStr">
        <is>
          <t>Google</t>
        </is>
      </c>
      <c r="J162" s="19" t="inlineStr">
        <is>
          <t>Round1</t>
        </is>
      </c>
      <c r="K162" s="22" t="inlineStr">
        <is>
          <t>+91 9920264452</t>
        </is>
      </c>
      <c r="L162" s="19" t="inlineStr">
        <is>
          <t>&lt;calendly_link&gt;</t>
        </is>
      </c>
      <c r="M162" s="19" t="n"/>
      <c r="N162" s="19" t="n"/>
      <c r="O162" s="19">
        <f>IF(OR(M162="Scheduled on call",M162="Booked on their behalf",N162="Scheduled on call",N162="Booked on their behalf"),"SCHEDULED (call)",IF(OR(M162="Not interested/Declined",N162="Not interested/Declined"),"DECLINED",IF(N162="Escalate to AM","ESCALATED TO LEAD",IF(E162="Ram is handling - no action","N/A",IF(M162="","PENDING CALL 1","IN PROGRESS")))))</f>
        <v/>
      </c>
      <c r="P162" s="19">
        <f>IF(OR('Ram - Digital ToDo'!O162="Scheduled",'Ram - Digital ToDo'!Q162="Scheduled"),"Scheduled within SLA (self-serve)",IF(OR(M162="Scheduled on call",M162="Booked on their behalf",N162="Scheduled on call",N162="Booked on their behalf"),"Scheduled within SLA (call)",IF(OR(M162="Not interested/Declined",N162="Not interested/Declined"),"Declined",IF(N162="Escalate to AM","SLA breach - unresolved","In progress"))))</f>
        <v/>
      </c>
      <c r="Q162" s="19" t="n"/>
    </row>
    <row r="163">
      <c r="A163" s="19" t="inlineStr">
        <is>
          <t>REQ-0162</t>
        </is>
      </c>
      <c r="B163" s="20" t="n">
        <v>44867.82708333333</v>
      </c>
      <c r="C163" s="20">
        <f>B163+1</f>
        <v/>
      </c>
      <c r="D163" s="21">
        <f>(C163-NOW())*24</f>
        <v/>
      </c>
      <c r="E163" s="19">
        <f>IF('Ram - Digital ToDo'!Q163="Escalate to call","CALL NOW",IF('Ram - Digital ToDo'!N163="Bad contact","CALL NOW (digital failed)","Ram is handling - no action"))</f>
        <v/>
      </c>
      <c r="F163" s="19">
        <f>IF(E163="Ram is handling - no action","No action needed",IF(M163="","CALL 1: ring candidate, offer to book on call (Playbook C1)",IF(OR(M163="Scheduled on call",M163="Booked on their behalf"),"DONE: scheduled on call",IF(M163="Not interested/Declined","CLOSED: candidate declined (log + tell lead)",IF(N163="","CALL 2: final attempt (Playbook C2)",IF(OR(N163="Scheduled on call",N163="Booked on their behalf"),"DONE: scheduled on call",IF(N163="Escalate to AM","ESCALATED TO LEAD","Review")))))))</f>
        <v/>
      </c>
      <c r="G163" s="20">
        <f>IF(E163="Ram is handling - no action","",IF(M163="",B163+6/24,IF(AND(M163&lt;&gt;"Scheduled on call",M163&lt;&gt;"Booked on their behalf",M163&lt;&gt;"Not interested/Declined",N163=""),B163+20/24,"")))</f>
        <v/>
      </c>
      <c r="H163" s="19" t="inlineStr">
        <is>
          <t>Chetan</t>
        </is>
      </c>
      <c r="I163" s="19" t="inlineStr">
        <is>
          <t>Google</t>
        </is>
      </c>
      <c r="J163" s="19" t="inlineStr">
        <is>
          <t>Round1</t>
        </is>
      </c>
      <c r="K163" s="22" t="inlineStr">
        <is>
          <t>+91 9920264452</t>
        </is>
      </c>
      <c r="L163" s="19" t="inlineStr">
        <is>
          <t>&lt;calendly_link&gt;</t>
        </is>
      </c>
      <c r="M163" s="19" t="n"/>
      <c r="N163" s="19" t="n"/>
      <c r="O163" s="19">
        <f>IF(OR(M163="Scheduled on call",M163="Booked on their behalf",N163="Scheduled on call",N163="Booked on their behalf"),"SCHEDULED (call)",IF(OR(M163="Not interested/Declined",N163="Not interested/Declined"),"DECLINED",IF(N163="Escalate to AM","ESCALATED TO LEAD",IF(E163="Ram is handling - no action","N/A",IF(M163="","PENDING CALL 1","IN PROGRESS")))))</f>
        <v/>
      </c>
      <c r="P163" s="19">
        <f>IF(OR('Ram - Digital ToDo'!O163="Scheduled",'Ram - Digital ToDo'!Q163="Scheduled"),"Scheduled within SLA (self-serve)",IF(OR(M163="Scheduled on call",M163="Booked on their behalf",N163="Scheduled on call",N163="Booked on their behalf"),"Scheduled within SLA (call)",IF(OR(M163="Not interested/Declined",N163="Not interested/Declined"),"Declined",IF(N163="Escalate to AM","SLA breach - unresolved","In progress"))))</f>
        <v/>
      </c>
      <c r="Q163" s="19" t="n"/>
    </row>
    <row r="164">
      <c r="A164" s="19" t="inlineStr">
        <is>
          <t>REQ-0163</t>
        </is>
      </c>
      <c r="B164" s="20" t="n">
        <v>44867.82708333333</v>
      </c>
      <c r="C164" s="20">
        <f>B164+1</f>
        <v/>
      </c>
      <c r="D164" s="21">
        <f>(C164-NOW())*24</f>
        <v/>
      </c>
      <c r="E164" s="19">
        <f>IF('Ram - Digital ToDo'!Q164="Escalate to call","CALL NOW",IF('Ram - Digital ToDo'!N164="Bad contact","CALL NOW (digital failed)","Ram is handling - no action"))</f>
        <v/>
      </c>
      <c r="F164" s="19">
        <f>IF(E164="Ram is handling - no action","No action needed",IF(M164="","CALL 1: ring candidate, offer to book on call (Playbook C1)",IF(OR(M164="Scheduled on call",M164="Booked on their behalf"),"DONE: scheduled on call",IF(M164="Not interested/Declined","CLOSED: candidate declined (log + tell lead)",IF(N164="","CALL 2: final attempt (Playbook C2)",IF(OR(N164="Scheduled on call",N164="Booked on their behalf"),"DONE: scheduled on call",IF(N164="Escalate to AM","ESCALATED TO LEAD","Review")))))))</f>
        <v/>
      </c>
      <c r="G164" s="20">
        <f>IF(E164="Ram is handling - no action","",IF(M164="",B164+6/24,IF(AND(M164&lt;&gt;"Scheduled on call",M164&lt;&gt;"Booked on their behalf",M164&lt;&gt;"Not interested/Declined",N164=""),B164+20/24,"")))</f>
        <v/>
      </c>
      <c r="H164" s="19" t="inlineStr">
        <is>
          <t>Chetan</t>
        </is>
      </c>
      <c r="I164" s="19" t="inlineStr">
        <is>
          <t>Google</t>
        </is>
      </c>
      <c r="J164" s="19" t="inlineStr">
        <is>
          <t>Round1</t>
        </is>
      </c>
      <c r="K164" s="22" t="inlineStr">
        <is>
          <t>+91 9920264452</t>
        </is>
      </c>
      <c r="L164" s="19" t="inlineStr">
        <is>
          <t>&lt;calendly_link&gt;</t>
        </is>
      </c>
      <c r="M164" s="19" t="n"/>
      <c r="N164" s="19" t="n"/>
      <c r="O164" s="19">
        <f>IF(OR(M164="Scheduled on call",M164="Booked on their behalf",N164="Scheduled on call",N164="Booked on their behalf"),"SCHEDULED (call)",IF(OR(M164="Not interested/Declined",N164="Not interested/Declined"),"DECLINED",IF(N164="Escalate to AM","ESCALATED TO LEAD",IF(E164="Ram is handling - no action","N/A",IF(M164="","PENDING CALL 1","IN PROGRESS")))))</f>
        <v/>
      </c>
      <c r="P164" s="19">
        <f>IF(OR('Ram - Digital ToDo'!O164="Scheduled",'Ram - Digital ToDo'!Q164="Scheduled"),"Scheduled within SLA (self-serve)",IF(OR(M164="Scheduled on call",M164="Booked on their behalf",N164="Scheduled on call",N164="Booked on their behalf"),"Scheduled within SLA (call)",IF(OR(M164="Not interested/Declined",N164="Not interested/Declined"),"Declined",IF(N164="Escalate to AM","SLA breach - unresolved","In progress"))))</f>
        <v/>
      </c>
      <c r="Q164" s="19" t="n"/>
    </row>
    <row r="165">
      <c r="A165" s="19" t="inlineStr">
        <is>
          <t>REQ-0164</t>
        </is>
      </c>
      <c r="B165" s="20" t="n">
        <v>44867.82708333333</v>
      </c>
      <c r="C165" s="20">
        <f>B165+1</f>
        <v/>
      </c>
      <c r="D165" s="21">
        <f>(C165-NOW())*24</f>
        <v/>
      </c>
      <c r="E165" s="19">
        <f>IF('Ram - Digital ToDo'!Q165="Escalate to call","CALL NOW",IF('Ram - Digital ToDo'!N165="Bad contact","CALL NOW (digital failed)","Ram is handling - no action"))</f>
        <v/>
      </c>
      <c r="F165" s="19">
        <f>IF(E165="Ram is handling - no action","No action needed",IF(M165="","CALL 1: ring candidate, offer to book on call (Playbook C1)",IF(OR(M165="Scheduled on call",M165="Booked on their behalf"),"DONE: scheduled on call",IF(M165="Not interested/Declined","CLOSED: candidate declined (log + tell lead)",IF(N165="","CALL 2: final attempt (Playbook C2)",IF(OR(N165="Scheduled on call",N165="Booked on their behalf"),"DONE: scheduled on call",IF(N165="Escalate to AM","ESCALATED TO LEAD","Review")))))))</f>
        <v/>
      </c>
      <c r="G165" s="20">
        <f>IF(E165="Ram is handling - no action","",IF(M165="",B165+6/24,IF(AND(M165&lt;&gt;"Scheduled on call",M165&lt;&gt;"Booked on their behalf",M165&lt;&gt;"Not interested/Declined",N165=""),B165+20/24,"")))</f>
        <v/>
      </c>
      <c r="H165" s="19" t="inlineStr">
        <is>
          <t>Chetan</t>
        </is>
      </c>
      <c r="I165" s="19" t="inlineStr">
        <is>
          <t>Google</t>
        </is>
      </c>
      <c r="J165" s="19" t="inlineStr">
        <is>
          <t>Round1</t>
        </is>
      </c>
      <c r="K165" s="22" t="inlineStr">
        <is>
          <t>+91 9920264452</t>
        </is>
      </c>
      <c r="L165" s="19" t="inlineStr">
        <is>
          <t>&lt;calendly_link&gt;</t>
        </is>
      </c>
      <c r="M165" s="19" t="n"/>
      <c r="N165" s="19" t="n"/>
      <c r="O165" s="19">
        <f>IF(OR(M165="Scheduled on call",M165="Booked on their behalf",N165="Scheduled on call",N165="Booked on their behalf"),"SCHEDULED (call)",IF(OR(M165="Not interested/Declined",N165="Not interested/Declined"),"DECLINED",IF(N165="Escalate to AM","ESCALATED TO LEAD",IF(E165="Ram is handling - no action","N/A",IF(M165="","PENDING CALL 1","IN PROGRESS")))))</f>
        <v/>
      </c>
      <c r="P165" s="19">
        <f>IF(OR('Ram - Digital ToDo'!O165="Scheduled",'Ram - Digital ToDo'!Q165="Scheduled"),"Scheduled within SLA (self-serve)",IF(OR(M165="Scheduled on call",M165="Booked on their behalf",N165="Scheduled on call",N165="Booked on their behalf"),"Scheduled within SLA (call)",IF(OR(M165="Not interested/Declined",N165="Not interested/Declined"),"Declined",IF(N165="Escalate to AM","SLA breach - unresolved","In progress"))))</f>
        <v/>
      </c>
      <c r="Q165" s="19" t="n"/>
    </row>
    <row r="166">
      <c r="A166" s="19" t="inlineStr">
        <is>
          <t>REQ-0165</t>
        </is>
      </c>
      <c r="B166" s="20" t="n">
        <v>44867.82708333333</v>
      </c>
      <c r="C166" s="20">
        <f>B166+1</f>
        <v/>
      </c>
      <c r="D166" s="21">
        <f>(C166-NOW())*24</f>
        <v/>
      </c>
      <c r="E166" s="19">
        <f>IF('Ram - Digital ToDo'!Q166="Escalate to call","CALL NOW",IF('Ram - Digital ToDo'!N166="Bad contact","CALL NOW (digital failed)","Ram is handling - no action"))</f>
        <v/>
      </c>
      <c r="F166" s="19">
        <f>IF(E166="Ram is handling - no action","No action needed",IF(M166="","CALL 1: ring candidate, offer to book on call (Playbook C1)",IF(OR(M166="Scheduled on call",M166="Booked on their behalf"),"DONE: scheduled on call",IF(M166="Not interested/Declined","CLOSED: candidate declined (log + tell lead)",IF(N166="","CALL 2: final attempt (Playbook C2)",IF(OR(N166="Scheduled on call",N166="Booked on their behalf"),"DONE: scheduled on call",IF(N166="Escalate to AM","ESCALATED TO LEAD","Review")))))))</f>
        <v/>
      </c>
      <c r="G166" s="20">
        <f>IF(E166="Ram is handling - no action","",IF(M166="",B166+6/24,IF(AND(M166&lt;&gt;"Scheduled on call",M166&lt;&gt;"Booked on their behalf",M166&lt;&gt;"Not interested/Declined",N166=""),B166+20/24,"")))</f>
        <v/>
      </c>
      <c r="H166" s="19" t="inlineStr">
        <is>
          <t>Chetan</t>
        </is>
      </c>
      <c r="I166" s="19" t="inlineStr">
        <is>
          <t>Google</t>
        </is>
      </c>
      <c r="J166" s="19" t="inlineStr">
        <is>
          <t>Round1</t>
        </is>
      </c>
      <c r="K166" s="22" t="inlineStr">
        <is>
          <t>+91 9920264452</t>
        </is>
      </c>
      <c r="L166" s="19" t="inlineStr">
        <is>
          <t>&lt;calendly_link&gt;</t>
        </is>
      </c>
      <c r="M166" s="19" t="n"/>
      <c r="N166" s="19" t="n"/>
      <c r="O166" s="19">
        <f>IF(OR(M166="Scheduled on call",M166="Booked on their behalf",N166="Scheduled on call",N166="Booked on their behalf"),"SCHEDULED (call)",IF(OR(M166="Not interested/Declined",N166="Not interested/Declined"),"DECLINED",IF(N166="Escalate to AM","ESCALATED TO LEAD",IF(E166="Ram is handling - no action","N/A",IF(M166="","PENDING CALL 1","IN PROGRESS")))))</f>
        <v/>
      </c>
      <c r="P166" s="19">
        <f>IF(OR('Ram - Digital ToDo'!O166="Scheduled",'Ram - Digital ToDo'!Q166="Scheduled"),"Scheduled within SLA (self-serve)",IF(OR(M166="Scheduled on call",M166="Booked on their behalf",N166="Scheduled on call",N166="Booked on their behalf"),"Scheduled within SLA (call)",IF(OR(M166="Not interested/Declined",N166="Not interested/Declined"),"Declined",IF(N166="Escalate to AM","SLA breach - unresolved","In progress"))))</f>
        <v/>
      </c>
      <c r="Q166" s="19" t="n"/>
    </row>
    <row r="167">
      <c r="A167" s="19" t="inlineStr">
        <is>
          <t>REQ-0166</t>
        </is>
      </c>
      <c r="B167" s="20" t="n">
        <v>44867.82708333333</v>
      </c>
      <c r="C167" s="20">
        <f>B167+1</f>
        <v/>
      </c>
      <c r="D167" s="21">
        <f>(C167-NOW())*24</f>
        <v/>
      </c>
      <c r="E167" s="19">
        <f>IF('Ram - Digital ToDo'!Q167="Escalate to call","CALL NOW",IF('Ram - Digital ToDo'!N167="Bad contact","CALL NOW (digital failed)","Ram is handling - no action"))</f>
        <v/>
      </c>
      <c r="F167" s="19">
        <f>IF(E167="Ram is handling - no action","No action needed",IF(M167="","CALL 1: ring candidate, offer to book on call (Playbook C1)",IF(OR(M167="Scheduled on call",M167="Booked on their behalf"),"DONE: scheduled on call",IF(M167="Not interested/Declined","CLOSED: candidate declined (log + tell lead)",IF(N167="","CALL 2: final attempt (Playbook C2)",IF(OR(N167="Scheduled on call",N167="Booked on their behalf"),"DONE: scheduled on call",IF(N167="Escalate to AM","ESCALATED TO LEAD","Review")))))))</f>
        <v/>
      </c>
      <c r="G167" s="20">
        <f>IF(E167="Ram is handling - no action","",IF(M167="",B167+6/24,IF(AND(M167&lt;&gt;"Scheduled on call",M167&lt;&gt;"Booked on their behalf",M167&lt;&gt;"Not interested/Declined",N167=""),B167+20/24,"")))</f>
        <v/>
      </c>
      <c r="H167" s="19" t="inlineStr">
        <is>
          <t>Chetan</t>
        </is>
      </c>
      <c r="I167" s="19" t="inlineStr">
        <is>
          <t>Google</t>
        </is>
      </c>
      <c r="J167" s="19" t="inlineStr">
        <is>
          <t>Round1</t>
        </is>
      </c>
      <c r="K167" s="22" t="inlineStr">
        <is>
          <t>+91 9920264452</t>
        </is>
      </c>
      <c r="L167" s="19" t="inlineStr">
        <is>
          <t>&lt;calendly_link&gt;</t>
        </is>
      </c>
      <c r="M167" s="19" t="n"/>
      <c r="N167" s="19" t="n"/>
      <c r="O167" s="19">
        <f>IF(OR(M167="Scheduled on call",M167="Booked on their behalf",N167="Scheduled on call",N167="Booked on their behalf"),"SCHEDULED (call)",IF(OR(M167="Not interested/Declined",N167="Not interested/Declined"),"DECLINED",IF(N167="Escalate to AM","ESCALATED TO LEAD",IF(E167="Ram is handling - no action","N/A",IF(M167="","PENDING CALL 1","IN PROGRESS")))))</f>
        <v/>
      </c>
      <c r="P167" s="19">
        <f>IF(OR('Ram - Digital ToDo'!O167="Scheduled",'Ram - Digital ToDo'!Q167="Scheduled"),"Scheduled within SLA (self-serve)",IF(OR(M167="Scheduled on call",M167="Booked on their behalf",N167="Scheduled on call",N167="Booked on their behalf"),"Scheduled within SLA (call)",IF(OR(M167="Not interested/Declined",N167="Not interested/Declined"),"Declined",IF(N167="Escalate to AM","SLA breach - unresolved","In progress"))))</f>
        <v/>
      </c>
      <c r="Q167" s="19" t="n"/>
    </row>
    <row r="168">
      <c r="A168" s="19" t="inlineStr">
        <is>
          <t>REQ-0167</t>
        </is>
      </c>
      <c r="B168" s="20" t="n">
        <v>44867.82708333333</v>
      </c>
      <c r="C168" s="20">
        <f>B168+1</f>
        <v/>
      </c>
      <c r="D168" s="21">
        <f>(C168-NOW())*24</f>
        <v/>
      </c>
      <c r="E168" s="19">
        <f>IF('Ram - Digital ToDo'!Q168="Escalate to call","CALL NOW",IF('Ram - Digital ToDo'!N168="Bad contact","CALL NOW (digital failed)","Ram is handling - no action"))</f>
        <v/>
      </c>
      <c r="F168" s="19">
        <f>IF(E168="Ram is handling - no action","No action needed",IF(M168="","CALL 1: ring candidate, offer to book on call (Playbook C1)",IF(OR(M168="Scheduled on call",M168="Booked on their behalf"),"DONE: scheduled on call",IF(M168="Not interested/Declined","CLOSED: candidate declined (log + tell lead)",IF(N168="","CALL 2: final attempt (Playbook C2)",IF(OR(N168="Scheduled on call",N168="Booked on their behalf"),"DONE: scheduled on call",IF(N168="Escalate to AM","ESCALATED TO LEAD","Review")))))))</f>
        <v/>
      </c>
      <c r="G168" s="20">
        <f>IF(E168="Ram is handling - no action","",IF(M168="",B168+6/24,IF(AND(M168&lt;&gt;"Scheduled on call",M168&lt;&gt;"Booked on their behalf",M168&lt;&gt;"Not interested/Declined",N168=""),B168+20/24,"")))</f>
        <v/>
      </c>
      <c r="H168" s="19" t="inlineStr">
        <is>
          <t>Chetan</t>
        </is>
      </c>
      <c r="I168" s="19" t="inlineStr">
        <is>
          <t>Google</t>
        </is>
      </c>
      <c r="J168" s="19" t="inlineStr">
        <is>
          <t>Round1</t>
        </is>
      </c>
      <c r="K168" s="22" t="inlineStr">
        <is>
          <t>+91 9920264452</t>
        </is>
      </c>
      <c r="L168" s="19" t="inlineStr">
        <is>
          <t>&lt;calendly_link&gt;</t>
        </is>
      </c>
      <c r="M168" s="19" t="n"/>
      <c r="N168" s="19" t="n"/>
      <c r="O168" s="19">
        <f>IF(OR(M168="Scheduled on call",M168="Booked on their behalf",N168="Scheduled on call",N168="Booked on their behalf"),"SCHEDULED (call)",IF(OR(M168="Not interested/Declined",N168="Not interested/Declined"),"DECLINED",IF(N168="Escalate to AM","ESCALATED TO LEAD",IF(E168="Ram is handling - no action","N/A",IF(M168="","PENDING CALL 1","IN PROGRESS")))))</f>
        <v/>
      </c>
      <c r="P168" s="19">
        <f>IF(OR('Ram - Digital ToDo'!O168="Scheduled",'Ram - Digital ToDo'!Q168="Scheduled"),"Scheduled within SLA (self-serve)",IF(OR(M168="Scheduled on call",M168="Booked on their behalf",N168="Scheduled on call",N168="Booked on their behalf"),"Scheduled within SLA (call)",IF(OR(M168="Not interested/Declined",N168="Not interested/Declined"),"Declined",IF(N168="Escalate to AM","SLA breach - unresolved","In progress"))))</f>
        <v/>
      </c>
      <c r="Q168" s="19" t="n"/>
    </row>
    <row r="169">
      <c r="A169" s="19" t="inlineStr">
        <is>
          <t>REQ-0168</t>
        </is>
      </c>
      <c r="B169" s="20" t="n">
        <v>44867.82708333333</v>
      </c>
      <c r="C169" s="20">
        <f>B169+1</f>
        <v/>
      </c>
      <c r="D169" s="21">
        <f>(C169-NOW())*24</f>
        <v/>
      </c>
      <c r="E169" s="19">
        <f>IF('Ram - Digital ToDo'!Q169="Escalate to call","CALL NOW",IF('Ram - Digital ToDo'!N169="Bad contact","CALL NOW (digital failed)","Ram is handling - no action"))</f>
        <v/>
      </c>
      <c r="F169" s="19">
        <f>IF(E169="Ram is handling - no action","No action needed",IF(M169="","CALL 1: ring candidate, offer to book on call (Playbook C1)",IF(OR(M169="Scheduled on call",M169="Booked on their behalf"),"DONE: scheduled on call",IF(M169="Not interested/Declined","CLOSED: candidate declined (log + tell lead)",IF(N169="","CALL 2: final attempt (Playbook C2)",IF(OR(N169="Scheduled on call",N169="Booked on their behalf"),"DONE: scheduled on call",IF(N169="Escalate to AM","ESCALATED TO LEAD","Review")))))))</f>
        <v/>
      </c>
      <c r="G169" s="20">
        <f>IF(E169="Ram is handling - no action","",IF(M169="",B169+6/24,IF(AND(M169&lt;&gt;"Scheduled on call",M169&lt;&gt;"Booked on their behalf",M169&lt;&gt;"Not interested/Declined",N169=""),B169+20/24,"")))</f>
        <v/>
      </c>
      <c r="H169" s="19" t="inlineStr">
        <is>
          <t>Chetan</t>
        </is>
      </c>
      <c r="I169" s="19" t="inlineStr">
        <is>
          <t>Google</t>
        </is>
      </c>
      <c r="J169" s="19" t="inlineStr">
        <is>
          <t>Round1</t>
        </is>
      </c>
      <c r="K169" s="22" t="inlineStr">
        <is>
          <t>+91 9920264452</t>
        </is>
      </c>
      <c r="L169" s="19" t="inlineStr">
        <is>
          <t>&lt;calendly_link&gt;</t>
        </is>
      </c>
      <c r="M169" s="19" t="n"/>
      <c r="N169" s="19" t="n"/>
      <c r="O169" s="19">
        <f>IF(OR(M169="Scheduled on call",M169="Booked on their behalf",N169="Scheduled on call",N169="Booked on their behalf"),"SCHEDULED (call)",IF(OR(M169="Not interested/Declined",N169="Not interested/Declined"),"DECLINED",IF(N169="Escalate to AM","ESCALATED TO LEAD",IF(E169="Ram is handling - no action","N/A",IF(M169="","PENDING CALL 1","IN PROGRESS")))))</f>
        <v/>
      </c>
      <c r="P169" s="19">
        <f>IF(OR('Ram - Digital ToDo'!O169="Scheduled",'Ram - Digital ToDo'!Q169="Scheduled"),"Scheduled within SLA (self-serve)",IF(OR(M169="Scheduled on call",M169="Booked on their behalf",N169="Scheduled on call",N169="Booked on their behalf"),"Scheduled within SLA (call)",IF(OR(M169="Not interested/Declined",N169="Not interested/Declined"),"Declined",IF(N169="Escalate to AM","SLA breach - unresolved","In progress"))))</f>
        <v/>
      </c>
      <c r="Q169" s="19" t="n"/>
    </row>
    <row r="170">
      <c r="A170" s="19" t="inlineStr">
        <is>
          <t>REQ-0169</t>
        </is>
      </c>
      <c r="B170" s="20" t="n">
        <v>44867.82708333333</v>
      </c>
      <c r="C170" s="20">
        <f>B170+1</f>
        <v/>
      </c>
      <c r="D170" s="21">
        <f>(C170-NOW())*24</f>
        <v/>
      </c>
      <c r="E170" s="19">
        <f>IF('Ram - Digital ToDo'!Q170="Escalate to call","CALL NOW",IF('Ram - Digital ToDo'!N170="Bad contact","CALL NOW (digital failed)","Ram is handling - no action"))</f>
        <v/>
      </c>
      <c r="F170" s="19">
        <f>IF(E170="Ram is handling - no action","No action needed",IF(M170="","CALL 1: ring candidate, offer to book on call (Playbook C1)",IF(OR(M170="Scheduled on call",M170="Booked on their behalf"),"DONE: scheduled on call",IF(M170="Not interested/Declined","CLOSED: candidate declined (log + tell lead)",IF(N170="","CALL 2: final attempt (Playbook C2)",IF(OR(N170="Scheduled on call",N170="Booked on their behalf"),"DONE: scheduled on call",IF(N170="Escalate to AM","ESCALATED TO LEAD","Review")))))))</f>
        <v/>
      </c>
      <c r="G170" s="20">
        <f>IF(E170="Ram is handling - no action","",IF(M170="",B170+6/24,IF(AND(M170&lt;&gt;"Scheduled on call",M170&lt;&gt;"Booked on their behalf",M170&lt;&gt;"Not interested/Declined",N170=""),B170+20/24,"")))</f>
        <v/>
      </c>
      <c r="H170" s="19" t="inlineStr">
        <is>
          <t>Chetan</t>
        </is>
      </c>
      <c r="I170" s="19" t="inlineStr">
        <is>
          <t>Google</t>
        </is>
      </c>
      <c r="J170" s="19" t="inlineStr">
        <is>
          <t>Round1</t>
        </is>
      </c>
      <c r="K170" s="22" t="inlineStr">
        <is>
          <t>+91 9920264452</t>
        </is>
      </c>
      <c r="L170" s="19" t="inlineStr">
        <is>
          <t>&lt;calendly_link&gt;</t>
        </is>
      </c>
      <c r="M170" s="19" t="n"/>
      <c r="N170" s="19" t="n"/>
      <c r="O170" s="19">
        <f>IF(OR(M170="Scheduled on call",M170="Booked on their behalf",N170="Scheduled on call",N170="Booked on their behalf"),"SCHEDULED (call)",IF(OR(M170="Not interested/Declined",N170="Not interested/Declined"),"DECLINED",IF(N170="Escalate to AM","ESCALATED TO LEAD",IF(E170="Ram is handling - no action","N/A",IF(M170="","PENDING CALL 1","IN PROGRESS")))))</f>
        <v/>
      </c>
      <c r="P170" s="19">
        <f>IF(OR('Ram - Digital ToDo'!O170="Scheduled",'Ram - Digital ToDo'!Q170="Scheduled"),"Scheduled within SLA (self-serve)",IF(OR(M170="Scheduled on call",M170="Booked on their behalf",N170="Scheduled on call",N170="Booked on their behalf"),"Scheduled within SLA (call)",IF(OR(M170="Not interested/Declined",N170="Not interested/Declined"),"Declined",IF(N170="Escalate to AM","SLA breach - unresolved","In progress"))))</f>
        <v/>
      </c>
      <c r="Q170" s="19" t="n"/>
    </row>
    <row r="171">
      <c r="A171" s="19" t="inlineStr">
        <is>
          <t>REQ-0170</t>
        </is>
      </c>
      <c r="B171" s="20" t="n">
        <v>44867.82708333333</v>
      </c>
      <c r="C171" s="20">
        <f>B171+1</f>
        <v/>
      </c>
      <c r="D171" s="21">
        <f>(C171-NOW())*24</f>
        <v/>
      </c>
      <c r="E171" s="19">
        <f>IF('Ram - Digital ToDo'!Q171="Escalate to call","CALL NOW",IF('Ram - Digital ToDo'!N171="Bad contact","CALL NOW (digital failed)","Ram is handling - no action"))</f>
        <v/>
      </c>
      <c r="F171" s="19">
        <f>IF(E171="Ram is handling - no action","No action needed",IF(M171="","CALL 1: ring candidate, offer to book on call (Playbook C1)",IF(OR(M171="Scheduled on call",M171="Booked on their behalf"),"DONE: scheduled on call",IF(M171="Not interested/Declined","CLOSED: candidate declined (log + tell lead)",IF(N171="","CALL 2: final attempt (Playbook C2)",IF(OR(N171="Scheduled on call",N171="Booked on their behalf"),"DONE: scheduled on call",IF(N171="Escalate to AM","ESCALATED TO LEAD","Review")))))))</f>
        <v/>
      </c>
      <c r="G171" s="20">
        <f>IF(E171="Ram is handling - no action","",IF(M171="",B171+6/24,IF(AND(M171&lt;&gt;"Scheduled on call",M171&lt;&gt;"Booked on their behalf",M171&lt;&gt;"Not interested/Declined",N171=""),B171+20/24,"")))</f>
        <v/>
      </c>
      <c r="H171" s="19" t="inlineStr">
        <is>
          <t>Chetan</t>
        </is>
      </c>
      <c r="I171" s="19" t="inlineStr">
        <is>
          <t>Google</t>
        </is>
      </c>
      <c r="J171" s="19" t="inlineStr">
        <is>
          <t>Round1</t>
        </is>
      </c>
      <c r="K171" s="22" t="inlineStr">
        <is>
          <t>+91 9920264452</t>
        </is>
      </c>
      <c r="L171" s="19" t="inlineStr">
        <is>
          <t>&lt;calendly_link&gt;</t>
        </is>
      </c>
      <c r="M171" s="19" t="n"/>
      <c r="N171" s="19" t="n"/>
      <c r="O171" s="19">
        <f>IF(OR(M171="Scheduled on call",M171="Booked on their behalf",N171="Scheduled on call",N171="Booked on their behalf"),"SCHEDULED (call)",IF(OR(M171="Not interested/Declined",N171="Not interested/Declined"),"DECLINED",IF(N171="Escalate to AM","ESCALATED TO LEAD",IF(E171="Ram is handling - no action","N/A",IF(M171="","PENDING CALL 1","IN PROGRESS")))))</f>
        <v/>
      </c>
      <c r="P171" s="19">
        <f>IF(OR('Ram - Digital ToDo'!O171="Scheduled",'Ram - Digital ToDo'!Q171="Scheduled"),"Scheduled within SLA (self-serve)",IF(OR(M171="Scheduled on call",M171="Booked on their behalf",N171="Scheduled on call",N171="Booked on their behalf"),"Scheduled within SLA (call)",IF(OR(M171="Not interested/Declined",N171="Not interested/Declined"),"Declined",IF(N171="Escalate to AM","SLA breach - unresolved","In progress"))))</f>
        <v/>
      </c>
      <c r="Q171" s="19" t="n"/>
    </row>
    <row r="172">
      <c r="A172" s="19" t="inlineStr">
        <is>
          <t>REQ-0171</t>
        </is>
      </c>
      <c r="B172" s="20" t="n">
        <v>44867.82708333333</v>
      </c>
      <c r="C172" s="20">
        <f>B172+1</f>
        <v/>
      </c>
      <c r="D172" s="21">
        <f>(C172-NOW())*24</f>
        <v/>
      </c>
      <c r="E172" s="19">
        <f>IF('Ram - Digital ToDo'!Q172="Escalate to call","CALL NOW",IF('Ram - Digital ToDo'!N172="Bad contact","CALL NOW (digital failed)","Ram is handling - no action"))</f>
        <v/>
      </c>
      <c r="F172" s="19">
        <f>IF(E172="Ram is handling - no action","No action needed",IF(M172="","CALL 1: ring candidate, offer to book on call (Playbook C1)",IF(OR(M172="Scheduled on call",M172="Booked on their behalf"),"DONE: scheduled on call",IF(M172="Not interested/Declined","CLOSED: candidate declined (log + tell lead)",IF(N172="","CALL 2: final attempt (Playbook C2)",IF(OR(N172="Scheduled on call",N172="Booked on their behalf"),"DONE: scheduled on call",IF(N172="Escalate to AM","ESCALATED TO LEAD","Review")))))))</f>
        <v/>
      </c>
      <c r="G172" s="20">
        <f>IF(E172="Ram is handling - no action","",IF(M172="",B172+6/24,IF(AND(M172&lt;&gt;"Scheduled on call",M172&lt;&gt;"Booked on their behalf",M172&lt;&gt;"Not interested/Declined",N172=""),B172+20/24,"")))</f>
        <v/>
      </c>
      <c r="H172" s="19" t="inlineStr">
        <is>
          <t>Chetan</t>
        </is>
      </c>
      <c r="I172" s="19" t="inlineStr">
        <is>
          <t>Google</t>
        </is>
      </c>
      <c r="J172" s="19" t="inlineStr">
        <is>
          <t>Round1</t>
        </is>
      </c>
      <c r="K172" s="22" t="inlineStr">
        <is>
          <t>+91 9920264452</t>
        </is>
      </c>
      <c r="L172" s="19" t="inlineStr">
        <is>
          <t>&lt;calendly_link&gt;</t>
        </is>
      </c>
      <c r="M172" s="19" t="n"/>
      <c r="N172" s="19" t="n"/>
      <c r="O172" s="19">
        <f>IF(OR(M172="Scheduled on call",M172="Booked on their behalf",N172="Scheduled on call",N172="Booked on their behalf"),"SCHEDULED (call)",IF(OR(M172="Not interested/Declined",N172="Not interested/Declined"),"DECLINED",IF(N172="Escalate to AM","ESCALATED TO LEAD",IF(E172="Ram is handling - no action","N/A",IF(M172="","PENDING CALL 1","IN PROGRESS")))))</f>
        <v/>
      </c>
      <c r="P172" s="19">
        <f>IF(OR('Ram - Digital ToDo'!O172="Scheduled",'Ram - Digital ToDo'!Q172="Scheduled"),"Scheduled within SLA (self-serve)",IF(OR(M172="Scheduled on call",M172="Booked on their behalf",N172="Scheduled on call",N172="Booked on their behalf"),"Scheduled within SLA (call)",IF(OR(M172="Not interested/Declined",N172="Not interested/Declined"),"Declined",IF(N172="Escalate to AM","SLA breach - unresolved","In progress"))))</f>
        <v/>
      </c>
      <c r="Q172" s="19" t="n"/>
    </row>
    <row r="173">
      <c r="A173" s="19" t="inlineStr">
        <is>
          <t>REQ-0172</t>
        </is>
      </c>
      <c r="B173" s="20" t="n">
        <v>44867.82708333333</v>
      </c>
      <c r="C173" s="20">
        <f>B173+1</f>
        <v/>
      </c>
      <c r="D173" s="21">
        <f>(C173-NOW())*24</f>
        <v/>
      </c>
      <c r="E173" s="19">
        <f>IF('Ram - Digital ToDo'!Q173="Escalate to call","CALL NOW",IF('Ram - Digital ToDo'!N173="Bad contact","CALL NOW (digital failed)","Ram is handling - no action"))</f>
        <v/>
      </c>
      <c r="F173" s="19">
        <f>IF(E173="Ram is handling - no action","No action needed",IF(M173="","CALL 1: ring candidate, offer to book on call (Playbook C1)",IF(OR(M173="Scheduled on call",M173="Booked on their behalf"),"DONE: scheduled on call",IF(M173="Not interested/Declined","CLOSED: candidate declined (log + tell lead)",IF(N173="","CALL 2: final attempt (Playbook C2)",IF(OR(N173="Scheduled on call",N173="Booked on their behalf"),"DONE: scheduled on call",IF(N173="Escalate to AM","ESCALATED TO LEAD","Review")))))))</f>
        <v/>
      </c>
      <c r="G173" s="20">
        <f>IF(E173="Ram is handling - no action","",IF(M173="",B173+6/24,IF(AND(M173&lt;&gt;"Scheduled on call",M173&lt;&gt;"Booked on their behalf",M173&lt;&gt;"Not interested/Declined",N173=""),B173+20/24,"")))</f>
        <v/>
      </c>
      <c r="H173" s="19" t="inlineStr">
        <is>
          <t>Chetan</t>
        </is>
      </c>
      <c r="I173" s="19" t="inlineStr">
        <is>
          <t>Google</t>
        </is>
      </c>
      <c r="J173" s="19" t="inlineStr">
        <is>
          <t>Round1</t>
        </is>
      </c>
      <c r="K173" s="22" t="inlineStr">
        <is>
          <t>+91 9920264452</t>
        </is>
      </c>
      <c r="L173" s="19" t="inlineStr">
        <is>
          <t>&lt;calendly_link&gt;</t>
        </is>
      </c>
      <c r="M173" s="19" t="n"/>
      <c r="N173" s="19" t="n"/>
      <c r="O173" s="19">
        <f>IF(OR(M173="Scheduled on call",M173="Booked on their behalf",N173="Scheduled on call",N173="Booked on their behalf"),"SCHEDULED (call)",IF(OR(M173="Not interested/Declined",N173="Not interested/Declined"),"DECLINED",IF(N173="Escalate to AM","ESCALATED TO LEAD",IF(E173="Ram is handling - no action","N/A",IF(M173="","PENDING CALL 1","IN PROGRESS")))))</f>
        <v/>
      </c>
      <c r="P173" s="19">
        <f>IF(OR('Ram - Digital ToDo'!O173="Scheduled",'Ram - Digital ToDo'!Q173="Scheduled"),"Scheduled within SLA (self-serve)",IF(OR(M173="Scheduled on call",M173="Booked on their behalf",N173="Scheduled on call",N173="Booked on their behalf"),"Scheduled within SLA (call)",IF(OR(M173="Not interested/Declined",N173="Not interested/Declined"),"Declined",IF(N173="Escalate to AM","SLA breach - unresolved","In progress"))))</f>
        <v/>
      </c>
      <c r="Q173" s="19" t="n"/>
    </row>
    <row r="174">
      <c r="A174" s="19" t="inlineStr">
        <is>
          <t>REQ-0173</t>
        </is>
      </c>
      <c r="B174" s="20" t="n">
        <v>44867.82708333333</v>
      </c>
      <c r="C174" s="20">
        <f>B174+1</f>
        <v/>
      </c>
      <c r="D174" s="21">
        <f>(C174-NOW())*24</f>
        <v/>
      </c>
      <c r="E174" s="19">
        <f>IF('Ram - Digital ToDo'!Q174="Escalate to call","CALL NOW",IF('Ram - Digital ToDo'!N174="Bad contact","CALL NOW (digital failed)","Ram is handling - no action"))</f>
        <v/>
      </c>
      <c r="F174" s="19">
        <f>IF(E174="Ram is handling - no action","No action needed",IF(M174="","CALL 1: ring candidate, offer to book on call (Playbook C1)",IF(OR(M174="Scheduled on call",M174="Booked on their behalf"),"DONE: scheduled on call",IF(M174="Not interested/Declined","CLOSED: candidate declined (log + tell lead)",IF(N174="","CALL 2: final attempt (Playbook C2)",IF(OR(N174="Scheduled on call",N174="Booked on their behalf"),"DONE: scheduled on call",IF(N174="Escalate to AM","ESCALATED TO LEAD","Review")))))))</f>
        <v/>
      </c>
      <c r="G174" s="20">
        <f>IF(E174="Ram is handling - no action","",IF(M174="",B174+6/24,IF(AND(M174&lt;&gt;"Scheduled on call",M174&lt;&gt;"Booked on their behalf",M174&lt;&gt;"Not interested/Declined",N174=""),B174+20/24,"")))</f>
        <v/>
      </c>
      <c r="H174" s="19" t="inlineStr">
        <is>
          <t>Chetan</t>
        </is>
      </c>
      <c r="I174" s="19" t="inlineStr">
        <is>
          <t>Google</t>
        </is>
      </c>
      <c r="J174" s="19" t="inlineStr">
        <is>
          <t>Round1</t>
        </is>
      </c>
      <c r="K174" s="22" t="inlineStr">
        <is>
          <t>+91 9920264452</t>
        </is>
      </c>
      <c r="L174" s="19" t="inlineStr">
        <is>
          <t>&lt;calendly_link&gt;</t>
        </is>
      </c>
      <c r="M174" s="19" t="n"/>
      <c r="N174" s="19" t="n"/>
      <c r="O174" s="19">
        <f>IF(OR(M174="Scheduled on call",M174="Booked on their behalf",N174="Scheduled on call",N174="Booked on their behalf"),"SCHEDULED (call)",IF(OR(M174="Not interested/Declined",N174="Not interested/Declined"),"DECLINED",IF(N174="Escalate to AM","ESCALATED TO LEAD",IF(E174="Ram is handling - no action","N/A",IF(M174="","PENDING CALL 1","IN PROGRESS")))))</f>
        <v/>
      </c>
      <c r="P174" s="19">
        <f>IF(OR('Ram - Digital ToDo'!O174="Scheduled",'Ram - Digital ToDo'!Q174="Scheduled"),"Scheduled within SLA (self-serve)",IF(OR(M174="Scheduled on call",M174="Booked on their behalf",N174="Scheduled on call",N174="Booked on their behalf"),"Scheduled within SLA (call)",IF(OR(M174="Not interested/Declined",N174="Not interested/Declined"),"Declined",IF(N174="Escalate to AM","SLA breach - unresolved","In progress"))))</f>
        <v/>
      </c>
      <c r="Q174" s="19" t="n"/>
    </row>
    <row r="175">
      <c r="A175" s="19" t="inlineStr">
        <is>
          <t>REQ-0174</t>
        </is>
      </c>
      <c r="B175" s="20" t="n">
        <v>44867.82708333333</v>
      </c>
      <c r="C175" s="20">
        <f>B175+1</f>
        <v/>
      </c>
      <c r="D175" s="21">
        <f>(C175-NOW())*24</f>
        <v/>
      </c>
      <c r="E175" s="19">
        <f>IF('Ram - Digital ToDo'!Q175="Escalate to call","CALL NOW",IF('Ram - Digital ToDo'!N175="Bad contact","CALL NOW (digital failed)","Ram is handling - no action"))</f>
        <v/>
      </c>
      <c r="F175" s="19">
        <f>IF(E175="Ram is handling - no action","No action needed",IF(M175="","CALL 1: ring candidate, offer to book on call (Playbook C1)",IF(OR(M175="Scheduled on call",M175="Booked on their behalf"),"DONE: scheduled on call",IF(M175="Not interested/Declined","CLOSED: candidate declined (log + tell lead)",IF(N175="","CALL 2: final attempt (Playbook C2)",IF(OR(N175="Scheduled on call",N175="Booked on their behalf"),"DONE: scheduled on call",IF(N175="Escalate to AM","ESCALATED TO LEAD","Review")))))))</f>
        <v/>
      </c>
      <c r="G175" s="20">
        <f>IF(E175="Ram is handling - no action","",IF(M175="",B175+6/24,IF(AND(M175&lt;&gt;"Scheduled on call",M175&lt;&gt;"Booked on their behalf",M175&lt;&gt;"Not interested/Declined",N175=""),B175+20/24,"")))</f>
        <v/>
      </c>
      <c r="H175" s="19" t="inlineStr">
        <is>
          <t>Chetan</t>
        </is>
      </c>
      <c r="I175" s="19" t="inlineStr">
        <is>
          <t>Google</t>
        </is>
      </c>
      <c r="J175" s="19" t="inlineStr">
        <is>
          <t>Round1</t>
        </is>
      </c>
      <c r="K175" s="22" t="inlineStr">
        <is>
          <t>+91 9920264452</t>
        </is>
      </c>
      <c r="L175" s="19" t="inlineStr">
        <is>
          <t>&lt;calendly_link&gt;</t>
        </is>
      </c>
      <c r="M175" s="19" t="n"/>
      <c r="N175" s="19" t="n"/>
      <c r="O175" s="19">
        <f>IF(OR(M175="Scheduled on call",M175="Booked on their behalf",N175="Scheduled on call",N175="Booked on their behalf"),"SCHEDULED (call)",IF(OR(M175="Not interested/Declined",N175="Not interested/Declined"),"DECLINED",IF(N175="Escalate to AM","ESCALATED TO LEAD",IF(E175="Ram is handling - no action","N/A",IF(M175="","PENDING CALL 1","IN PROGRESS")))))</f>
        <v/>
      </c>
      <c r="P175" s="19">
        <f>IF(OR('Ram - Digital ToDo'!O175="Scheduled",'Ram - Digital ToDo'!Q175="Scheduled"),"Scheduled within SLA (self-serve)",IF(OR(M175="Scheduled on call",M175="Booked on their behalf",N175="Scheduled on call",N175="Booked on their behalf"),"Scheduled within SLA (call)",IF(OR(M175="Not interested/Declined",N175="Not interested/Declined"),"Declined",IF(N175="Escalate to AM","SLA breach - unresolved","In progress"))))</f>
        <v/>
      </c>
      <c r="Q175" s="19" t="n"/>
    </row>
    <row r="176">
      <c r="A176" s="19" t="inlineStr">
        <is>
          <t>REQ-0175</t>
        </is>
      </c>
      <c r="B176" s="20" t="n">
        <v>44867.82708333333</v>
      </c>
      <c r="C176" s="20">
        <f>B176+1</f>
        <v/>
      </c>
      <c r="D176" s="21">
        <f>(C176-NOW())*24</f>
        <v/>
      </c>
      <c r="E176" s="19">
        <f>IF('Ram - Digital ToDo'!Q176="Escalate to call","CALL NOW",IF('Ram - Digital ToDo'!N176="Bad contact","CALL NOW (digital failed)","Ram is handling - no action"))</f>
        <v/>
      </c>
      <c r="F176" s="19">
        <f>IF(E176="Ram is handling - no action","No action needed",IF(M176="","CALL 1: ring candidate, offer to book on call (Playbook C1)",IF(OR(M176="Scheduled on call",M176="Booked on their behalf"),"DONE: scheduled on call",IF(M176="Not interested/Declined","CLOSED: candidate declined (log + tell lead)",IF(N176="","CALL 2: final attempt (Playbook C2)",IF(OR(N176="Scheduled on call",N176="Booked on their behalf"),"DONE: scheduled on call",IF(N176="Escalate to AM","ESCALATED TO LEAD","Review")))))))</f>
        <v/>
      </c>
      <c r="G176" s="20">
        <f>IF(E176="Ram is handling - no action","",IF(M176="",B176+6/24,IF(AND(M176&lt;&gt;"Scheduled on call",M176&lt;&gt;"Booked on their behalf",M176&lt;&gt;"Not interested/Declined",N176=""),B176+20/24,"")))</f>
        <v/>
      </c>
      <c r="H176" s="19" t="inlineStr">
        <is>
          <t>Chetan</t>
        </is>
      </c>
      <c r="I176" s="19" t="inlineStr">
        <is>
          <t>Google</t>
        </is>
      </c>
      <c r="J176" s="19" t="inlineStr">
        <is>
          <t>Round1</t>
        </is>
      </c>
      <c r="K176" s="22" t="inlineStr">
        <is>
          <t>+91 9920264452</t>
        </is>
      </c>
      <c r="L176" s="19" t="inlineStr">
        <is>
          <t>&lt;calendly_link&gt;</t>
        </is>
      </c>
      <c r="M176" s="19" t="n"/>
      <c r="N176" s="19" t="n"/>
      <c r="O176" s="19">
        <f>IF(OR(M176="Scheduled on call",M176="Booked on their behalf",N176="Scheduled on call",N176="Booked on their behalf"),"SCHEDULED (call)",IF(OR(M176="Not interested/Declined",N176="Not interested/Declined"),"DECLINED",IF(N176="Escalate to AM","ESCALATED TO LEAD",IF(E176="Ram is handling - no action","N/A",IF(M176="","PENDING CALL 1","IN PROGRESS")))))</f>
        <v/>
      </c>
      <c r="P176" s="19">
        <f>IF(OR('Ram - Digital ToDo'!O176="Scheduled",'Ram - Digital ToDo'!Q176="Scheduled"),"Scheduled within SLA (self-serve)",IF(OR(M176="Scheduled on call",M176="Booked on their behalf",N176="Scheduled on call",N176="Booked on their behalf"),"Scheduled within SLA (call)",IF(OR(M176="Not interested/Declined",N176="Not interested/Declined"),"Declined",IF(N176="Escalate to AM","SLA breach - unresolved","In progress"))))</f>
        <v/>
      </c>
      <c r="Q176" s="19" t="n"/>
    </row>
    <row r="177">
      <c r="A177" s="19" t="inlineStr">
        <is>
          <t>REQ-0176</t>
        </is>
      </c>
      <c r="B177" s="20" t="n">
        <v>44867.82708333333</v>
      </c>
      <c r="C177" s="20">
        <f>B177+1</f>
        <v/>
      </c>
      <c r="D177" s="21">
        <f>(C177-NOW())*24</f>
        <v/>
      </c>
      <c r="E177" s="19">
        <f>IF('Ram - Digital ToDo'!Q177="Escalate to call","CALL NOW",IF('Ram - Digital ToDo'!N177="Bad contact","CALL NOW (digital failed)","Ram is handling - no action"))</f>
        <v/>
      </c>
      <c r="F177" s="19">
        <f>IF(E177="Ram is handling - no action","No action needed",IF(M177="","CALL 1: ring candidate, offer to book on call (Playbook C1)",IF(OR(M177="Scheduled on call",M177="Booked on their behalf"),"DONE: scheduled on call",IF(M177="Not interested/Declined","CLOSED: candidate declined (log + tell lead)",IF(N177="","CALL 2: final attempt (Playbook C2)",IF(OR(N177="Scheduled on call",N177="Booked on their behalf"),"DONE: scheduled on call",IF(N177="Escalate to AM","ESCALATED TO LEAD","Review")))))))</f>
        <v/>
      </c>
      <c r="G177" s="20">
        <f>IF(E177="Ram is handling - no action","",IF(M177="",B177+6/24,IF(AND(M177&lt;&gt;"Scheduled on call",M177&lt;&gt;"Booked on their behalf",M177&lt;&gt;"Not interested/Declined",N177=""),B177+20/24,"")))</f>
        <v/>
      </c>
      <c r="H177" s="19" t="inlineStr">
        <is>
          <t>Chetan</t>
        </is>
      </c>
      <c r="I177" s="19" t="inlineStr">
        <is>
          <t>Google</t>
        </is>
      </c>
      <c r="J177" s="19" t="inlineStr">
        <is>
          <t>Round1</t>
        </is>
      </c>
      <c r="K177" s="22" t="inlineStr">
        <is>
          <t>+91 9920264452</t>
        </is>
      </c>
      <c r="L177" s="19" t="inlineStr">
        <is>
          <t>&lt;calendly_link&gt;</t>
        </is>
      </c>
      <c r="M177" s="19" t="n"/>
      <c r="N177" s="19" t="n"/>
      <c r="O177" s="19">
        <f>IF(OR(M177="Scheduled on call",M177="Booked on their behalf",N177="Scheduled on call",N177="Booked on their behalf"),"SCHEDULED (call)",IF(OR(M177="Not interested/Declined",N177="Not interested/Declined"),"DECLINED",IF(N177="Escalate to AM","ESCALATED TO LEAD",IF(E177="Ram is handling - no action","N/A",IF(M177="","PENDING CALL 1","IN PROGRESS")))))</f>
        <v/>
      </c>
      <c r="P177" s="19">
        <f>IF(OR('Ram - Digital ToDo'!O177="Scheduled",'Ram - Digital ToDo'!Q177="Scheduled"),"Scheduled within SLA (self-serve)",IF(OR(M177="Scheduled on call",M177="Booked on their behalf",N177="Scheduled on call",N177="Booked on their behalf"),"Scheduled within SLA (call)",IF(OR(M177="Not interested/Declined",N177="Not interested/Declined"),"Declined",IF(N177="Escalate to AM","SLA breach - unresolved","In progress"))))</f>
        <v/>
      </c>
      <c r="Q177" s="19" t="n"/>
    </row>
    <row r="178">
      <c r="A178" s="19" t="inlineStr">
        <is>
          <t>REQ-0177</t>
        </is>
      </c>
      <c r="B178" s="20" t="n">
        <v>44867.82708333333</v>
      </c>
      <c r="C178" s="20">
        <f>B178+1</f>
        <v/>
      </c>
      <c r="D178" s="21">
        <f>(C178-NOW())*24</f>
        <v/>
      </c>
      <c r="E178" s="19">
        <f>IF('Ram - Digital ToDo'!Q178="Escalate to call","CALL NOW",IF('Ram - Digital ToDo'!N178="Bad contact","CALL NOW (digital failed)","Ram is handling - no action"))</f>
        <v/>
      </c>
      <c r="F178" s="19">
        <f>IF(E178="Ram is handling - no action","No action needed",IF(M178="","CALL 1: ring candidate, offer to book on call (Playbook C1)",IF(OR(M178="Scheduled on call",M178="Booked on their behalf"),"DONE: scheduled on call",IF(M178="Not interested/Declined","CLOSED: candidate declined (log + tell lead)",IF(N178="","CALL 2: final attempt (Playbook C2)",IF(OR(N178="Scheduled on call",N178="Booked on their behalf"),"DONE: scheduled on call",IF(N178="Escalate to AM","ESCALATED TO LEAD","Review")))))))</f>
        <v/>
      </c>
      <c r="G178" s="20">
        <f>IF(E178="Ram is handling - no action","",IF(M178="",B178+6/24,IF(AND(M178&lt;&gt;"Scheduled on call",M178&lt;&gt;"Booked on their behalf",M178&lt;&gt;"Not interested/Declined",N178=""),B178+20/24,"")))</f>
        <v/>
      </c>
      <c r="H178" s="19" t="inlineStr">
        <is>
          <t>Chetan</t>
        </is>
      </c>
      <c r="I178" s="19" t="inlineStr">
        <is>
          <t>Google</t>
        </is>
      </c>
      <c r="J178" s="19" t="inlineStr">
        <is>
          <t>Round1</t>
        </is>
      </c>
      <c r="K178" s="22" t="inlineStr">
        <is>
          <t>+91 9920264452</t>
        </is>
      </c>
      <c r="L178" s="19" t="inlineStr">
        <is>
          <t>&lt;calendly_link&gt;</t>
        </is>
      </c>
      <c r="M178" s="19" t="n"/>
      <c r="N178" s="19" t="n"/>
      <c r="O178" s="19">
        <f>IF(OR(M178="Scheduled on call",M178="Booked on their behalf",N178="Scheduled on call",N178="Booked on their behalf"),"SCHEDULED (call)",IF(OR(M178="Not interested/Declined",N178="Not interested/Declined"),"DECLINED",IF(N178="Escalate to AM","ESCALATED TO LEAD",IF(E178="Ram is handling - no action","N/A",IF(M178="","PENDING CALL 1","IN PROGRESS")))))</f>
        <v/>
      </c>
      <c r="P178" s="19">
        <f>IF(OR('Ram - Digital ToDo'!O178="Scheduled",'Ram - Digital ToDo'!Q178="Scheduled"),"Scheduled within SLA (self-serve)",IF(OR(M178="Scheduled on call",M178="Booked on their behalf",N178="Scheduled on call",N178="Booked on their behalf"),"Scheduled within SLA (call)",IF(OR(M178="Not interested/Declined",N178="Not interested/Declined"),"Declined",IF(N178="Escalate to AM","SLA breach - unresolved","In progress"))))</f>
        <v/>
      </c>
      <c r="Q178" s="19" t="n"/>
    </row>
    <row r="179">
      <c r="A179" s="19" t="inlineStr">
        <is>
          <t>REQ-0178</t>
        </is>
      </c>
      <c r="B179" s="20" t="n">
        <v>44867.82708333333</v>
      </c>
      <c r="C179" s="20">
        <f>B179+1</f>
        <v/>
      </c>
      <c r="D179" s="21">
        <f>(C179-NOW())*24</f>
        <v/>
      </c>
      <c r="E179" s="19">
        <f>IF('Ram - Digital ToDo'!Q179="Escalate to call","CALL NOW",IF('Ram - Digital ToDo'!N179="Bad contact","CALL NOW (digital failed)","Ram is handling - no action"))</f>
        <v/>
      </c>
      <c r="F179" s="19">
        <f>IF(E179="Ram is handling - no action","No action needed",IF(M179="","CALL 1: ring candidate, offer to book on call (Playbook C1)",IF(OR(M179="Scheduled on call",M179="Booked on their behalf"),"DONE: scheduled on call",IF(M179="Not interested/Declined","CLOSED: candidate declined (log + tell lead)",IF(N179="","CALL 2: final attempt (Playbook C2)",IF(OR(N179="Scheduled on call",N179="Booked on their behalf"),"DONE: scheduled on call",IF(N179="Escalate to AM","ESCALATED TO LEAD","Review")))))))</f>
        <v/>
      </c>
      <c r="G179" s="20">
        <f>IF(E179="Ram is handling - no action","",IF(M179="",B179+6/24,IF(AND(M179&lt;&gt;"Scheduled on call",M179&lt;&gt;"Booked on their behalf",M179&lt;&gt;"Not interested/Declined",N179=""),B179+20/24,"")))</f>
        <v/>
      </c>
      <c r="H179" s="19" t="inlineStr">
        <is>
          <t>Chetan</t>
        </is>
      </c>
      <c r="I179" s="19" t="inlineStr">
        <is>
          <t>Google</t>
        </is>
      </c>
      <c r="J179" s="19" t="inlineStr">
        <is>
          <t>Round1</t>
        </is>
      </c>
      <c r="K179" s="22" t="inlineStr">
        <is>
          <t>+91 9920264452</t>
        </is>
      </c>
      <c r="L179" s="19" t="inlineStr">
        <is>
          <t>&lt;calendly_link&gt;</t>
        </is>
      </c>
      <c r="M179" s="19" t="n"/>
      <c r="N179" s="19" t="n"/>
      <c r="O179" s="19">
        <f>IF(OR(M179="Scheduled on call",M179="Booked on their behalf",N179="Scheduled on call",N179="Booked on their behalf"),"SCHEDULED (call)",IF(OR(M179="Not interested/Declined",N179="Not interested/Declined"),"DECLINED",IF(N179="Escalate to AM","ESCALATED TO LEAD",IF(E179="Ram is handling - no action","N/A",IF(M179="","PENDING CALL 1","IN PROGRESS")))))</f>
        <v/>
      </c>
      <c r="P179" s="19">
        <f>IF(OR('Ram - Digital ToDo'!O179="Scheduled",'Ram - Digital ToDo'!Q179="Scheduled"),"Scheduled within SLA (self-serve)",IF(OR(M179="Scheduled on call",M179="Booked on their behalf",N179="Scheduled on call",N179="Booked on their behalf"),"Scheduled within SLA (call)",IF(OR(M179="Not interested/Declined",N179="Not interested/Declined"),"Declined",IF(N179="Escalate to AM","SLA breach - unresolved","In progress"))))</f>
        <v/>
      </c>
      <c r="Q179" s="19" t="n"/>
    </row>
    <row r="180">
      <c r="A180" s="19" t="inlineStr">
        <is>
          <t>REQ-0179</t>
        </is>
      </c>
      <c r="B180" s="20" t="n">
        <v>44867.82708333333</v>
      </c>
      <c r="C180" s="20">
        <f>B180+1</f>
        <v/>
      </c>
      <c r="D180" s="21">
        <f>(C180-NOW())*24</f>
        <v/>
      </c>
      <c r="E180" s="19">
        <f>IF('Ram - Digital ToDo'!Q180="Escalate to call","CALL NOW",IF('Ram - Digital ToDo'!N180="Bad contact","CALL NOW (digital failed)","Ram is handling - no action"))</f>
        <v/>
      </c>
      <c r="F180" s="19">
        <f>IF(E180="Ram is handling - no action","No action needed",IF(M180="","CALL 1: ring candidate, offer to book on call (Playbook C1)",IF(OR(M180="Scheduled on call",M180="Booked on their behalf"),"DONE: scheduled on call",IF(M180="Not interested/Declined","CLOSED: candidate declined (log + tell lead)",IF(N180="","CALL 2: final attempt (Playbook C2)",IF(OR(N180="Scheduled on call",N180="Booked on their behalf"),"DONE: scheduled on call",IF(N180="Escalate to AM","ESCALATED TO LEAD","Review")))))))</f>
        <v/>
      </c>
      <c r="G180" s="20">
        <f>IF(E180="Ram is handling - no action","",IF(M180="",B180+6/24,IF(AND(M180&lt;&gt;"Scheduled on call",M180&lt;&gt;"Booked on their behalf",M180&lt;&gt;"Not interested/Declined",N180=""),B180+20/24,"")))</f>
        <v/>
      </c>
      <c r="H180" s="19" t="inlineStr">
        <is>
          <t>Chetan</t>
        </is>
      </c>
      <c r="I180" s="19" t="inlineStr">
        <is>
          <t>Google</t>
        </is>
      </c>
      <c r="J180" s="19" t="inlineStr">
        <is>
          <t>Round1</t>
        </is>
      </c>
      <c r="K180" s="22" t="inlineStr">
        <is>
          <t>+91 9920264452</t>
        </is>
      </c>
      <c r="L180" s="19" t="inlineStr">
        <is>
          <t>&lt;calendly_link&gt;</t>
        </is>
      </c>
      <c r="M180" s="19" t="n"/>
      <c r="N180" s="19" t="n"/>
      <c r="O180" s="19">
        <f>IF(OR(M180="Scheduled on call",M180="Booked on their behalf",N180="Scheduled on call",N180="Booked on their behalf"),"SCHEDULED (call)",IF(OR(M180="Not interested/Declined",N180="Not interested/Declined"),"DECLINED",IF(N180="Escalate to AM","ESCALATED TO LEAD",IF(E180="Ram is handling - no action","N/A",IF(M180="","PENDING CALL 1","IN PROGRESS")))))</f>
        <v/>
      </c>
      <c r="P180" s="19">
        <f>IF(OR('Ram - Digital ToDo'!O180="Scheduled",'Ram - Digital ToDo'!Q180="Scheduled"),"Scheduled within SLA (self-serve)",IF(OR(M180="Scheduled on call",M180="Booked on their behalf",N180="Scheduled on call",N180="Booked on their behalf"),"Scheduled within SLA (call)",IF(OR(M180="Not interested/Declined",N180="Not interested/Declined"),"Declined",IF(N180="Escalate to AM","SLA breach - unresolved","In progress"))))</f>
        <v/>
      </c>
      <c r="Q180" s="19" t="n"/>
    </row>
    <row r="181">
      <c r="A181" s="19" t="inlineStr">
        <is>
          <t>REQ-0180</t>
        </is>
      </c>
      <c r="B181" s="20" t="n">
        <v>44867.82708333333</v>
      </c>
      <c r="C181" s="20">
        <f>B181+1</f>
        <v/>
      </c>
      <c r="D181" s="21">
        <f>(C181-NOW())*24</f>
        <v/>
      </c>
      <c r="E181" s="19">
        <f>IF('Ram - Digital ToDo'!Q181="Escalate to call","CALL NOW",IF('Ram - Digital ToDo'!N181="Bad contact","CALL NOW (digital failed)","Ram is handling - no action"))</f>
        <v/>
      </c>
      <c r="F181" s="19">
        <f>IF(E181="Ram is handling - no action","No action needed",IF(M181="","CALL 1: ring candidate, offer to book on call (Playbook C1)",IF(OR(M181="Scheduled on call",M181="Booked on their behalf"),"DONE: scheduled on call",IF(M181="Not interested/Declined","CLOSED: candidate declined (log + tell lead)",IF(N181="","CALL 2: final attempt (Playbook C2)",IF(OR(N181="Scheduled on call",N181="Booked on their behalf"),"DONE: scheduled on call",IF(N181="Escalate to AM","ESCALATED TO LEAD","Review")))))))</f>
        <v/>
      </c>
      <c r="G181" s="20">
        <f>IF(E181="Ram is handling - no action","",IF(M181="",B181+6/24,IF(AND(M181&lt;&gt;"Scheduled on call",M181&lt;&gt;"Booked on their behalf",M181&lt;&gt;"Not interested/Declined",N181=""),B181+20/24,"")))</f>
        <v/>
      </c>
      <c r="H181" s="19" t="inlineStr">
        <is>
          <t>Chetan</t>
        </is>
      </c>
      <c r="I181" s="19" t="inlineStr">
        <is>
          <t>Google</t>
        </is>
      </c>
      <c r="J181" s="19" t="inlineStr">
        <is>
          <t>Round1</t>
        </is>
      </c>
      <c r="K181" s="22" t="inlineStr">
        <is>
          <t>+91 9920264452</t>
        </is>
      </c>
      <c r="L181" s="19" t="inlineStr">
        <is>
          <t>&lt;calendly_link&gt;</t>
        </is>
      </c>
      <c r="M181" s="19" t="n"/>
      <c r="N181" s="19" t="n"/>
      <c r="O181" s="19">
        <f>IF(OR(M181="Scheduled on call",M181="Booked on their behalf",N181="Scheduled on call",N181="Booked on their behalf"),"SCHEDULED (call)",IF(OR(M181="Not interested/Declined",N181="Not interested/Declined"),"DECLINED",IF(N181="Escalate to AM","ESCALATED TO LEAD",IF(E181="Ram is handling - no action","N/A",IF(M181="","PENDING CALL 1","IN PROGRESS")))))</f>
        <v/>
      </c>
      <c r="P181" s="19">
        <f>IF(OR('Ram - Digital ToDo'!O181="Scheduled",'Ram - Digital ToDo'!Q181="Scheduled"),"Scheduled within SLA (self-serve)",IF(OR(M181="Scheduled on call",M181="Booked on their behalf",N181="Scheduled on call",N181="Booked on their behalf"),"Scheduled within SLA (call)",IF(OR(M181="Not interested/Declined",N181="Not interested/Declined"),"Declined",IF(N181="Escalate to AM","SLA breach - unresolved","In progress"))))</f>
        <v/>
      </c>
      <c r="Q181" s="19" t="n"/>
    </row>
    <row r="182">
      <c r="A182" s="19" t="inlineStr">
        <is>
          <t>REQ-0181</t>
        </is>
      </c>
      <c r="B182" s="20" t="n">
        <v>44867.82708333333</v>
      </c>
      <c r="C182" s="20">
        <f>B182+1</f>
        <v/>
      </c>
      <c r="D182" s="21">
        <f>(C182-NOW())*24</f>
        <v/>
      </c>
      <c r="E182" s="19">
        <f>IF('Ram - Digital ToDo'!Q182="Escalate to call","CALL NOW",IF('Ram - Digital ToDo'!N182="Bad contact","CALL NOW (digital failed)","Ram is handling - no action"))</f>
        <v/>
      </c>
      <c r="F182" s="19">
        <f>IF(E182="Ram is handling - no action","No action needed",IF(M182="","CALL 1: ring candidate, offer to book on call (Playbook C1)",IF(OR(M182="Scheduled on call",M182="Booked on their behalf"),"DONE: scheduled on call",IF(M182="Not interested/Declined","CLOSED: candidate declined (log + tell lead)",IF(N182="","CALL 2: final attempt (Playbook C2)",IF(OR(N182="Scheduled on call",N182="Booked on their behalf"),"DONE: scheduled on call",IF(N182="Escalate to AM","ESCALATED TO LEAD","Review")))))))</f>
        <v/>
      </c>
      <c r="G182" s="20">
        <f>IF(E182="Ram is handling - no action","",IF(M182="",B182+6/24,IF(AND(M182&lt;&gt;"Scheduled on call",M182&lt;&gt;"Booked on their behalf",M182&lt;&gt;"Not interested/Declined",N182=""),B182+20/24,"")))</f>
        <v/>
      </c>
      <c r="H182" s="19" t="inlineStr">
        <is>
          <t>Chetan</t>
        </is>
      </c>
      <c r="I182" s="19" t="inlineStr">
        <is>
          <t>Google</t>
        </is>
      </c>
      <c r="J182" s="19" t="inlineStr">
        <is>
          <t>Round1</t>
        </is>
      </c>
      <c r="K182" s="22" t="inlineStr">
        <is>
          <t>+91 9920264452</t>
        </is>
      </c>
      <c r="L182" s="19" t="inlineStr">
        <is>
          <t>&lt;calendly_link&gt;</t>
        </is>
      </c>
      <c r="M182" s="19" t="n"/>
      <c r="N182" s="19" t="n"/>
      <c r="O182" s="19">
        <f>IF(OR(M182="Scheduled on call",M182="Booked on their behalf",N182="Scheduled on call",N182="Booked on their behalf"),"SCHEDULED (call)",IF(OR(M182="Not interested/Declined",N182="Not interested/Declined"),"DECLINED",IF(N182="Escalate to AM","ESCALATED TO LEAD",IF(E182="Ram is handling - no action","N/A",IF(M182="","PENDING CALL 1","IN PROGRESS")))))</f>
        <v/>
      </c>
      <c r="P182" s="19">
        <f>IF(OR('Ram - Digital ToDo'!O182="Scheduled",'Ram - Digital ToDo'!Q182="Scheduled"),"Scheduled within SLA (self-serve)",IF(OR(M182="Scheduled on call",M182="Booked on their behalf",N182="Scheduled on call",N182="Booked on their behalf"),"Scheduled within SLA (call)",IF(OR(M182="Not interested/Declined",N182="Not interested/Declined"),"Declined",IF(N182="Escalate to AM","SLA breach - unresolved","In progress"))))</f>
        <v/>
      </c>
      <c r="Q182" s="19" t="n"/>
    </row>
    <row r="183">
      <c r="A183" s="19" t="inlineStr">
        <is>
          <t>REQ-0182</t>
        </is>
      </c>
      <c r="B183" s="20" t="n">
        <v>44867.82708333333</v>
      </c>
      <c r="C183" s="20">
        <f>B183+1</f>
        <v/>
      </c>
      <c r="D183" s="21">
        <f>(C183-NOW())*24</f>
        <v/>
      </c>
      <c r="E183" s="19">
        <f>IF('Ram - Digital ToDo'!Q183="Escalate to call","CALL NOW",IF('Ram - Digital ToDo'!N183="Bad contact","CALL NOW (digital failed)","Ram is handling - no action"))</f>
        <v/>
      </c>
      <c r="F183" s="19">
        <f>IF(E183="Ram is handling - no action","No action needed",IF(M183="","CALL 1: ring candidate, offer to book on call (Playbook C1)",IF(OR(M183="Scheduled on call",M183="Booked on their behalf"),"DONE: scheduled on call",IF(M183="Not interested/Declined","CLOSED: candidate declined (log + tell lead)",IF(N183="","CALL 2: final attempt (Playbook C2)",IF(OR(N183="Scheduled on call",N183="Booked on their behalf"),"DONE: scheduled on call",IF(N183="Escalate to AM","ESCALATED TO LEAD","Review")))))))</f>
        <v/>
      </c>
      <c r="G183" s="20">
        <f>IF(E183="Ram is handling - no action","",IF(M183="",B183+6/24,IF(AND(M183&lt;&gt;"Scheduled on call",M183&lt;&gt;"Booked on their behalf",M183&lt;&gt;"Not interested/Declined",N183=""),B183+20/24,"")))</f>
        <v/>
      </c>
      <c r="H183" s="19" t="inlineStr">
        <is>
          <t>Chetan</t>
        </is>
      </c>
      <c r="I183" s="19" t="inlineStr">
        <is>
          <t>Google</t>
        </is>
      </c>
      <c r="J183" s="19" t="inlineStr">
        <is>
          <t>Round1</t>
        </is>
      </c>
      <c r="K183" s="22" t="inlineStr">
        <is>
          <t>+91 9920264452</t>
        </is>
      </c>
      <c r="L183" s="19" t="inlineStr">
        <is>
          <t>&lt;calendly_link&gt;</t>
        </is>
      </c>
      <c r="M183" s="19" t="n"/>
      <c r="N183" s="19" t="n"/>
      <c r="O183" s="19">
        <f>IF(OR(M183="Scheduled on call",M183="Booked on their behalf",N183="Scheduled on call",N183="Booked on their behalf"),"SCHEDULED (call)",IF(OR(M183="Not interested/Declined",N183="Not interested/Declined"),"DECLINED",IF(N183="Escalate to AM","ESCALATED TO LEAD",IF(E183="Ram is handling - no action","N/A",IF(M183="","PENDING CALL 1","IN PROGRESS")))))</f>
        <v/>
      </c>
      <c r="P183" s="19">
        <f>IF(OR('Ram - Digital ToDo'!O183="Scheduled",'Ram - Digital ToDo'!Q183="Scheduled"),"Scheduled within SLA (self-serve)",IF(OR(M183="Scheduled on call",M183="Booked on their behalf",N183="Scheduled on call",N183="Booked on their behalf"),"Scheduled within SLA (call)",IF(OR(M183="Not interested/Declined",N183="Not interested/Declined"),"Declined",IF(N183="Escalate to AM","SLA breach - unresolved","In progress"))))</f>
        <v/>
      </c>
      <c r="Q183" s="19" t="n"/>
    </row>
    <row r="184">
      <c r="A184" s="19" t="inlineStr">
        <is>
          <t>REQ-0183</t>
        </is>
      </c>
      <c r="B184" s="20" t="n">
        <v>44867.82708333333</v>
      </c>
      <c r="C184" s="20">
        <f>B184+1</f>
        <v/>
      </c>
      <c r="D184" s="21">
        <f>(C184-NOW())*24</f>
        <v/>
      </c>
      <c r="E184" s="19">
        <f>IF('Ram - Digital ToDo'!Q184="Escalate to call","CALL NOW",IF('Ram - Digital ToDo'!N184="Bad contact","CALL NOW (digital failed)","Ram is handling - no action"))</f>
        <v/>
      </c>
      <c r="F184" s="19">
        <f>IF(E184="Ram is handling - no action","No action needed",IF(M184="","CALL 1: ring candidate, offer to book on call (Playbook C1)",IF(OR(M184="Scheduled on call",M184="Booked on their behalf"),"DONE: scheduled on call",IF(M184="Not interested/Declined","CLOSED: candidate declined (log + tell lead)",IF(N184="","CALL 2: final attempt (Playbook C2)",IF(OR(N184="Scheduled on call",N184="Booked on their behalf"),"DONE: scheduled on call",IF(N184="Escalate to AM","ESCALATED TO LEAD","Review")))))))</f>
        <v/>
      </c>
      <c r="G184" s="20">
        <f>IF(E184="Ram is handling - no action","",IF(M184="",B184+6/24,IF(AND(M184&lt;&gt;"Scheduled on call",M184&lt;&gt;"Booked on their behalf",M184&lt;&gt;"Not interested/Declined",N184=""),B184+20/24,"")))</f>
        <v/>
      </c>
      <c r="H184" s="19" t="inlineStr">
        <is>
          <t>Chetan</t>
        </is>
      </c>
      <c r="I184" s="19" t="inlineStr">
        <is>
          <t>Google</t>
        </is>
      </c>
      <c r="J184" s="19" t="inlineStr">
        <is>
          <t>Round1</t>
        </is>
      </c>
      <c r="K184" s="22" t="inlineStr">
        <is>
          <t>+91 9920264452</t>
        </is>
      </c>
      <c r="L184" s="19" t="inlineStr">
        <is>
          <t>&lt;calendly_link&gt;</t>
        </is>
      </c>
      <c r="M184" s="19" t="n"/>
      <c r="N184" s="19" t="n"/>
      <c r="O184" s="19">
        <f>IF(OR(M184="Scheduled on call",M184="Booked on their behalf",N184="Scheduled on call",N184="Booked on their behalf"),"SCHEDULED (call)",IF(OR(M184="Not interested/Declined",N184="Not interested/Declined"),"DECLINED",IF(N184="Escalate to AM","ESCALATED TO LEAD",IF(E184="Ram is handling - no action","N/A",IF(M184="","PENDING CALL 1","IN PROGRESS")))))</f>
        <v/>
      </c>
      <c r="P184" s="19">
        <f>IF(OR('Ram - Digital ToDo'!O184="Scheduled",'Ram - Digital ToDo'!Q184="Scheduled"),"Scheduled within SLA (self-serve)",IF(OR(M184="Scheduled on call",M184="Booked on their behalf",N184="Scheduled on call",N184="Booked on their behalf"),"Scheduled within SLA (call)",IF(OR(M184="Not interested/Declined",N184="Not interested/Declined"),"Declined",IF(N184="Escalate to AM","SLA breach - unresolved","In progress"))))</f>
        <v/>
      </c>
      <c r="Q184" s="19" t="n"/>
    </row>
    <row r="185">
      <c r="A185" s="19" t="inlineStr">
        <is>
          <t>REQ-0184</t>
        </is>
      </c>
      <c r="B185" s="20" t="n">
        <v>44867.82708333333</v>
      </c>
      <c r="C185" s="20">
        <f>B185+1</f>
        <v/>
      </c>
      <c r="D185" s="21">
        <f>(C185-NOW())*24</f>
        <v/>
      </c>
      <c r="E185" s="19">
        <f>IF('Ram - Digital ToDo'!Q185="Escalate to call","CALL NOW",IF('Ram - Digital ToDo'!N185="Bad contact","CALL NOW (digital failed)","Ram is handling - no action"))</f>
        <v/>
      </c>
      <c r="F185" s="19">
        <f>IF(E185="Ram is handling - no action","No action needed",IF(M185="","CALL 1: ring candidate, offer to book on call (Playbook C1)",IF(OR(M185="Scheduled on call",M185="Booked on their behalf"),"DONE: scheduled on call",IF(M185="Not interested/Declined","CLOSED: candidate declined (log + tell lead)",IF(N185="","CALL 2: final attempt (Playbook C2)",IF(OR(N185="Scheduled on call",N185="Booked on their behalf"),"DONE: scheduled on call",IF(N185="Escalate to AM","ESCALATED TO LEAD","Review")))))))</f>
        <v/>
      </c>
      <c r="G185" s="20">
        <f>IF(E185="Ram is handling - no action","",IF(M185="",B185+6/24,IF(AND(M185&lt;&gt;"Scheduled on call",M185&lt;&gt;"Booked on their behalf",M185&lt;&gt;"Not interested/Declined",N185=""),B185+20/24,"")))</f>
        <v/>
      </c>
      <c r="H185" s="19" t="inlineStr">
        <is>
          <t>Chetan</t>
        </is>
      </c>
      <c r="I185" s="19" t="inlineStr">
        <is>
          <t>Google</t>
        </is>
      </c>
      <c r="J185" s="19" t="inlineStr">
        <is>
          <t>Round1</t>
        </is>
      </c>
      <c r="K185" s="22" t="inlineStr">
        <is>
          <t>+91 9920264452</t>
        </is>
      </c>
      <c r="L185" s="19" t="inlineStr">
        <is>
          <t>&lt;calendly_link&gt;</t>
        </is>
      </c>
      <c r="M185" s="19" t="n"/>
      <c r="N185" s="19" t="n"/>
      <c r="O185" s="19">
        <f>IF(OR(M185="Scheduled on call",M185="Booked on their behalf",N185="Scheduled on call",N185="Booked on their behalf"),"SCHEDULED (call)",IF(OR(M185="Not interested/Declined",N185="Not interested/Declined"),"DECLINED",IF(N185="Escalate to AM","ESCALATED TO LEAD",IF(E185="Ram is handling - no action","N/A",IF(M185="","PENDING CALL 1","IN PROGRESS")))))</f>
        <v/>
      </c>
      <c r="P185" s="19">
        <f>IF(OR('Ram - Digital ToDo'!O185="Scheduled",'Ram - Digital ToDo'!Q185="Scheduled"),"Scheduled within SLA (self-serve)",IF(OR(M185="Scheduled on call",M185="Booked on their behalf",N185="Scheduled on call",N185="Booked on their behalf"),"Scheduled within SLA (call)",IF(OR(M185="Not interested/Declined",N185="Not interested/Declined"),"Declined",IF(N185="Escalate to AM","SLA breach - unresolved","In progress"))))</f>
        <v/>
      </c>
      <c r="Q185" s="19" t="n"/>
    </row>
    <row r="186">
      <c r="A186" s="19" t="inlineStr">
        <is>
          <t>REQ-0185</t>
        </is>
      </c>
      <c r="B186" s="20" t="n">
        <v>44867.82708333333</v>
      </c>
      <c r="C186" s="20">
        <f>B186+1</f>
        <v/>
      </c>
      <c r="D186" s="21">
        <f>(C186-NOW())*24</f>
        <v/>
      </c>
      <c r="E186" s="19">
        <f>IF('Ram - Digital ToDo'!Q186="Escalate to call","CALL NOW",IF('Ram - Digital ToDo'!N186="Bad contact","CALL NOW (digital failed)","Ram is handling - no action"))</f>
        <v/>
      </c>
      <c r="F186" s="19">
        <f>IF(E186="Ram is handling - no action","No action needed",IF(M186="","CALL 1: ring candidate, offer to book on call (Playbook C1)",IF(OR(M186="Scheduled on call",M186="Booked on their behalf"),"DONE: scheduled on call",IF(M186="Not interested/Declined","CLOSED: candidate declined (log + tell lead)",IF(N186="","CALL 2: final attempt (Playbook C2)",IF(OR(N186="Scheduled on call",N186="Booked on their behalf"),"DONE: scheduled on call",IF(N186="Escalate to AM","ESCALATED TO LEAD","Review")))))))</f>
        <v/>
      </c>
      <c r="G186" s="20">
        <f>IF(E186="Ram is handling - no action","",IF(M186="",B186+6/24,IF(AND(M186&lt;&gt;"Scheduled on call",M186&lt;&gt;"Booked on their behalf",M186&lt;&gt;"Not interested/Declined",N186=""),B186+20/24,"")))</f>
        <v/>
      </c>
      <c r="H186" s="19" t="inlineStr">
        <is>
          <t>Chetan</t>
        </is>
      </c>
      <c r="I186" s="19" t="inlineStr">
        <is>
          <t>Google</t>
        </is>
      </c>
      <c r="J186" s="19" t="inlineStr">
        <is>
          <t>Round1</t>
        </is>
      </c>
      <c r="K186" s="22" t="inlineStr">
        <is>
          <t>+91 9920264452</t>
        </is>
      </c>
      <c r="L186" s="19" t="inlineStr">
        <is>
          <t>&lt;calendly_link&gt;</t>
        </is>
      </c>
      <c r="M186" s="19" t="n"/>
      <c r="N186" s="19" t="n"/>
      <c r="O186" s="19">
        <f>IF(OR(M186="Scheduled on call",M186="Booked on their behalf",N186="Scheduled on call",N186="Booked on their behalf"),"SCHEDULED (call)",IF(OR(M186="Not interested/Declined",N186="Not interested/Declined"),"DECLINED",IF(N186="Escalate to AM","ESCALATED TO LEAD",IF(E186="Ram is handling - no action","N/A",IF(M186="","PENDING CALL 1","IN PROGRESS")))))</f>
        <v/>
      </c>
      <c r="P186" s="19">
        <f>IF(OR('Ram - Digital ToDo'!O186="Scheduled",'Ram - Digital ToDo'!Q186="Scheduled"),"Scheduled within SLA (self-serve)",IF(OR(M186="Scheduled on call",M186="Booked on their behalf",N186="Scheduled on call",N186="Booked on their behalf"),"Scheduled within SLA (call)",IF(OR(M186="Not interested/Declined",N186="Not interested/Declined"),"Declined",IF(N186="Escalate to AM","SLA breach - unresolved","In progress"))))</f>
        <v/>
      </c>
      <c r="Q186" s="19" t="n"/>
    </row>
    <row r="187">
      <c r="A187" s="19" t="inlineStr">
        <is>
          <t>REQ-0186</t>
        </is>
      </c>
      <c r="B187" s="20" t="n">
        <v>44867.82708333333</v>
      </c>
      <c r="C187" s="20">
        <f>B187+1</f>
        <v/>
      </c>
      <c r="D187" s="21">
        <f>(C187-NOW())*24</f>
        <v/>
      </c>
      <c r="E187" s="19">
        <f>IF('Ram - Digital ToDo'!Q187="Escalate to call","CALL NOW",IF('Ram - Digital ToDo'!N187="Bad contact","CALL NOW (digital failed)","Ram is handling - no action"))</f>
        <v/>
      </c>
      <c r="F187" s="19">
        <f>IF(E187="Ram is handling - no action","No action needed",IF(M187="","CALL 1: ring candidate, offer to book on call (Playbook C1)",IF(OR(M187="Scheduled on call",M187="Booked on their behalf"),"DONE: scheduled on call",IF(M187="Not interested/Declined","CLOSED: candidate declined (log + tell lead)",IF(N187="","CALL 2: final attempt (Playbook C2)",IF(OR(N187="Scheduled on call",N187="Booked on their behalf"),"DONE: scheduled on call",IF(N187="Escalate to AM","ESCALATED TO LEAD","Review")))))))</f>
        <v/>
      </c>
      <c r="G187" s="20">
        <f>IF(E187="Ram is handling - no action","",IF(M187="",B187+6/24,IF(AND(M187&lt;&gt;"Scheduled on call",M187&lt;&gt;"Booked on their behalf",M187&lt;&gt;"Not interested/Declined",N187=""),B187+20/24,"")))</f>
        <v/>
      </c>
      <c r="H187" s="19" t="inlineStr">
        <is>
          <t>Chetan</t>
        </is>
      </c>
      <c r="I187" s="19" t="inlineStr">
        <is>
          <t>Google</t>
        </is>
      </c>
      <c r="J187" s="19" t="inlineStr">
        <is>
          <t>Round1</t>
        </is>
      </c>
      <c r="K187" s="22" t="inlineStr">
        <is>
          <t>+91 9920264452</t>
        </is>
      </c>
      <c r="L187" s="19" t="inlineStr">
        <is>
          <t>&lt;calendly_link&gt;</t>
        </is>
      </c>
      <c r="M187" s="19" t="n"/>
      <c r="N187" s="19" t="n"/>
      <c r="O187" s="19">
        <f>IF(OR(M187="Scheduled on call",M187="Booked on their behalf",N187="Scheduled on call",N187="Booked on their behalf"),"SCHEDULED (call)",IF(OR(M187="Not interested/Declined",N187="Not interested/Declined"),"DECLINED",IF(N187="Escalate to AM","ESCALATED TO LEAD",IF(E187="Ram is handling - no action","N/A",IF(M187="","PENDING CALL 1","IN PROGRESS")))))</f>
        <v/>
      </c>
      <c r="P187" s="19">
        <f>IF(OR('Ram - Digital ToDo'!O187="Scheduled",'Ram - Digital ToDo'!Q187="Scheduled"),"Scheduled within SLA (self-serve)",IF(OR(M187="Scheduled on call",M187="Booked on their behalf",N187="Scheduled on call",N187="Booked on their behalf"),"Scheduled within SLA (call)",IF(OR(M187="Not interested/Declined",N187="Not interested/Declined"),"Declined",IF(N187="Escalate to AM","SLA breach - unresolved","In progress"))))</f>
        <v/>
      </c>
      <c r="Q187" s="19" t="n"/>
    </row>
    <row r="188">
      <c r="A188" s="19" t="inlineStr">
        <is>
          <t>REQ-0187</t>
        </is>
      </c>
      <c r="B188" s="20" t="n">
        <v>44867.82708333333</v>
      </c>
      <c r="C188" s="20">
        <f>B188+1</f>
        <v/>
      </c>
      <c r="D188" s="21">
        <f>(C188-NOW())*24</f>
        <v/>
      </c>
      <c r="E188" s="19">
        <f>IF('Ram - Digital ToDo'!Q188="Escalate to call","CALL NOW",IF('Ram - Digital ToDo'!N188="Bad contact","CALL NOW (digital failed)","Ram is handling - no action"))</f>
        <v/>
      </c>
      <c r="F188" s="19">
        <f>IF(E188="Ram is handling - no action","No action needed",IF(M188="","CALL 1: ring candidate, offer to book on call (Playbook C1)",IF(OR(M188="Scheduled on call",M188="Booked on their behalf"),"DONE: scheduled on call",IF(M188="Not interested/Declined","CLOSED: candidate declined (log + tell lead)",IF(N188="","CALL 2: final attempt (Playbook C2)",IF(OR(N188="Scheduled on call",N188="Booked on their behalf"),"DONE: scheduled on call",IF(N188="Escalate to AM","ESCALATED TO LEAD","Review")))))))</f>
        <v/>
      </c>
      <c r="G188" s="20">
        <f>IF(E188="Ram is handling - no action","",IF(M188="",B188+6/24,IF(AND(M188&lt;&gt;"Scheduled on call",M188&lt;&gt;"Booked on their behalf",M188&lt;&gt;"Not interested/Declined",N188=""),B188+20/24,"")))</f>
        <v/>
      </c>
      <c r="H188" s="19" t="inlineStr">
        <is>
          <t>Chetan</t>
        </is>
      </c>
      <c r="I188" s="19" t="inlineStr">
        <is>
          <t>Google</t>
        </is>
      </c>
      <c r="J188" s="19" t="inlineStr">
        <is>
          <t>Round1</t>
        </is>
      </c>
      <c r="K188" s="22" t="inlineStr">
        <is>
          <t>+91 9920264452</t>
        </is>
      </c>
      <c r="L188" s="19" t="inlineStr">
        <is>
          <t>&lt;calendly_link&gt;</t>
        </is>
      </c>
      <c r="M188" s="19" t="n"/>
      <c r="N188" s="19" t="n"/>
      <c r="O188" s="19">
        <f>IF(OR(M188="Scheduled on call",M188="Booked on their behalf",N188="Scheduled on call",N188="Booked on their behalf"),"SCHEDULED (call)",IF(OR(M188="Not interested/Declined",N188="Not interested/Declined"),"DECLINED",IF(N188="Escalate to AM","ESCALATED TO LEAD",IF(E188="Ram is handling - no action","N/A",IF(M188="","PENDING CALL 1","IN PROGRESS")))))</f>
        <v/>
      </c>
      <c r="P188" s="19">
        <f>IF(OR('Ram - Digital ToDo'!O188="Scheduled",'Ram - Digital ToDo'!Q188="Scheduled"),"Scheduled within SLA (self-serve)",IF(OR(M188="Scheduled on call",M188="Booked on their behalf",N188="Scheduled on call",N188="Booked on their behalf"),"Scheduled within SLA (call)",IF(OR(M188="Not interested/Declined",N188="Not interested/Declined"),"Declined",IF(N188="Escalate to AM","SLA breach - unresolved","In progress"))))</f>
        <v/>
      </c>
      <c r="Q188" s="19" t="n"/>
    </row>
    <row r="189">
      <c r="A189" s="19" t="inlineStr">
        <is>
          <t>REQ-0188</t>
        </is>
      </c>
      <c r="B189" s="20" t="n">
        <v>44867.82708333333</v>
      </c>
      <c r="C189" s="20">
        <f>B189+1</f>
        <v/>
      </c>
      <c r="D189" s="21">
        <f>(C189-NOW())*24</f>
        <v/>
      </c>
      <c r="E189" s="19">
        <f>IF('Ram - Digital ToDo'!Q189="Escalate to call","CALL NOW",IF('Ram - Digital ToDo'!N189="Bad contact","CALL NOW (digital failed)","Ram is handling - no action"))</f>
        <v/>
      </c>
      <c r="F189" s="19">
        <f>IF(E189="Ram is handling - no action","No action needed",IF(M189="","CALL 1: ring candidate, offer to book on call (Playbook C1)",IF(OR(M189="Scheduled on call",M189="Booked on their behalf"),"DONE: scheduled on call",IF(M189="Not interested/Declined","CLOSED: candidate declined (log + tell lead)",IF(N189="","CALL 2: final attempt (Playbook C2)",IF(OR(N189="Scheduled on call",N189="Booked on their behalf"),"DONE: scheduled on call",IF(N189="Escalate to AM","ESCALATED TO LEAD","Review")))))))</f>
        <v/>
      </c>
      <c r="G189" s="20">
        <f>IF(E189="Ram is handling - no action","",IF(M189="",B189+6/24,IF(AND(M189&lt;&gt;"Scheduled on call",M189&lt;&gt;"Booked on their behalf",M189&lt;&gt;"Not interested/Declined",N189=""),B189+20/24,"")))</f>
        <v/>
      </c>
      <c r="H189" s="19" t="inlineStr">
        <is>
          <t>Chetan</t>
        </is>
      </c>
      <c r="I189" s="19" t="inlineStr">
        <is>
          <t>Google</t>
        </is>
      </c>
      <c r="J189" s="19" t="inlineStr">
        <is>
          <t>Round1</t>
        </is>
      </c>
      <c r="K189" s="22" t="inlineStr">
        <is>
          <t>+91 9920264452</t>
        </is>
      </c>
      <c r="L189" s="19" t="inlineStr">
        <is>
          <t>&lt;calendly_link&gt;</t>
        </is>
      </c>
      <c r="M189" s="19" t="n"/>
      <c r="N189" s="19" t="n"/>
      <c r="O189" s="19">
        <f>IF(OR(M189="Scheduled on call",M189="Booked on their behalf",N189="Scheduled on call",N189="Booked on their behalf"),"SCHEDULED (call)",IF(OR(M189="Not interested/Declined",N189="Not interested/Declined"),"DECLINED",IF(N189="Escalate to AM","ESCALATED TO LEAD",IF(E189="Ram is handling - no action","N/A",IF(M189="","PENDING CALL 1","IN PROGRESS")))))</f>
        <v/>
      </c>
      <c r="P189" s="19">
        <f>IF(OR('Ram - Digital ToDo'!O189="Scheduled",'Ram - Digital ToDo'!Q189="Scheduled"),"Scheduled within SLA (self-serve)",IF(OR(M189="Scheduled on call",M189="Booked on their behalf",N189="Scheduled on call",N189="Booked on their behalf"),"Scheduled within SLA (call)",IF(OR(M189="Not interested/Declined",N189="Not interested/Declined"),"Declined",IF(N189="Escalate to AM","SLA breach - unresolved","In progress"))))</f>
        <v/>
      </c>
      <c r="Q189" s="19" t="n"/>
    </row>
    <row r="190">
      <c r="A190" s="19" t="inlineStr">
        <is>
          <t>REQ-0189</t>
        </is>
      </c>
      <c r="B190" s="20" t="n">
        <v>44867.82708333333</v>
      </c>
      <c r="C190" s="20">
        <f>B190+1</f>
        <v/>
      </c>
      <c r="D190" s="21">
        <f>(C190-NOW())*24</f>
        <v/>
      </c>
      <c r="E190" s="19">
        <f>IF('Ram - Digital ToDo'!Q190="Escalate to call","CALL NOW",IF('Ram - Digital ToDo'!N190="Bad contact","CALL NOW (digital failed)","Ram is handling - no action"))</f>
        <v/>
      </c>
      <c r="F190" s="19">
        <f>IF(E190="Ram is handling - no action","No action needed",IF(M190="","CALL 1: ring candidate, offer to book on call (Playbook C1)",IF(OR(M190="Scheduled on call",M190="Booked on their behalf"),"DONE: scheduled on call",IF(M190="Not interested/Declined","CLOSED: candidate declined (log + tell lead)",IF(N190="","CALL 2: final attempt (Playbook C2)",IF(OR(N190="Scheduled on call",N190="Booked on their behalf"),"DONE: scheduled on call",IF(N190="Escalate to AM","ESCALATED TO LEAD","Review")))))))</f>
        <v/>
      </c>
      <c r="G190" s="20">
        <f>IF(E190="Ram is handling - no action","",IF(M190="",B190+6/24,IF(AND(M190&lt;&gt;"Scheduled on call",M190&lt;&gt;"Booked on their behalf",M190&lt;&gt;"Not interested/Declined",N190=""),B190+20/24,"")))</f>
        <v/>
      </c>
      <c r="H190" s="19" t="inlineStr">
        <is>
          <t>Chetan</t>
        </is>
      </c>
      <c r="I190" s="19" t="inlineStr">
        <is>
          <t>Google</t>
        </is>
      </c>
      <c r="J190" s="19" t="inlineStr">
        <is>
          <t>Round1</t>
        </is>
      </c>
      <c r="K190" s="22" t="inlineStr">
        <is>
          <t>+91 9920264452</t>
        </is>
      </c>
      <c r="L190" s="19" t="inlineStr">
        <is>
          <t>&lt;calendly_link&gt;</t>
        </is>
      </c>
      <c r="M190" s="19" t="n"/>
      <c r="N190" s="19" t="n"/>
      <c r="O190" s="19">
        <f>IF(OR(M190="Scheduled on call",M190="Booked on their behalf",N190="Scheduled on call",N190="Booked on their behalf"),"SCHEDULED (call)",IF(OR(M190="Not interested/Declined",N190="Not interested/Declined"),"DECLINED",IF(N190="Escalate to AM","ESCALATED TO LEAD",IF(E190="Ram is handling - no action","N/A",IF(M190="","PENDING CALL 1","IN PROGRESS")))))</f>
        <v/>
      </c>
      <c r="P190" s="19">
        <f>IF(OR('Ram - Digital ToDo'!O190="Scheduled",'Ram - Digital ToDo'!Q190="Scheduled"),"Scheduled within SLA (self-serve)",IF(OR(M190="Scheduled on call",M190="Booked on their behalf",N190="Scheduled on call",N190="Booked on their behalf"),"Scheduled within SLA (call)",IF(OR(M190="Not interested/Declined",N190="Not interested/Declined"),"Declined",IF(N190="Escalate to AM","SLA breach - unresolved","In progress"))))</f>
        <v/>
      </c>
      <c r="Q190" s="19" t="n"/>
    </row>
    <row r="191">
      <c r="A191" s="19" t="inlineStr">
        <is>
          <t>REQ-0190</t>
        </is>
      </c>
      <c r="B191" s="20" t="n">
        <v>44867.82708333333</v>
      </c>
      <c r="C191" s="20">
        <f>B191+1</f>
        <v/>
      </c>
      <c r="D191" s="21">
        <f>(C191-NOW())*24</f>
        <v/>
      </c>
      <c r="E191" s="19">
        <f>IF('Ram - Digital ToDo'!Q191="Escalate to call","CALL NOW",IF('Ram - Digital ToDo'!N191="Bad contact","CALL NOW (digital failed)","Ram is handling - no action"))</f>
        <v/>
      </c>
      <c r="F191" s="19">
        <f>IF(E191="Ram is handling - no action","No action needed",IF(M191="","CALL 1: ring candidate, offer to book on call (Playbook C1)",IF(OR(M191="Scheduled on call",M191="Booked on their behalf"),"DONE: scheduled on call",IF(M191="Not interested/Declined","CLOSED: candidate declined (log + tell lead)",IF(N191="","CALL 2: final attempt (Playbook C2)",IF(OR(N191="Scheduled on call",N191="Booked on their behalf"),"DONE: scheduled on call",IF(N191="Escalate to AM","ESCALATED TO LEAD","Review")))))))</f>
        <v/>
      </c>
      <c r="G191" s="20">
        <f>IF(E191="Ram is handling - no action","",IF(M191="",B191+6/24,IF(AND(M191&lt;&gt;"Scheduled on call",M191&lt;&gt;"Booked on their behalf",M191&lt;&gt;"Not interested/Declined",N191=""),B191+20/24,"")))</f>
        <v/>
      </c>
      <c r="H191" s="19" t="inlineStr">
        <is>
          <t>Chetan</t>
        </is>
      </c>
      <c r="I191" s="19" t="inlineStr">
        <is>
          <t>Google</t>
        </is>
      </c>
      <c r="J191" s="19" t="inlineStr">
        <is>
          <t>Round1</t>
        </is>
      </c>
      <c r="K191" s="22" t="inlineStr">
        <is>
          <t>+91 9920264452</t>
        </is>
      </c>
      <c r="L191" s="19" t="inlineStr">
        <is>
          <t>&lt;calendly_link&gt;</t>
        </is>
      </c>
      <c r="M191" s="19" t="n"/>
      <c r="N191" s="19" t="n"/>
      <c r="O191" s="19">
        <f>IF(OR(M191="Scheduled on call",M191="Booked on their behalf",N191="Scheduled on call",N191="Booked on their behalf"),"SCHEDULED (call)",IF(OR(M191="Not interested/Declined",N191="Not interested/Declined"),"DECLINED",IF(N191="Escalate to AM","ESCALATED TO LEAD",IF(E191="Ram is handling - no action","N/A",IF(M191="","PENDING CALL 1","IN PROGRESS")))))</f>
        <v/>
      </c>
      <c r="P191" s="19">
        <f>IF(OR('Ram - Digital ToDo'!O191="Scheduled",'Ram - Digital ToDo'!Q191="Scheduled"),"Scheduled within SLA (self-serve)",IF(OR(M191="Scheduled on call",M191="Booked on their behalf",N191="Scheduled on call",N191="Booked on their behalf"),"Scheduled within SLA (call)",IF(OR(M191="Not interested/Declined",N191="Not interested/Declined"),"Declined",IF(N191="Escalate to AM","SLA breach - unresolved","In progress"))))</f>
        <v/>
      </c>
      <c r="Q191" s="19" t="n"/>
    </row>
    <row r="192">
      <c r="A192" s="19" t="inlineStr">
        <is>
          <t>REQ-0191</t>
        </is>
      </c>
      <c r="B192" s="20" t="n">
        <v>44867.82708333333</v>
      </c>
      <c r="C192" s="20">
        <f>B192+1</f>
        <v/>
      </c>
      <c r="D192" s="21">
        <f>(C192-NOW())*24</f>
        <v/>
      </c>
      <c r="E192" s="19">
        <f>IF('Ram - Digital ToDo'!Q192="Escalate to call","CALL NOW",IF('Ram - Digital ToDo'!N192="Bad contact","CALL NOW (digital failed)","Ram is handling - no action"))</f>
        <v/>
      </c>
      <c r="F192" s="19">
        <f>IF(E192="Ram is handling - no action","No action needed",IF(M192="","CALL 1: ring candidate, offer to book on call (Playbook C1)",IF(OR(M192="Scheduled on call",M192="Booked on their behalf"),"DONE: scheduled on call",IF(M192="Not interested/Declined","CLOSED: candidate declined (log + tell lead)",IF(N192="","CALL 2: final attempt (Playbook C2)",IF(OR(N192="Scheduled on call",N192="Booked on their behalf"),"DONE: scheduled on call",IF(N192="Escalate to AM","ESCALATED TO LEAD","Review")))))))</f>
        <v/>
      </c>
      <c r="G192" s="20">
        <f>IF(E192="Ram is handling - no action","",IF(M192="",B192+6/24,IF(AND(M192&lt;&gt;"Scheduled on call",M192&lt;&gt;"Booked on their behalf",M192&lt;&gt;"Not interested/Declined",N192=""),B192+20/24,"")))</f>
        <v/>
      </c>
      <c r="H192" s="19" t="inlineStr">
        <is>
          <t>Chetan</t>
        </is>
      </c>
      <c r="I192" s="19" t="inlineStr">
        <is>
          <t>Google</t>
        </is>
      </c>
      <c r="J192" s="19" t="inlineStr">
        <is>
          <t>Round1</t>
        </is>
      </c>
      <c r="K192" s="22" t="inlineStr">
        <is>
          <t>+91 9920264452</t>
        </is>
      </c>
      <c r="L192" s="19" t="inlineStr">
        <is>
          <t>&lt;calendly_link&gt;</t>
        </is>
      </c>
      <c r="M192" s="19" t="n"/>
      <c r="N192" s="19" t="n"/>
      <c r="O192" s="19">
        <f>IF(OR(M192="Scheduled on call",M192="Booked on their behalf",N192="Scheduled on call",N192="Booked on their behalf"),"SCHEDULED (call)",IF(OR(M192="Not interested/Declined",N192="Not interested/Declined"),"DECLINED",IF(N192="Escalate to AM","ESCALATED TO LEAD",IF(E192="Ram is handling - no action","N/A",IF(M192="","PENDING CALL 1","IN PROGRESS")))))</f>
        <v/>
      </c>
      <c r="P192" s="19">
        <f>IF(OR('Ram - Digital ToDo'!O192="Scheduled",'Ram - Digital ToDo'!Q192="Scheduled"),"Scheduled within SLA (self-serve)",IF(OR(M192="Scheduled on call",M192="Booked on their behalf",N192="Scheduled on call",N192="Booked on their behalf"),"Scheduled within SLA (call)",IF(OR(M192="Not interested/Declined",N192="Not interested/Declined"),"Declined",IF(N192="Escalate to AM","SLA breach - unresolved","In progress"))))</f>
        <v/>
      </c>
      <c r="Q192" s="19" t="n"/>
    </row>
    <row r="193">
      <c r="A193" s="19" t="inlineStr">
        <is>
          <t>REQ-0192</t>
        </is>
      </c>
      <c r="B193" s="20" t="n">
        <v>44867.82708333333</v>
      </c>
      <c r="C193" s="20">
        <f>B193+1</f>
        <v/>
      </c>
      <c r="D193" s="21">
        <f>(C193-NOW())*24</f>
        <v/>
      </c>
      <c r="E193" s="19">
        <f>IF('Ram - Digital ToDo'!Q193="Escalate to call","CALL NOW",IF('Ram - Digital ToDo'!N193="Bad contact","CALL NOW (digital failed)","Ram is handling - no action"))</f>
        <v/>
      </c>
      <c r="F193" s="19">
        <f>IF(E193="Ram is handling - no action","No action needed",IF(M193="","CALL 1: ring candidate, offer to book on call (Playbook C1)",IF(OR(M193="Scheduled on call",M193="Booked on their behalf"),"DONE: scheduled on call",IF(M193="Not interested/Declined","CLOSED: candidate declined (log + tell lead)",IF(N193="","CALL 2: final attempt (Playbook C2)",IF(OR(N193="Scheduled on call",N193="Booked on their behalf"),"DONE: scheduled on call",IF(N193="Escalate to AM","ESCALATED TO LEAD","Review")))))))</f>
        <v/>
      </c>
      <c r="G193" s="20">
        <f>IF(E193="Ram is handling - no action","",IF(M193="",B193+6/24,IF(AND(M193&lt;&gt;"Scheduled on call",M193&lt;&gt;"Booked on their behalf",M193&lt;&gt;"Not interested/Declined",N193=""),B193+20/24,"")))</f>
        <v/>
      </c>
      <c r="H193" s="19" t="inlineStr">
        <is>
          <t>Chetan</t>
        </is>
      </c>
      <c r="I193" s="19" t="inlineStr">
        <is>
          <t>Google</t>
        </is>
      </c>
      <c r="J193" s="19" t="inlineStr">
        <is>
          <t>Round1</t>
        </is>
      </c>
      <c r="K193" s="22" t="inlineStr">
        <is>
          <t>+91 9920264452</t>
        </is>
      </c>
      <c r="L193" s="19" t="inlineStr">
        <is>
          <t>&lt;calendly_link&gt;</t>
        </is>
      </c>
      <c r="M193" s="19" t="n"/>
      <c r="N193" s="19" t="n"/>
      <c r="O193" s="19">
        <f>IF(OR(M193="Scheduled on call",M193="Booked on their behalf",N193="Scheduled on call",N193="Booked on their behalf"),"SCHEDULED (call)",IF(OR(M193="Not interested/Declined",N193="Not interested/Declined"),"DECLINED",IF(N193="Escalate to AM","ESCALATED TO LEAD",IF(E193="Ram is handling - no action","N/A",IF(M193="","PENDING CALL 1","IN PROGRESS")))))</f>
        <v/>
      </c>
      <c r="P193" s="19">
        <f>IF(OR('Ram - Digital ToDo'!O193="Scheduled",'Ram - Digital ToDo'!Q193="Scheduled"),"Scheduled within SLA (self-serve)",IF(OR(M193="Scheduled on call",M193="Booked on their behalf",N193="Scheduled on call",N193="Booked on their behalf"),"Scheduled within SLA (call)",IF(OR(M193="Not interested/Declined",N193="Not interested/Declined"),"Declined",IF(N193="Escalate to AM","SLA breach - unresolved","In progress"))))</f>
        <v/>
      </c>
      <c r="Q193" s="19" t="n"/>
    </row>
    <row r="194">
      <c r="A194" s="19" t="inlineStr">
        <is>
          <t>REQ-0193</t>
        </is>
      </c>
      <c r="B194" s="20" t="n">
        <v>44867.82708333333</v>
      </c>
      <c r="C194" s="20">
        <f>B194+1</f>
        <v/>
      </c>
      <c r="D194" s="21">
        <f>(C194-NOW())*24</f>
        <v/>
      </c>
      <c r="E194" s="19">
        <f>IF('Ram - Digital ToDo'!Q194="Escalate to call","CALL NOW",IF('Ram - Digital ToDo'!N194="Bad contact","CALL NOW (digital failed)","Ram is handling - no action"))</f>
        <v/>
      </c>
      <c r="F194" s="19">
        <f>IF(E194="Ram is handling - no action","No action needed",IF(M194="","CALL 1: ring candidate, offer to book on call (Playbook C1)",IF(OR(M194="Scheduled on call",M194="Booked on their behalf"),"DONE: scheduled on call",IF(M194="Not interested/Declined","CLOSED: candidate declined (log + tell lead)",IF(N194="","CALL 2: final attempt (Playbook C2)",IF(OR(N194="Scheduled on call",N194="Booked on their behalf"),"DONE: scheduled on call",IF(N194="Escalate to AM","ESCALATED TO LEAD","Review")))))))</f>
        <v/>
      </c>
      <c r="G194" s="20">
        <f>IF(E194="Ram is handling - no action","",IF(M194="",B194+6/24,IF(AND(M194&lt;&gt;"Scheduled on call",M194&lt;&gt;"Booked on their behalf",M194&lt;&gt;"Not interested/Declined",N194=""),B194+20/24,"")))</f>
        <v/>
      </c>
      <c r="H194" s="19" t="inlineStr">
        <is>
          <t>Chetan</t>
        </is>
      </c>
      <c r="I194" s="19" t="inlineStr">
        <is>
          <t>Google</t>
        </is>
      </c>
      <c r="J194" s="19" t="inlineStr">
        <is>
          <t>Round1</t>
        </is>
      </c>
      <c r="K194" s="22" t="inlineStr">
        <is>
          <t>+91 9920264452</t>
        </is>
      </c>
      <c r="L194" s="19" t="inlineStr">
        <is>
          <t>&lt;calendly_link&gt;</t>
        </is>
      </c>
      <c r="M194" s="19" t="n"/>
      <c r="N194" s="19" t="n"/>
      <c r="O194" s="19">
        <f>IF(OR(M194="Scheduled on call",M194="Booked on their behalf",N194="Scheduled on call",N194="Booked on their behalf"),"SCHEDULED (call)",IF(OR(M194="Not interested/Declined",N194="Not interested/Declined"),"DECLINED",IF(N194="Escalate to AM","ESCALATED TO LEAD",IF(E194="Ram is handling - no action","N/A",IF(M194="","PENDING CALL 1","IN PROGRESS")))))</f>
        <v/>
      </c>
      <c r="P194" s="19">
        <f>IF(OR('Ram - Digital ToDo'!O194="Scheduled",'Ram - Digital ToDo'!Q194="Scheduled"),"Scheduled within SLA (self-serve)",IF(OR(M194="Scheduled on call",M194="Booked on their behalf",N194="Scheduled on call",N194="Booked on their behalf"),"Scheduled within SLA (call)",IF(OR(M194="Not interested/Declined",N194="Not interested/Declined"),"Declined",IF(N194="Escalate to AM","SLA breach - unresolved","In progress"))))</f>
        <v/>
      </c>
      <c r="Q194" s="19" t="n"/>
    </row>
    <row r="195">
      <c r="A195" s="19" t="inlineStr">
        <is>
          <t>REQ-0194</t>
        </is>
      </c>
      <c r="B195" s="20" t="n">
        <v>44867.82708333333</v>
      </c>
      <c r="C195" s="20">
        <f>B195+1</f>
        <v/>
      </c>
      <c r="D195" s="21">
        <f>(C195-NOW())*24</f>
        <v/>
      </c>
      <c r="E195" s="19">
        <f>IF('Ram - Digital ToDo'!Q195="Escalate to call","CALL NOW",IF('Ram - Digital ToDo'!N195="Bad contact","CALL NOW (digital failed)","Ram is handling - no action"))</f>
        <v/>
      </c>
      <c r="F195" s="19">
        <f>IF(E195="Ram is handling - no action","No action needed",IF(M195="","CALL 1: ring candidate, offer to book on call (Playbook C1)",IF(OR(M195="Scheduled on call",M195="Booked on their behalf"),"DONE: scheduled on call",IF(M195="Not interested/Declined","CLOSED: candidate declined (log + tell lead)",IF(N195="","CALL 2: final attempt (Playbook C2)",IF(OR(N195="Scheduled on call",N195="Booked on their behalf"),"DONE: scheduled on call",IF(N195="Escalate to AM","ESCALATED TO LEAD","Review")))))))</f>
        <v/>
      </c>
      <c r="G195" s="20">
        <f>IF(E195="Ram is handling - no action","",IF(M195="",B195+6/24,IF(AND(M195&lt;&gt;"Scheduled on call",M195&lt;&gt;"Booked on their behalf",M195&lt;&gt;"Not interested/Declined",N195=""),B195+20/24,"")))</f>
        <v/>
      </c>
      <c r="H195" s="19" t="inlineStr">
        <is>
          <t>Chetan</t>
        </is>
      </c>
      <c r="I195" s="19" t="inlineStr">
        <is>
          <t>Google</t>
        </is>
      </c>
      <c r="J195" s="19" t="inlineStr">
        <is>
          <t>Round1</t>
        </is>
      </c>
      <c r="K195" s="22" t="inlineStr">
        <is>
          <t>+91 9920264452</t>
        </is>
      </c>
      <c r="L195" s="19" t="inlineStr">
        <is>
          <t>&lt;calendly_link&gt;</t>
        </is>
      </c>
      <c r="M195" s="19" t="n"/>
      <c r="N195" s="19" t="n"/>
      <c r="O195" s="19">
        <f>IF(OR(M195="Scheduled on call",M195="Booked on their behalf",N195="Scheduled on call",N195="Booked on their behalf"),"SCHEDULED (call)",IF(OR(M195="Not interested/Declined",N195="Not interested/Declined"),"DECLINED",IF(N195="Escalate to AM","ESCALATED TO LEAD",IF(E195="Ram is handling - no action","N/A",IF(M195="","PENDING CALL 1","IN PROGRESS")))))</f>
        <v/>
      </c>
      <c r="P195" s="19">
        <f>IF(OR('Ram - Digital ToDo'!O195="Scheduled",'Ram - Digital ToDo'!Q195="Scheduled"),"Scheduled within SLA (self-serve)",IF(OR(M195="Scheduled on call",M195="Booked on their behalf",N195="Scheduled on call",N195="Booked on their behalf"),"Scheduled within SLA (call)",IF(OR(M195="Not interested/Declined",N195="Not interested/Declined"),"Declined",IF(N195="Escalate to AM","SLA breach - unresolved","In progress"))))</f>
        <v/>
      </c>
      <c r="Q195" s="19" t="n"/>
    </row>
    <row r="196">
      <c r="A196" s="19" t="inlineStr">
        <is>
          <t>REQ-0195</t>
        </is>
      </c>
      <c r="B196" s="20" t="n">
        <v>44867.82708333333</v>
      </c>
      <c r="C196" s="20">
        <f>B196+1</f>
        <v/>
      </c>
      <c r="D196" s="21">
        <f>(C196-NOW())*24</f>
        <v/>
      </c>
      <c r="E196" s="19">
        <f>IF('Ram - Digital ToDo'!Q196="Escalate to call","CALL NOW",IF('Ram - Digital ToDo'!N196="Bad contact","CALL NOW (digital failed)","Ram is handling - no action"))</f>
        <v/>
      </c>
      <c r="F196" s="19">
        <f>IF(E196="Ram is handling - no action","No action needed",IF(M196="","CALL 1: ring candidate, offer to book on call (Playbook C1)",IF(OR(M196="Scheduled on call",M196="Booked on their behalf"),"DONE: scheduled on call",IF(M196="Not interested/Declined","CLOSED: candidate declined (log + tell lead)",IF(N196="","CALL 2: final attempt (Playbook C2)",IF(OR(N196="Scheduled on call",N196="Booked on their behalf"),"DONE: scheduled on call",IF(N196="Escalate to AM","ESCALATED TO LEAD","Review")))))))</f>
        <v/>
      </c>
      <c r="G196" s="20">
        <f>IF(E196="Ram is handling - no action","",IF(M196="",B196+6/24,IF(AND(M196&lt;&gt;"Scheduled on call",M196&lt;&gt;"Booked on their behalf",M196&lt;&gt;"Not interested/Declined",N196=""),B196+20/24,"")))</f>
        <v/>
      </c>
      <c r="H196" s="19" t="inlineStr">
        <is>
          <t>Chetan</t>
        </is>
      </c>
      <c r="I196" s="19" t="inlineStr">
        <is>
          <t>Google</t>
        </is>
      </c>
      <c r="J196" s="19" t="inlineStr">
        <is>
          <t>Round1</t>
        </is>
      </c>
      <c r="K196" s="22" t="inlineStr">
        <is>
          <t>+91 9920264452</t>
        </is>
      </c>
      <c r="L196" s="19" t="inlineStr">
        <is>
          <t>&lt;calendly_link&gt;</t>
        </is>
      </c>
      <c r="M196" s="19" t="n"/>
      <c r="N196" s="19" t="n"/>
      <c r="O196" s="19">
        <f>IF(OR(M196="Scheduled on call",M196="Booked on their behalf",N196="Scheduled on call",N196="Booked on their behalf"),"SCHEDULED (call)",IF(OR(M196="Not interested/Declined",N196="Not interested/Declined"),"DECLINED",IF(N196="Escalate to AM","ESCALATED TO LEAD",IF(E196="Ram is handling - no action","N/A",IF(M196="","PENDING CALL 1","IN PROGRESS")))))</f>
        <v/>
      </c>
      <c r="P196" s="19">
        <f>IF(OR('Ram - Digital ToDo'!O196="Scheduled",'Ram - Digital ToDo'!Q196="Scheduled"),"Scheduled within SLA (self-serve)",IF(OR(M196="Scheduled on call",M196="Booked on their behalf",N196="Scheduled on call",N196="Booked on their behalf"),"Scheduled within SLA (call)",IF(OR(M196="Not interested/Declined",N196="Not interested/Declined"),"Declined",IF(N196="Escalate to AM","SLA breach - unresolved","In progress"))))</f>
        <v/>
      </c>
      <c r="Q196" s="19" t="n"/>
    </row>
    <row r="197">
      <c r="A197" s="19" t="inlineStr">
        <is>
          <t>REQ-0196</t>
        </is>
      </c>
      <c r="B197" s="20" t="n">
        <v>44867.82708333333</v>
      </c>
      <c r="C197" s="20">
        <f>B197+1</f>
        <v/>
      </c>
      <c r="D197" s="21">
        <f>(C197-NOW())*24</f>
        <v/>
      </c>
      <c r="E197" s="19">
        <f>IF('Ram - Digital ToDo'!Q197="Escalate to call","CALL NOW",IF('Ram - Digital ToDo'!N197="Bad contact","CALL NOW (digital failed)","Ram is handling - no action"))</f>
        <v/>
      </c>
      <c r="F197" s="19">
        <f>IF(E197="Ram is handling - no action","No action needed",IF(M197="","CALL 1: ring candidate, offer to book on call (Playbook C1)",IF(OR(M197="Scheduled on call",M197="Booked on their behalf"),"DONE: scheduled on call",IF(M197="Not interested/Declined","CLOSED: candidate declined (log + tell lead)",IF(N197="","CALL 2: final attempt (Playbook C2)",IF(OR(N197="Scheduled on call",N197="Booked on their behalf"),"DONE: scheduled on call",IF(N197="Escalate to AM","ESCALATED TO LEAD","Review")))))))</f>
        <v/>
      </c>
      <c r="G197" s="20">
        <f>IF(E197="Ram is handling - no action","",IF(M197="",B197+6/24,IF(AND(M197&lt;&gt;"Scheduled on call",M197&lt;&gt;"Booked on their behalf",M197&lt;&gt;"Not interested/Declined",N197=""),B197+20/24,"")))</f>
        <v/>
      </c>
      <c r="H197" s="19" t="inlineStr">
        <is>
          <t>Chetan</t>
        </is>
      </c>
      <c r="I197" s="19" t="inlineStr">
        <is>
          <t>Google</t>
        </is>
      </c>
      <c r="J197" s="19" t="inlineStr">
        <is>
          <t>Round1</t>
        </is>
      </c>
      <c r="K197" s="22" t="inlineStr">
        <is>
          <t>+91 9920264452</t>
        </is>
      </c>
      <c r="L197" s="19" t="inlineStr">
        <is>
          <t>&lt;calendly_link&gt;</t>
        </is>
      </c>
      <c r="M197" s="19" t="n"/>
      <c r="N197" s="19" t="n"/>
      <c r="O197" s="19">
        <f>IF(OR(M197="Scheduled on call",M197="Booked on their behalf",N197="Scheduled on call",N197="Booked on their behalf"),"SCHEDULED (call)",IF(OR(M197="Not interested/Declined",N197="Not interested/Declined"),"DECLINED",IF(N197="Escalate to AM","ESCALATED TO LEAD",IF(E197="Ram is handling - no action","N/A",IF(M197="","PENDING CALL 1","IN PROGRESS")))))</f>
        <v/>
      </c>
      <c r="P197" s="19">
        <f>IF(OR('Ram - Digital ToDo'!O197="Scheduled",'Ram - Digital ToDo'!Q197="Scheduled"),"Scheduled within SLA (self-serve)",IF(OR(M197="Scheduled on call",M197="Booked on their behalf",N197="Scheduled on call",N197="Booked on their behalf"),"Scheduled within SLA (call)",IF(OR(M197="Not interested/Declined",N197="Not interested/Declined"),"Declined",IF(N197="Escalate to AM","SLA breach - unresolved","In progress"))))</f>
        <v/>
      </c>
      <c r="Q197" s="19" t="n"/>
    </row>
    <row r="198">
      <c r="A198" s="19" t="inlineStr">
        <is>
          <t>REQ-0197</t>
        </is>
      </c>
      <c r="B198" s="20" t="n">
        <v>44867.82708333333</v>
      </c>
      <c r="C198" s="20">
        <f>B198+1</f>
        <v/>
      </c>
      <c r="D198" s="21">
        <f>(C198-NOW())*24</f>
        <v/>
      </c>
      <c r="E198" s="19">
        <f>IF('Ram - Digital ToDo'!Q198="Escalate to call","CALL NOW",IF('Ram - Digital ToDo'!N198="Bad contact","CALL NOW (digital failed)","Ram is handling - no action"))</f>
        <v/>
      </c>
      <c r="F198" s="19">
        <f>IF(E198="Ram is handling - no action","No action needed",IF(M198="","CALL 1: ring candidate, offer to book on call (Playbook C1)",IF(OR(M198="Scheduled on call",M198="Booked on their behalf"),"DONE: scheduled on call",IF(M198="Not interested/Declined","CLOSED: candidate declined (log + tell lead)",IF(N198="","CALL 2: final attempt (Playbook C2)",IF(OR(N198="Scheduled on call",N198="Booked on their behalf"),"DONE: scheduled on call",IF(N198="Escalate to AM","ESCALATED TO LEAD","Review")))))))</f>
        <v/>
      </c>
      <c r="G198" s="20">
        <f>IF(E198="Ram is handling - no action","",IF(M198="",B198+6/24,IF(AND(M198&lt;&gt;"Scheduled on call",M198&lt;&gt;"Booked on their behalf",M198&lt;&gt;"Not interested/Declined",N198=""),B198+20/24,"")))</f>
        <v/>
      </c>
      <c r="H198" s="19" t="inlineStr">
        <is>
          <t>Chetan</t>
        </is>
      </c>
      <c r="I198" s="19" t="inlineStr">
        <is>
          <t>Google</t>
        </is>
      </c>
      <c r="J198" s="19" t="inlineStr">
        <is>
          <t>Round1</t>
        </is>
      </c>
      <c r="K198" s="22" t="inlineStr">
        <is>
          <t>+91 9920264452</t>
        </is>
      </c>
      <c r="L198" s="19" t="inlineStr">
        <is>
          <t>&lt;calendly_link&gt;</t>
        </is>
      </c>
      <c r="M198" s="19" t="n"/>
      <c r="N198" s="19" t="n"/>
      <c r="O198" s="19">
        <f>IF(OR(M198="Scheduled on call",M198="Booked on their behalf",N198="Scheduled on call",N198="Booked on their behalf"),"SCHEDULED (call)",IF(OR(M198="Not interested/Declined",N198="Not interested/Declined"),"DECLINED",IF(N198="Escalate to AM","ESCALATED TO LEAD",IF(E198="Ram is handling - no action","N/A",IF(M198="","PENDING CALL 1","IN PROGRESS")))))</f>
        <v/>
      </c>
      <c r="P198" s="19">
        <f>IF(OR('Ram - Digital ToDo'!O198="Scheduled",'Ram - Digital ToDo'!Q198="Scheduled"),"Scheduled within SLA (self-serve)",IF(OR(M198="Scheduled on call",M198="Booked on their behalf",N198="Scheduled on call",N198="Booked on their behalf"),"Scheduled within SLA (call)",IF(OR(M198="Not interested/Declined",N198="Not interested/Declined"),"Declined",IF(N198="Escalate to AM","SLA breach - unresolved","In progress"))))</f>
        <v/>
      </c>
      <c r="Q198" s="19" t="n"/>
    </row>
    <row r="199">
      <c r="A199" s="19" t="inlineStr">
        <is>
          <t>REQ-0198</t>
        </is>
      </c>
      <c r="B199" s="20" t="n">
        <v>44867.82708333333</v>
      </c>
      <c r="C199" s="20">
        <f>B199+1</f>
        <v/>
      </c>
      <c r="D199" s="21">
        <f>(C199-NOW())*24</f>
        <v/>
      </c>
      <c r="E199" s="19">
        <f>IF('Ram - Digital ToDo'!Q199="Escalate to call","CALL NOW",IF('Ram - Digital ToDo'!N199="Bad contact","CALL NOW (digital failed)","Ram is handling - no action"))</f>
        <v/>
      </c>
      <c r="F199" s="19">
        <f>IF(E199="Ram is handling - no action","No action needed",IF(M199="","CALL 1: ring candidate, offer to book on call (Playbook C1)",IF(OR(M199="Scheduled on call",M199="Booked on their behalf"),"DONE: scheduled on call",IF(M199="Not interested/Declined","CLOSED: candidate declined (log + tell lead)",IF(N199="","CALL 2: final attempt (Playbook C2)",IF(OR(N199="Scheduled on call",N199="Booked on their behalf"),"DONE: scheduled on call",IF(N199="Escalate to AM","ESCALATED TO LEAD","Review")))))))</f>
        <v/>
      </c>
      <c r="G199" s="20">
        <f>IF(E199="Ram is handling - no action","",IF(M199="",B199+6/24,IF(AND(M199&lt;&gt;"Scheduled on call",M199&lt;&gt;"Booked on their behalf",M199&lt;&gt;"Not interested/Declined",N199=""),B199+20/24,"")))</f>
        <v/>
      </c>
      <c r="H199" s="19" t="inlineStr">
        <is>
          <t>Chetan</t>
        </is>
      </c>
      <c r="I199" s="19" t="inlineStr">
        <is>
          <t>Google</t>
        </is>
      </c>
      <c r="J199" s="19" t="inlineStr">
        <is>
          <t>Round1</t>
        </is>
      </c>
      <c r="K199" s="22" t="inlineStr">
        <is>
          <t>+91 9920264452</t>
        </is>
      </c>
      <c r="L199" s="19" t="inlineStr">
        <is>
          <t>&lt;calendly_link&gt;</t>
        </is>
      </c>
      <c r="M199" s="19" t="n"/>
      <c r="N199" s="19" t="n"/>
      <c r="O199" s="19">
        <f>IF(OR(M199="Scheduled on call",M199="Booked on their behalf",N199="Scheduled on call",N199="Booked on their behalf"),"SCHEDULED (call)",IF(OR(M199="Not interested/Declined",N199="Not interested/Declined"),"DECLINED",IF(N199="Escalate to AM","ESCALATED TO LEAD",IF(E199="Ram is handling - no action","N/A",IF(M199="","PENDING CALL 1","IN PROGRESS")))))</f>
        <v/>
      </c>
      <c r="P199" s="19">
        <f>IF(OR('Ram - Digital ToDo'!O199="Scheduled",'Ram - Digital ToDo'!Q199="Scheduled"),"Scheduled within SLA (self-serve)",IF(OR(M199="Scheduled on call",M199="Booked on their behalf",N199="Scheduled on call",N199="Booked on their behalf"),"Scheduled within SLA (call)",IF(OR(M199="Not interested/Declined",N199="Not interested/Declined"),"Declined",IF(N199="Escalate to AM","SLA breach - unresolved","In progress"))))</f>
        <v/>
      </c>
      <c r="Q199" s="19" t="n"/>
    </row>
    <row r="200">
      <c r="A200" s="19" t="inlineStr">
        <is>
          <t>REQ-0199</t>
        </is>
      </c>
      <c r="B200" s="20" t="n">
        <v>44867.82708333333</v>
      </c>
      <c r="C200" s="20">
        <f>B200+1</f>
        <v/>
      </c>
      <c r="D200" s="21">
        <f>(C200-NOW())*24</f>
        <v/>
      </c>
      <c r="E200" s="19">
        <f>IF('Ram - Digital ToDo'!Q200="Escalate to call","CALL NOW",IF('Ram - Digital ToDo'!N200="Bad contact","CALL NOW (digital failed)","Ram is handling - no action"))</f>
        <v/>
      </c>
      <c r="F200" s="19">
        <f>IF(E200="Ram is handling - no action","No action needed",IF(M200="","CALL 1: ring candidate, offer to book on call (Playbook C1)",IF(OR(M200="Scheduled on call",M200="Booked on their behalf"),"DONE: scheduled on call",IF(M200="Not interested/Declined","CLOSED: candidate declined (log + tell lead)",IF(N200="","CALL 2: final attempt (Playbook C2)",IF(OR(N200="Scheduled on call",N200="Booked on their behalf"),"DONE: scheduled on call",IF(N200="Escalate to AM","ESCALATED TO LEAD","Review")))))))</f>
        <v/>
      </c>
      <c r="G200" s="20">
        <f>IF(E200="Ram is handling - no action","",IF(M200="",B200+6/24,IF(AND(M200&lt;&gt;"Scheduled on call",M200&lt;&gt;"Booked on their behalf",M200&lt;&gt;"Not interested/Declined",N200=""),B200+20/24,"")))</f>
        <v/>
      </c>
      <c r="H200" s="19" t="inlineStr">
        <is>
          <t>Chetan</t>
        </is>
      </c>
      <c r="I200" s="19" t="inlineStr">
        <is>
          <t>Google</t>
        </is>
      </c>
      <c r="J200" s="19" t="inlineStr">
        <is>
          <t>Round1</t>
        </is>
      </c>
      <c r="K200" s="22" t="inlineStr">
        <is>
          <t>+91 9920264452</t>
        </is>
      </c>
      <c r="L200" s="19" t="inlineStr">
        <is>
          <t>&lt;calendly_link&gt;</t>
        </is>
      </c>
      <c r="M200" s="19" t="n"/>
      <c r="N200" s="19" t="n"/>
      <c r="O200" s="19">
        <f>IF(OR(M200="Scheduled on call",M200="Booked on their behalf",N200="Scheduled on call",N200="Booked on their behalf"),"SCHEDULED (call)",IF(OR(M200="Not interested/Declined",N200="Not interested/Declined"),"DECLINED",IF(N200="Escalate to AM","ESCALATED TO LEAD",IF(E200="Ram is handling - no action","N/A",IF(M200="","PENDING CALL 1","IN PROGRESS")))))</f>
        <v/>
      </c>
      <c r="P200" s="19">
        <f>IF(OR('Ram - Digital ToDo'!O200="Scheduled",'Ram - Digital ToDo'!Q200="Scheduled"),"Scheduled within SLA (self-serve)",IF(OR(M200="Scheduled on call",M200="Booked on their behalf",N200="Scheduled on call",N200="Booked on their behalf"),"Scheduled within SLA (call)",IF(OR(M200="Not interested/Declined",N200="Not interested/Declined"),"Declined",IF(N200="Escalate to AM","SLA breach - unresolved","In progress"))))</f>
        <v/>
      </c>
      <c r="Q200" s="19" t="n"/>
    </row>
    <row r="201">
      <c r="A201" s="19" t="inlineStr">
        <is>
          <t>REQ-0200</t>
        </is>
      </c>
      <c r="B201" s="20" t="n">
        <v>44867.82708333333</v>
      </c>
      <c r="C201" s="20">
        <f>B201+1</f>
        <v/>
      </c>
      <c r="D201" s="21">
        <f>(C201-NOW())*24</f>
        <v/>
      </c>
      <c r="E201" s="19">
        <f>IF('Ram - Digital ToDo'!Q201="Escalate to call","CALL NOW",IF('Ram - Digital ToDo'!N201="Bad contact","CALL NOW (digital failed)","Ram is handling - no action"))</f>
        <v/>
      </c>
      <c r="F201" s="19">
        <f>IF(E201="Ram is handling - no action","No action needed",IF(M201="","CALL 1: ring candidate, offer to book on call (Playbook C1)",IF(OR(M201="Scheduled on call",M201="Booked on their behalf"),"DONE: scheduled on call",IF(M201="Not interested/Declined","CLOSED: candidate declined (log + tell lead)",IF(N201="","CALL 2: final attempt (Playbook C2)",IF(OR(N201="Scheduled on call",N201="Booked on their behalf"),"DONE: scheduled on call",IF(N201="Escalate to AM","ESCALATED TO LEAD","Review")))))))</f>
        <v/>
      </c>
      <c r="G201" s="20">
        <f>IF(E201="Ram is handling - no action","",IF(M201="",B201+6/24,IF(AND(M201&lt;&gt;"Scheduled on call",M201&lt;&gt;"Booked on their behalf",M201&lt;&gt;"Not interested/Declined",N201=""),B201+20/24,"")))</f>
        <v/>
      </c>
      <c r="H201" s="19" t="inlineStr">
        <is>
          <t>Chetan</t>
        </is>
      </c>
      <c r="I201" s="19" t="inlineStr">
        <is>
          <t>Google</t>
        </is>
      </c>
      <c r="J201" s="19" t="inlineStr">
        <is>
          <t>Round1</t>
        </is>
      </c>
      <c r="K201" s="22" t="inlineStr">
        <is>
          <t>+91 9920264452</t>
        </is>
      </c>
      <c r="L201" s="19" t="inlineStr">
        <is>
          <t>&lt;calendly_link&gt;</t>
        </is>
      </c>
      <c r="M201" s="19" t="n"/>
      <c r="N201" s="19" t="n"/>
      <c r="O201" s="19">
        <f>IF(OR(M201="Scheduled on call",M201="Booked on their behalf",N201="Scheduled on call",N201="Booked on their behalf"),"SCHEDULED (call)",IF(OR(M201="Not interested/Declined",N201="Not interested/Declined"),"DECLINED",IF(N201="Escalate to AM","ESCALATED TO LEAD",IF(E201="Ram is handling - no action","N/A",IF(M201="","PENDING CALL 1","IN PROGRESS")))))</f>
        <v/>
      </c>
      <c r="P201" s="19">
        <f>IF(OR('Ram - Digital ToDo'!O201="Scheduled",'Ram - Digital ToDo'!Q201="Scheduled"),"Scheduled within SLA (self-serve)",IF(OR(M201="Scheduled on call",M201="Booked on their behalf",N201="Scheduled on call",N201="Booked on their behalf"),"Scheduled within SLA (call)",IF(OR(M201="Not interested/Declined",N201="Not interested/Declined"),"Declined",IF(N201="Escalate to AM","SLA breach - unresolved","In progress"))))</f>
        <v/>
      </c>
      <c r="Q201" s="19" t="n"/>
    </row>
    <row r="202">
      <c r="A202" s="19" t="inlineStr">
        <is>
          <t>REQ-0201</t>
        </is>
      </c>
      <c r="B202" s="20" t="n">
        <v>44867.82708333333</v>
      </c>
      <c r="C202" s="20">
        <f>B202+1</f>
        <v/>
      </c>
      <c r="D202" s="21">
        <f>(C202-NOW())*24</f>
        <v/>
      </c>
      <c r="E202" s="19">
        <f>IF('Ram - Digital ToDo'!Q202="Escalate to call","CALL NOW",IF('Ram - Digital ToDo'!N202="Bad contact","CALL NOW (digital failed)","Ram is handling - no action"))</f>
        <v/>
      </c>
      <c r="F202" s="19">
        <f>IF(E202="Ram is handling - no action","No action needed",IF(M202="","CALL 1: ring candidate, offer to book on call (Playbook C1)",IF(OR(M202="Scheduled on call",M202="Booked on their behalf"),"DONE: scheduled on call",IF(M202="Not interested/Declined","CLOSED: candidate declined (log + tell lead)",IF(N202="","CALL 2: final attempt (Playbook C2)",IF(OR(N202="Scheduled on call",N202="Booked on their behalf"),"DONE: scheduled on call",IF(N202="Escalate to AM","ESCALATED TO LEAD","Review")))))))</f>
        <v/>
      </c>
      <c r="G202" s="20">
        <f>IF(E202="Ram is handling - no action","",IF(M202="",B202+6/24,IF(AND(M202&lt;&gt;"Scheduled on call",M202&lt;&gt;"Booked on their behalf",M202&lt;&gt;"Not interested/Declined",N202=""),B202+20/24,"")))</f>
        <v/>
      </c>
      <c r="H202" s="19" t="inlineStr">
        <is>
          <t>Chetan</t>
        </is>
      </c>
      <c r="I202" s="19" t="inlineStr">
        <is>
          <t>Google</t>
        </is>
      </c>
      <c r="J202" s="19" t="inlineStr">
        <is>
          <t>Round1</t>
        </is>
      </c>
      <c r="K202" s="22" t="inlineStr">
        <is>
          <t>+91 9920264452</t>
        </is>
      </c>
      <c r="L202" s="19" t="inlineStr">
        <is>
          <t>&lt;calendly_link&gt;</t>
        </is>
      </c>
      <c r="M202" s="19" t="n"/>
      <c r="N202" s="19" t="n"/>
      <c r="O202" s="19">
        <f>IF(OR(M202="Scheduled on call",M202="Booked on their behalf",N202="Scheduled on call",N202="Booked on their behalf"),"SCHEDULED (call)",IF(OR(M202="Not interested/Declined",N202="Not interested/Declined"),"DECLINED",IF(N202="Escalate to AM","ESCALATED TO LEAD",IF(E202="Ram is handling - no action","N/A",IF(M202="","PENDING CALL 1","IN PROGRESS")))))</f>
        <v/>
      </c>
      <c r="P202" s="19">
        <f>IF(OR('Ram - Digital ToDo'!O202="Scheduled",'Ram - Digital ToDo'!Q202="Scheduled"),"Scheduled within SLA (self-serve)",IF(OR(M202="Scheduled on call",M202="Booked on their behalf",N202="Scheduled on call",N202="Booked on their behalf"),"Scheduled within SLA (call)",IF(OR(M202="Not interested/Declined",N202="Not interested/Declined"),"Declined",IF(N202="Escalate to AM","SLA breach - unresolved","In progress"))))</f>
        <v/>
      </c>
      <c r="Q202" s="19" t="n"/>
    </row>
    <row r="203">
      <c r="A203" s="19" t="inlineStr">
        <is>
          <t>REQ-0202</t>
        </is>
      </c>
      <c r="B203" s="20" t="n">
        <v>44867.82708333333</v>
      </c>
      <c r="C203" s="20">
        <f>B203+1</f>
        <v/>
      </c>
      <c r="D203" s="21">
        <f>(C203-NOW())*24</f>
        <v/>
      </c>
      <c r="E203" s="19">
        <f>IF('Ram - Digital ToDo'!Q203="Escalate to call","CALL NOW",IF('Ram - Digital ToDo'!N203="Bad contact","CALL NOW (digital failed)","Ram is handling - no action"))</f>
        <v/>
      </c>
      <c r="F203" s="19">
        <f>IF(E203="Ram is handling - no action","No action needed",IF(M203="","CALL 1: ring candidate, offer to book on call (Playbook C1)",IF(OR(M203="Scheduled on call",M203="Booked on their behalf"),"DONE: scheduled on call",IF(M203="Not interested/Declined","CLOSED: candidate declined (log + tell lead)",IF(N203="","CALL 2: final attempt (Playbook C2)",IF(OR(N203="Scheduled on call",N203="Booked on their behalf"),"DONE: scheduled on call",IF(N203="Escalate to AM","ESCALATED TO LEAD","Review")))))))</f>
        <v/>
      </c>
      <c r="G203" s="20">
        <f>IF(E203="Ram is handling - no action","",IF(M203="",B203+6/24,IF(AND(M203&lt;&gt;"Scheduled on call",M203&lt;&gt;"Booked on their behalf",M203&lt;&gt;"Not interested/Declined",N203=""),B203+20/24,"")))</f>
        <v/>
      </c>
      <c r="H203" s="19" t="inlineStr">
        <is>
          <t>Chetan</t>
        </is>
      </c>
      <c r="I203" s="19" t="inlineStr">
        <is>
          <t>Google</t>
        </is>
      </c>
      <c r="J203" s="19" t="inlineStr">
        <is>
          <t>Round1</t>
        </is>
      </c>
      <c r="K203" s="22" t="inlineStr">
        <is>
          <t>+91 9920264452</t>
        </is>
      </c>
      <c r="L203" s="19" t="inlineStr">
        <is>
          <t>&lt;calendly_link&gt;</t>
        </is>
      </c>
      <c r="M203" s="19" t="n"/>
      <c r="N203" s="19" t="n"/>
      <c r="O203" s="19">
        <f>IF(OR(M203="Scheduled on call",M203="Booked on their behalf",N203="Scheduled on call",N203="Booked on their behalf"),"SCHEDULED (call)",IF(OR(M203="Not interested/Declined",N203="Not interested/Declined"),"DECLINED",IF(N203="Escalate to AM","ESCALATED TO LEAD",IF(E203="Ram is handling - no action","N/A",IF(M203="","PENDING CALL 1","IN PROGRESS")))))</f>
        <v/>
      </c>
      <c r="P203" s="19">
        <f>IF(OR('Ram - Digital ToDo'!O203="Scheduled",'Ram - Digital ToDo'!Q203="Scheduled"),"Scheduled within SLA (self-serve)",IF(OR(M203="Scheduled on call",M203="Booked on their behalf",N203="Scheduled on call",N203="Booked on their behalf"),"Scheduled within SLA (call)",IF(OR(M203="Not interested/Declined",N203="Not interested/Declined"),"Declined",IF(N203="Escalate to AM","SLA breach - unresolved","In progress"))))</f>
        <v/>
      </c>
      <c r="Q203" s="19" t="n"/>
    </row>
    <row r="204">
      <c r="A204" s="19" t="inlineStr">
        <is>
          <t>REQ-0203</t>
        </is>
      </c>
      <c r="B204" s="20" t="n">
        <v>44867.82708333333</v>
      </c>
      <c r="C204" s="20">
        <f>B204+1</f>
        <v/>
      </c>
      <c r="D204" s="21">
        <f>(C204-NOW())*24</f>
        <v/>
      </c>
      <c r="E204" s="19">
        <f>IF('Ram - Digital ToDo'!Q204="Escalate to call","CALL NOW",IF('Ram - Digital ToDo'!N204="Bad contact","CALL NOW (digital failed)","Ram is handling - no action"))</f>
        <v/>
      </c>
      <c r="F204" s="19">
        <f>IF(E204="Ram is handling - no action","No action needed",IF(M204="","CALL 1: ring candidate, offer to book on call (Playbook C1)",IF(OR(M204="Scheduled on call",M204="Booked on their behalf"),"DONE: scheduled on call",IF(M204="Not interested/Declined","CLOSED: candidate declined (log + tell lead)",IF(N204="","CALL 2: final attempt (Playbook C2)",IF(OR(N204="Scheduled on call",N204="Booked on their behalf"),"DONE: scheduled on call",IF(N204="Escalate to AM","ESCALATED TO LEAD","Review")))))))</f>
        <v/>
      </c>
      <c r="G204" s="20">
        <f>IF(E204="Ram is handling - no action","",IF(M204="",B204+6/24,IF(AND(M204&lt;&gt;"Scheduled on call",M204&lt;&gt;"Booked on their behalf",M204&lt;&gt;"Not interested/Declined",N204=""),B204+20/24,"")))</f>
        <v/>
      </c>
      <c r="H204" s="19" t="inlineStr">
        <is>
          <t>Chetan</t>
        </is>
      </c>
      <c r="I204" s="19" t="inlineStr">
        <is>
          <t>Google</t>
        </is>
      </c>
      <c r="J204" s="19" t="inlineStr">
        <is>
          <t>Round1</t>
        </is>
      </c>
      <c r="K204" s="22" t="inlineStr">
        <is>
          <t>+91 9920264452</t>
        </is>
      </c>
      <c r="L204" s="19" t="inlineStr">
        <is>
          <t>&lt;calendly_link&gt;</t>
        </is>
      </c>
      <c r="M204" s="19" t="n"/>
      <c r="N204" s="19" t="n"/>
      <c r="O204" s="19">
        <f>IF(OR(M204="Scheduled on call",M204="Booked on their behalf",N204="Scheduled on call",N204="Booked on their behalf"),"SCHEDULED (call)",IF(OR(M204="Not interested/Declined",N204="Not interested/Declined"),"DECLINED",IF(N204="Escalate to AM","ESCALATED TO LEAD",IF(E204="Ram is handling - no action","N/A",IF(M204="","PENDING CALL 1","IN PROGRESS")))))</f>
        <v/>
      </c>
      <c r="P204" s="19">
        <f>IF(OR('Ram - Digital ToDo'!O204="Scheduled",'Ram - Digital ToDo'!Q204="Scheduled"),"Scheduled within SLA (self-serve)",IF(OR(M204="Scheduled on call",M204="Booked on their behalf",N204="Scheduled on call",N204="Booked on their behalf"),"Scheduled within SLA (call)",IF(OR(M204="Not interested/Declined",N204="Not interested/Declined"),"Declined",IF(N204="Escalate to AM","SLA breach - unresolved","In progress"))))</f>
        <v/>
      </c>
      <c r="Q204" s="19" t="n"/>
    </row>
    <row r="205">
      <c r="A205" s="19" t="inlineStr">
        <is>
          <t>REQ-0204</t>
        </is>
      </c>
      <c r="B205" s="20" t="n">
        <v>44867.82708333333</v>
      </c>
      <c r="C205" s="20">
        <f>B205+1</f>
        <v/>
      </c>
      <c r="D205" s="21">
        <f>(C205-NOW())*24</f>
        <v/>
      </c>
      <c r="E205" s="19">
        <f>IF('Ram - Digital ToDo'!Q205="Escalate to call","CALL NOW",IF('Ram - Digital ToDo'!N205="Bad contact","CALL NOW (digital failed)","Ram is handling - no action"))</f>
        <v/>
      </c>
      <c r="F205" s="19">
        <f>IF(E205="Ram is handling - no action","No action needed",IF(M205="","CALL 1: ring candidate, offer to book on call (Playbook C1)",IF(OR(M205="Scheduled on call",M205="Booked on their behalf"),"DONE: scheduled on call",IF(M205="Not interested/Declined","CLOSED: candidate declined (log + tell lead)",IF(N205="","CALL 2: final attempt (Playbook C2)",IF(OR(N205="Scheduled on call",N205="Booked on their behalf"),"DONE: scheduled on call",IF(N205="Escalate to AM","ESCALATED TO LEAD","Review")))))))</f>
        <v/>
      </c>
      <c r="G205" s="20">
        <f>IF(E205="Ram is handling - no action","",IF(M205="",B205+6/24,IF(AND(M205&lt;&gt;"Scheduled on call",M205&lt;&gt;"Booked on their behalf",M205&lt;&gt;"Not interested/Declined",N205=""),B205+20/24,"")))</f>
        <v/>
      </c>
      <c r="H205" s="19" t="inlineStr">
        <is>
          <t>Chetan</t>
        </is>
      </c>
      <c r="I205" s="19" t="inlineStr">
        <is>
          <t>Google</t>
        </is>
      </c>
      <c r="J205" s="19" t="inlineStr">
        <is>
          <t>Round1</t>
        </is>
      </c>
      <c r="K205" s="22" t="inlineStr">
        <is>
          <t>+91 9920264452</t>
        </is>
      </c>
      <c r="L205" s="19" t="inlineStr">
        <is>
          <t>&lt;calendly_link&gt;</t>
        </is>
      </c>
      <c r="M205" s="19" t="n"/>
      <c r="N205" s="19" t="n"/>
      <c r="O205" s="19">
        <f>IF(OR(M205="Scheduled on call",M205="Booked on their behalf",N205="Scheduled on call",N205="Booked on their behalf"),"SCHEDULED (call)",IF(OR(M205="Not interested/Declined",N205="Not interested/Declined"),"DECLINED",IF(N205="Escalate to AM","ESCALATED TO LEAD",IF(E205="Ram is handling - no action","N/A",IF(M205="","PENDING CALL 1","IN PROGRESS")))))</f>
        <v/>
      </c>
      <c r="P205" s="19">
        <f>IF(OR('Ram - Digital ToDo'!O205="Scheduled",'Ram - Digital ToDo'!Q205="Scheduled"),"Scheduled within SLA (self-serve)",IF(OR(M205="Scheduled on call",M205="Booked on their behalf",N205="Scheduled on call",N205="Booked on their behalf"),"Scheduled within SLA (call)",IF(OR(M205="Not interested/Declined",N205="Not interested/Declined"),"Declined",IF(N205="Escalate to AM","SLA breach - unresolved","In progress"))))</f>
        <v/>
      </c>
      <c r="Q205" s="19" t="n"/>
    </row>
    <row r="206">
      <c r="A206" s="19" t="inlineStr">
        <is>
          <t>REQ-0205</t>
        </is>
      </c>
      <c r="B206" s="20" t="n">
        <v>44867.82708333333</v>
      </c>
      <c r="C206" s="20">
        <f>B206+1</f>
        <v/>
      </c>
      <c r="D206" s="21">
        <f>(C206-NOW())*24</f>
        <v/>
      </c>
      <c r="E206" s="19">
        <f>IF('Ram - Digital ToDo'!Q206="Escalate to call","CALL NOW",IF('Ram - Digital ToDo'!N206="Bad contact","CALL NOW (digital failed)","Ram is handling - no action"))</f>
        <v/>
      </c>
      <c r="F206" s="19">
        <f>IF(E206="Ram is handling - no action","No action needed",IF(M206="","CALL 1: ring candidate, offer to book on call (Playbook C1)",IF(OR(M206="Scheduled on call",M206="Booked on their behalf"),"DONE: scheduled on call",IF(M206="Not interested/Declined","CLOSED: candidate declined (log + tell lead)",IF(N206="","CALL 2: final attempt (Playbook C2)",IF(OR(N206="Scheduled on call",N206="Booked on their behalf"),"DONE: scheduled on call",IF(N206="Escalate to AM","ESCALATED TO LEAD","Review")))))))</f>
        <v/>
      </c>
      <c r="G206" s="20">
        <f>IF(E206="Ram is handling - no action","",IF(M206="",B206+6/24,IF(AND(M206&lt;&gt;"Scheduled on call",M206&lt;&gt;"Booked on their behalf",M206&lt;&gt;"Not interested/Declined",N206=""),B206+20/24,"")))</f>
        <v/>
      </c>
      <c r="H206" s="19" t="inlineStr">
        <is>
          <t>Chetan</t>
        </is>
      </c>
      <c r="I206" s="19" t="inlineStr">
        <is>
          <t>Google</t>
        </is>
      </c>
      <c r="J206" s="19" t="inlineStr">
        <is>
          <t>Round1</t>
        </is>
      </c>
      <c r="K206" s="22" t="inlineStr">
        <is>
          <t>+91 9920264452</t>
        </is>
      </c>
      <c r="L206" s="19" t="inlineStr">
        <is>
          <t>&lt;calendly_link&gt;</t>
        </is>
      </c>
      <c r="M206" s="19" t="n"/>
      <c r="N206" s="19" t="n"/>
      <c r="O206" s="19">
        <f>IF(OR(M206="Scheduled on call",M206="Booked on their behalf",N206="Scheduled on call",N206="Booked on their behalf"),"SCHEDULED (call)",IF(OR(M206="Not interested/Declined",N206="Not interested/Declined"),"DECLINED",IF(N206="Escalate to AM","ESCALATED TO LEAD",IF(E206="Ram is handling - no action","N/A",IF(M206="","PENDING CALL 1","IN PROGRESS")))))</f>
        <v/>
      </c>
      <c r="P206" s="19">
        <f>IF(OR('Ram - Digital ToDo'!O206="Scheduled",'Ram - Digital ToDo'!Q206="Scheduled"),"Scheduled within SLA (self-serve)",IF(OR(M206="Scheduled on call",M206="Booked on their behalf",N206="Scheduled on call",N206="Booked on their behalf"),"Scheduled within SLA (call)",IF(OR(M206="Not interested/Declined",N206="Not interested/Declined"),"Declined",IF(N206="Escalate to AM","SLA breach - unresolved","In progress"))))</f>
        <v/>
      </c>
      <c r="Q206" s="19" t="n"/>
    </row>
    <row r="207">
      <c r="A207" s="19" t="inlineStr">
        <is>
          <t>REQ-0206</t>
        </is>
      </c>
      <c r="B207" s="20" t="n">
        <v>44867.82708333333</v>
      </c>
      <c r="C207" s="20">
        <f>B207+1</f>
        <v/>
      </c>
      <c r="D207" s="21">
        <f>(C207-NOW())*24</f>
        <v/>
      </c>
      <c r="E207" s="19">
        <f>IF('Ram - Digital ToDo'!Q207="Escalate to call","CALL NOW",IF('Ram - Digital ToDo'!N207="Bad contact","CALL NOW (digital failed)","Ram is handling - no action"))</f>
        <v/>
      </c>
      <c r="F207" s="19">
        <f>IF(E207="Ram is handling - no action","No action needed",IF(M207="","CALL 1: ring candidate, offer to book on call (Playbook C1)",IF(OR(M207="Scheduled on call",M207="Booked on their behalf"),"DONE: scheduled on call",IF(M207="Not interested/Declined","CLOSED: candidate declined (log + tell lead)",IF(N207="","CALL 2: final attempt (Playbook C2)",IF(OR(N207="Scheduled on call",N207="Booked on their behalf"),"DONE: scheduled on call",IF(N207="Escalate to AM","ESCALATED TO LEAD","Review")))))))</f>
        <v/>
      </c>
      <c r="G207" s="20">
        <f>IF(E207="Ram is handling - no action","",IF(M207="",B207+6/24,IF(AND(M207&lt;&gt;"Scheduled on call",M207&lt;&gt;"Booked on their behalf",M207&lt;&gt;"Not interested/Declined",N207=""),B207+20/24,"")))</f>
        <v/>
      </c>
      <c r="H207" s="19" t="inlineStr">
        <is>
          <t>Chetan</t>
        </is>
      </c>
      <c r="I207" s="19" t="inlineStr">
        <is>
          <t>Google</t>
        </is>
      </c>
      <c r="J207" s="19" t="inlineStr">
        <is>
          <t>Round1</t>
        </is>
      </c>
      <c r="K207" s="22" t="inlineStr">
        <is>
          <t>+91 9920264452</t>
        </is>
      </c>
      <c r="L207" s="19" t="inlineStr">
        <is>
          <t>&lt;calendly_link&gt;</t>
        </is>
      </c>
      <c r="M207" s="19" t="n"/>
      <c r="N207" s="19" t="n"/>
      <c r="O207" s="19">
        <f>IF(OR(M207="Scheduled on call",M207="Booked on their behalf",N207="Scheduled on call",N207="Booked on their behalf"),"SCHEDULED (call)",IF(OR(M207="Not interested/Declined",N207="Not interested/Declined"),"DECLINED",IF(N207="Escalate to AM","ESCALATED TO LEAD",IF(E207="Ram is handling - no action","N/A",IF(M207="","PENDING CALL 1","IN PROGRESS")))))</f>
        <v/>
      </c>
      <c r="P207" s="19">
        <f>IF(OR('Ram - Digital ToDo'!O207="Scheduled",'Ram - Digital ToDo'!Q207="Scheduled"),"Scheduled within SLA (self-serve)",IF(OR(M207="Scheduled on call",M207="Booked on their behalf",N207="Scheduled on call",N207="Booked on their behalf"),"Scheduled within SLA (call)",IF(OR(M207="Not interested/Declined",N207="Not interested/Declined"),"Declined",IF(N207="Escalate to AM","SLA breach - unresolved","In progress"))))</f>
        <v/>
      </c>
      <c r="Q207" s="19" t="n"/>
    </row>
    <row r="208">
      <c r="A208" s="19" t="inlineStr">
        <is>
          <t>REQ-0207</t>
        </is>
      </c>
      <c r="B208" s="20" t="n">
        <v>44867.82708333333</v>
      </c>
      <c r="C208" s="20">
        <f>B208+1</f>
        <v/>
      </c>
      <c r="D208" s="21">
        <f>(C208-NOW())*24</f>
        <v/>
      </c>
      <c r="E208" s="19">
        <f>IF('Ram - Digital ToDo'!Q208="Escalate to call","CALL NOW",IF('Ram - Digital ToDo'!N208="Bad contact","CALL NOW (digital failed)","Ram is handling - no action"))</f>
        <v/>
      </c>
      <c r="F208" s="19">
        <f>IF(E208="Ram is handling - no action","No action needed",IF(M208="","CALL 1: ring candidate, offer to book on call (Playbook C1)",IF(OR(M208="Scheduled on call",M208="Booked on their behalf"),"DONE: scheduled on call",IF(M208="Not interested/Declined","CLOSED: candidate declined (log + tell lead)",IF(N208="","CALL 2: final attempt (Playbook C2)",IF(OR(N208="Scheduled on call",N208="Booked on their behalf"),"DONE: scheduled on call",IF(N208="Escalate to AM","ESCALATED TO LEAD","Review")))))))</f>
        <v/>
      </c>
      <c r="G208" s="20">
        <f>IF(E208="Ram is handling - no action","",IF(M208="",B208+6/24,IF(AND(M208&lt;&gt;"Scheduled on call",M208&lt;&gt;"Booked on their behalf",M208&lt;&gt;"Not interested/Declined",N208=""),B208+20/24,"")))</f>
        <v/>
      </c>
      <c r="H208" s="19" t="inlineStr">
        <is>
          <t>Chetan</t>
        </is>
      </c>
      <c r="I208" s="19" t="inlineStr">
        <is>
          <t>Google</t>
        </is>
      </c>
      <c r="J208" s="19" t="inlineStr">
        <is>
          <t>Round1</t>
        </is>
      </c>
      <c r="K208" s="22" t="inlineStr">
        <is>
          <t>+91 9920264452</t>
        </is>
      </c>
      <c r="L208" s="19" t="inlineStr">
        <is>
          <t>&lt;calendly_link&gt;</t>
        </is>
      </c>
      <c r="M208" s="19" t="n"/>
      <c r="N208" s="19" t="n"/>
      <c r="O208" s="19">
        <f>IF(OR(M208="Scheduled on call",M208="Booked on their behalf",N208="Scheduled on call",N208="Booked on their behalf"),"SCHEDULED (call)",IF(OR(M208="Not interested/Declined",N208="Not interested/Declined"),"DECLINED",IF(N208="Escalate to AM","ESCALATED TO LEAD",IF(E208="Ram is handling - no action","N/A",IF(M208="","PENDING CALL 1","IN PROGRESS")))))</f>
        <v/>
      </c>
      <c r="P208" s="19">
        <f>IF(OR('Ram - Digital ToDo'!O208="Scheduled",'Ram - Digital ToDo'!Q208="Scheduled"),"Scheduled within SLA (self-serve)",IF(OR(M208="Scheduled on call",M208="Booked on their behalf",N208="Scheduled on call",N208="Booked on their behalf"),"Scheduled within SLA (call)",IF(OR(M208="Not interested/Declined",N208="Not interested/Declined"),"Declined",IF(N208="Escalate to AM","SLA breach - unresolved","In progress"))))</f>
        <v/>
      </c>
      <c r="Q208" s="19" t="n"/>
    </row>
    <row r="209">
      <c r="A209" s="19" t="inlineStr">
        <is>
          <t>REQ-0208</t>
        </is>
      </c>
      <c r="B209" s="20" t="n">
        <v>44867.82708333333</v>
      </c>
      <c r="C209" s="20">
        <f>B209+1</f>
        <v/>
      </c>
      <c r="D209" s="21">
        <f>(C209-NOW())*24</f>
        <v/>
      </c>
      <c r="E209" s="19">
        <f>IF('Ram - Digital ToDo'!Q209="Escalate to call","CALL NOW",IF('Ram - Digital ToDo'!N209="Bad contact","CALL NOW (digital failed)","Ram is handling - no action"))</f>
        <v/>
      </c>
      <c r="F209" s="19">
        <f>IF(E209="Ram is handling - no action","No action needed",IF(M209="","CALL 1: ring candidate, offer to book on call (Playbook C1)",IF(OR(M209="Scheduled on call",M209="Booked on their behalf"),"DONE: scheduled on call",IF(M209="Not interested/Declined","CLOSED: candidate declined (log + tell lead)",IF(N209="","CALL 2: final attempt (Playbook C2)",IF(OR(N209="Scheduled on call",N209="Booked on their behalf"),"DONE: scheduled on call",IF(N209="Escalate to AM","ESCALATED TO LEAD","Review")))))))</f>
        <v/>
      </c>
      <c r="G209" s="20">
        <f>IF(E209="Ram is handling - no action","",IF(M209="",B209+6/24,IF(AND(M209&lt;&gt;"Scheduled on call",M209&lt;&gt;"Booked on their behalf",M209&lt;&gt;"Not interested/Declined",N209=""),B209+20/24,"")))</f>
        <v/>
      </c>
      <c r="H209" s="19" t="inlineStr">
        <is>
          <t>Chetan</t>
        </is>
      </c>
      <c r="I209" s="19" t="inlineStr">
        <is>
          <t>Google</t>
        </is>
      </c>
      <c r="J209" s="19" t="inlineStr">
        <is>
          <t>Round1</t>
        </is>
      </c>
      <c r="K209" s="22" t="inlineStr">
        <is>
          <t>+91 9920264452</t>
        </is>
      </c>
      <c r="L209" s="19" t="inlineStr">
        <is>
          <t>&lt;calendly_link&gt;</t>
        </is>
      </c>
      <c r="M209" s="19" t="n"/>
      <c r="N209" s="19" t="n"/>
      <c r="O209" s="19">
        <f>IF(OR(M209="Scheduled on call",M209="Booked on their behalf",N209="Scheduled on call",N209="Booked on their behalf"),"SCHEDULED (call)",IF(OR(M209="Not interested/Declined",N209="Not interested/Declined"),"DECLINED",IF(N209="Escalate to AM","ESCALATED TO LEAD",IF(E209="Ram is handling - no action","N/A",IF(M209="","PENDING CALL 1","IN PROGRESS")))))</f>
        <v/>
      </c>
      <c r="P209" s="19">
        <f>IF(OR('Ram - Digital ToDo'!O209="Scheduled",'Ram - Digital ToDo'!Q209="Scheduled"),"Scheduled within SLA (self-serve)",IF(OR(M209="Scheduled on call",M209="Booked on their behalf",N209="Scheduled on call",N209="Booked on their behalf"),"Scheduled within SLA (call)",IF(OR(M209="Not interested/Declined",N209="Not interested/Declined"),"Declined",IF(N209="Escalate to AM","SLA breach - unresolved","In progress"))))</f>
        <v/>
      </c>
      <c r="Q209" s="19" t="n"/>
    </row>
    <row r="210">
      <c r="A210" s="19" t="inlineStr">
        <is>
          <t>REQ-0209</t>
        </is>
      </c>
      <c r="B210" s="20" t="n">
        <v>44867.82708333333</v>
      </c>
      <c r="C210" s="20">
        <f>B210+1</f>
        <v/>
      </c>
      <c r="D210" s="21">
        <f>(C210-NOW())*24</f>
        <v/>
      </c>
      <c r="E210" s="19">
        <f>IF('Ram - Digital ToDo'!Q210="Escalate to call","CALL NOW",IF('Ram - Digital ToDo'!N210="Bad contact","CALL NOW (digital failed)","Ram is handling - no action"))</f>
        <v/>
      </c>
      <c r="F210" s="19">
        <f>IF(E210="Ram is handling - no action","No action needed",IF(M210="","CALL 1: ring candidate, offer to book on call (Playbook C1)",IF(OR(M210="Scheduled on call",M210="Booked on their behalf"),"DONE: scheduled on call",IF(M210="Not interested/Declined","CLOSED: candidate declined (log + tell lead)",IF(N210="","CALL 2: final attempt (Playbook C2)",IF(OR(N210="Scheduled on call",N210="Booked on their behalf"),"DONE: scheduled on call",IF(N210="Escalate to AM","ESCALATED TO LEAD","Review")))))))</f>
        <v/>
      </c>
      <c r="G210" s="20">
        <f>IF(E210="Ram is handling - no action","",IF(M210="",B210+6/24,IF(AND(M210&lt;&gt;"Scheduled on call",M210&lt;&gt;"Booked on their behalf",M210&lt;&gt;"Not interested/Declined",N210=""),B210+20/24,"")))</f>
        <v/>
      </c>
      <c r="H210" s="19" t="inlineStr">
        <is>
          <t>Chetan</t>
        </is>
      </c>
      <c r="I210" s="19" t="inlineStr">
        <is>
          <t>Google</t>
        </is>
      </c>
      <c r="J210" s="19" t="inlineStr">
        <is>
          <t>Round1</t>
        </is>
      </c>
      <c r="K210" s="22" t="inlineStr">
        <is>
          <t>+91 9920264452</t>
        </is>
      </c>
      <c r="L210" s="19" t="inlineStr">
        <is>
          <t>&lt;calendly_link&gt;</t>
        </is>
      </c>
      <c r="M210" s="19" t="n"/>
      <c r="N210" s="19" t="n"/>
      <c r="O210" s="19">
        <f>IF(OR(M210="Scheduled on call",M210="Booked on their behalf",N210="Scheduled on call",N210="Booked on their behalf"),"SCHEDULED (call)",IF(OR(M210="Not interested/Declined",N210="Not interested/Declined"),"DECLINED",IF(N210="Escalate to AM","ESCALATED TO LEAD",IF(E210="Ram is handling - no action","N/A",IF(M210="","PENDING CALL 1","IN PROGRESS")))))</f>
        <v/>
      </c>
      <c r="P210" s="19">
        <f>IF(OR('Ram - Digital ToDo'!O210="Scheduled",'Ram - Digital ToDo'!Q210="Scheduled"),"Scheduled within SLA (self-serve)",IF(OR(M210="Scheduled on call",M210="Booked on their behalf",N210="Scheduled on call",N210="Booked on their behalf"),"Scheduled within SLA (call)",IF(OR(M210="Not interested/Declined",N210="Not interested/Declined"),"Declined",IF(N210="Escalate to AM","SLA breach - unresolved","In progress"))))</f>
        <v/>
      </c>
      <c r="Q210" s="19" t="n"/>
    </row>
    <row r="211">
      <c r="A211" s="19" t="inlineStr">
        <is>
          <t>REQ-0210</t>
        </is>
      </c>
      <c r="B211" s="20" t="n">
        <v>44867.82708333333</v>
      </c>
      <c r="C211" s="20">
        <f>B211+1</f>
        <v/>
      </c>
      <c r="D211" s="21">
        <f>(C211-NOW())*24</f>
        <v/>
      </c>
      <c r="E211" s="19">
        <f>IF('Ram - Digital ToDo'!Q211="Escalate to call","CALL NOW",IF('Ram - Digital ToDo'!N211="Bad contact","CALL NOW (digital failed)","Ram is handling - no action"))</f>
        <v/>
      </c>
      <c r="F211" s="19">
        <f>IF(E211="Ram is handling - no action","No action needed",IF(M211="","CALL 1: ring candidate, offer to book on call (Playbook C1)",IF(OR(M211="Scheduled on call",M211="Booked on their behalf"),"DONE: scheduled on call",IF(M211="Not interested/Declined","CLOSED: candidate declined (log + tell lead)",IF(N211="","CALL 2: final attempt (Playbook C2)",IF(OR(N211="Scheduled on call",N211="Booked on their behalf"),"DONE: scheduled on call",IF(N211="Escalate to AM","ESCALATED TO LEAD","Review")))))))</f>
        <v/>
      </c>
      <c r="G211" s="20">
        <f>IF(E211="Ram is handling - no action","",IF(M211="",B211+6/24,IF(AND(M211&lt;&gt;"Scheduled on call",M211&lt;&gt;"Booked on their behalf",M211&lt;&gt;"Not interested/Declined",N211=""),B211+20/24,"")))</f>
        <v/>
      </c>
      <c r="H211" s="19" t="inlineStr">
        <is>
          <t>Chetan</t>
        </is>
      </c>
      <c r="I211" s="19" t="inlineStr">
        <is>
          <t>Google</t>
        </is>
      </c>
      <c r="J211" s="19" t="inlineStr">
        <is>
          <t>Round1</t>
        </is>
      </c>
      <c r="K211" s="22" t="inlineStr">
        <is>
          <t>+91 9920264452</t>
        </is>
      </c>
      <c r="L211" s="19" t="inlineStr">
        <is>
          <t>&lt;calendly_link&gt;</t>
        </is>
      </c>
      <c r="M211" s="19" t="n"/>
      <c r="N211" s="19" t="n"/>
      <c r="O211" s="19">
        <f>IF(OR(M211="Scheduled on call",M211="Booked on their behalf",N211="Scheduled on call",N211="Booked on their behalf"),"SCHEDULED (call)",IF(OR(M211="Not interested/Declined",N211="Not interested/Declined"),"DECLINED",IF(N211="Escalate to AM","ESCALATED TO LEAD",IF(E211="Ram is handling - no action","N/A",IF(M211="","PENDING CALL 1","IN PROGRESS")))))</f>
        <v/>
      </c>
      <c r="P211" s="19">
        <f>IF(OR('Ram - Digital ToDo'!O211="Scheduled",'Ram - Digital ToDo'!Q211="Scheduled"),"Scheduled within SLA (self-serve)",IF(OR(M211="Scheduled on call",M211="Booked on their behalf",N211="Scheduled on call",N211="Booked on their behalf"),"Scheduled within SLA (call)",IF(OR(M211="Not interested/Declined",N211="Not interested/Declined"),"Declined",IF(N211="Escalate to AM","SLA breach - unresolved","In progress"))))</f>
        <v/>
      </c>
      <c r="Q211" s="19" t="n"/>
    </row>
    <row r="212">
      <c r="A212" s="19" t="inlineStr">
        <is>
          <t>REQ-0211</t>
        </is>
      </c>
      <c r="B212" s="20" t="n">
        <v>44867.82708333333</v>
      </c>
      <c r="C212" s="20">
        <f>B212+1</f>
        <v/>
      </c>
      <c r="D212" s="21">
        <f>(C212-NOW())*24</f>
        <v/>
      </c>
      <c r="E212" s="19">
        <f>IF('Ram - Digital ToDo'!Q212="Escalate to call","CALL NOW",IF('Ram - Digital ToDo'!N212="Bad contact","CALL NOW (digital failed)","Ram is handling - no action"))</f>
        <v/>
      </c>
      <c r="F212" s="19">
        <f>IF(E212="Ram is handling - no action","No action needed",IF(M212="","CALL 1: ring candidate, offer to book on call (Playbook C1)",IF(OR(M212="Scheduled on call",M212="Booked on their behalf"),"DONE: scheduled on call",IF(M212="Not interested/Declined","CLOSED: candidate declined (log + tell lead)",IF(N212="","CALL 2: final attempt (Playbook C2)",IF(OR(N212="Scheduled on call",N212="Booked on their behalf"),"DONE: scheduled on call",IF(N212="Escalate to AM","ESCALATED TO LEAD","Review")))))))</f>
        <v/>
      </c>
      <c r="G212" s="20">
        <f>IF(E212="Ram is handling - no action","",IF(M212="",B212+6/24,IF(AND(M212&lt;&gt;"Scheduled on call",M212&lt;&gt;"Booked on their behalf",M212&lt;&gt;"Not interested/Declined",N212=""),B212+20/24,"")))</f>
        <v/>
      </c>
      <c r="H212" s="19" t="inlineStr">
        <is>
          <t>Chetan</t>
        </is>
      </c>
      <c r="I212" s="19" t="inlineStr">
        <is>
          <t>Google</t>
        </is>
      </c>
      <c r="J212" s="19" t="inlineStr">
        <is>
          <t>Round1</t>
        </is>
      </c>
      <c r="K212" s="22" t="inlineStr">
        <is>
          <t>+91 9920264452</t>
        </is>
      </c>
      <c r="L212" s="19" t="inlineStr">
        <is>
          <t>&lt;calendly_link&gt;</t>
        </is>
      </c>
      <c r="M212" s="19" t="n"/>
      <c r="N212" s="19" t="n"/>
      <c r="O212" s="19">
        <f>IF(OR(M212="Scheduled on call",M212="Booked on their behalf",N212="Scheduled on call",N212="Booked on their behalf"),"SCHEDULED (call)",IF(OR(M212="Not interested/Declined",N212="Not interested/Declined"),"DECLINED",IF(N212="Escalate to AM","ESCALATED TO LEAD",IF(E212="Ram is handling - no action","N/A",IF(M212="","PENDING CALL 1","IN PROGRESS")))))</f>
        <v/>
      </c>
      <c r="P212" s="19">
        <f>IF(OR('Ram - Digital ToDo'!O212="Scheduled",'Ram - Digital ToDo'!Q212="Scheduled"),"Scheduled within SLA (self-serve)",IF(OR(M212="Scheduled on call",M212="Booked on their behalf",N212="Scheduled on call",N212="Booked on their behalf"),"Scheduled within SLA (call)",IF(OR(M212="Not interested/Declined",N212="Not interested/Declined"),"Declined",IF(N212="Escalate to AM","SLA breach - unresolved","In progress"))))</f>
        <v/>
      </c>
      <c r="Q212" s="19" t="n"/>
    </row>
    <row r="213">
      <c r="A213" s="19" t="inlineStr">
        <is>
          <t>REQ-0212</t>
        </is>
      </c>
      <c r="B213" s="20" t="n">
        <v>44867.82708333333</v>
      </c>
      <c r="C213" s="20">
        <f>B213+1</f>
        <v/>
      </c>
      <c r="D213" s="21">
        <f>(C213-NOW())*24</f>
        <v/>
      </c>
      <c r="E213" s="19">
        <f>IF('Ram - Digital ToDo'!Q213="Escalate to call","CALL NOW",IF('Ram - Digital ToDo'!N213="Bad contact","CALL NOW (digital failed)","Ram is handling - no action"))</f>
        <v/>
      </c>
      <c r="F213" s="19">
        <f>IF(E213="Ram is handling - no action","No action needed",IF(M213="","CALL 1: ring candidate, offer to book on call (Playbook C1)",IF(OR(M213="Scheduled on call",M213="Booked on their behalf"),"DONE: scheduled on call",IF(M213="Not interested/Declined","CLOSED: candidate declined (log + tell lead)",IF(N213="","CALL 2: final attempt (Playbook C2)",IF(OR(N213="Scheduled on call",N213="Booked on their behalf"),"DONE: scheduled on call",IF(N213="Escalate to AM","ESCALATED TO LEAD","Review")))))))</f>
        <v/>
      </c>
      <c r="G213" s="20">
        <f>IF(E213="Ram is handling - no action","",IF(M213="",B213+6/24,IF(AND(M213&lt;&gt;"Scheduled on call",M213&lt;&gt;"Booked on their behalf",M213&lt;&gt;"Not interested/Declined",N213=""),B213+20/24,"")))</f>
        <v/>
      </c>
      <c r="H213" s="19" t="inlineStr">
        <is>
          <t>Chetan</t>
        </is>
      </c>
      <c r="I213" s="19" t="inlineStr">
        <is>
          <t>Google</t>
        </is>
      </c>
      <c r="J213" s="19" t="inlineStr">
        <is>
          <t>Round1</t>
        </is>
      </c>
      <c r="K213" s="22" t="inlineStr">
        <is>
          <t>+91 9920264452</t>
        </is>
      </c>
      <c r="L213" s="19" t="inlineStr">
        <is>
          <t>&lt;calendly_link&gt;</t>
        </is>
      </c>
      <c r="M213" s="19" t="n"/>
      <c r="N213" s="19" t="n"/>
      <c r="O213" s="19">
        <f>IF(OR(M213="Scheduled on call",M213="Booked on their behalf",N213="Scheduled on call",N213="Booked on their behalf"),"SCHEDULED (call)",IF(OR(M213="Not interested/Declined",N213="Not interested/Declined"),"DECLINED",IF(N213="Escalate to AM","ESCALATED TO LEAD",IF(E213="Ram is handling - no action","N/A",IF(M213="","PENDING CALL 1","IN PROGRESS")))))</f>
        <v/>
      </c>
      <c r="P213" s="19">
        <f>IF(OR('Ram - Digital ToDo'!O213="Scheduled",'Ram - Digital ToDo'!Q213="Scheduled"),"Scheduled within SLA (self-serve)",IF(OR(M213="Scheduled on call",M213="Booked on their behalf",N213="Scheduled on call",N213="Booked on their behalf"),"Scheduled within SLA (call)",IF(OR(M213="Not interested/Declined",N213="Not interested/Declined"),"Declined",IF(N213="Escalate to AM","SLA breach - unresolved","In progress"))))</f>
        <v/>
      </c>
      <c r="Q213" s="19" t="n"/>
    </row>
    <row r="214">
      <c r="A214" s="19" t="inlineStr">
        <is>
          <t>REQ-0213</t>
        </is>
      </c>
      <c r="B214" s="20" t="n">
        <v>44867.82708333333</v>
      </c>
      <c r="C214" s="20">
        <f>B214+1</f>
        <v/>
      </c>
      <c r="D214" s="21">
        <f>(C214-NOW())*24</f>
        <v/>
      </c>
      <c r="E214" s="19">
        <f>IF('Ram - Digital ToDo'!Q214="Escalate to call","CALL NOW",IF('Ram - Digital ToDo'!N214="Bad contact","CALL NOW (digital failed)","Ram is handling - no action"))</f>
        <v/>
      </c>
      <c r="F214" s="19">
        <f>IF(E214="Ram is handling - no action","No action needed",IF(M214="","CALL 1: ring candidate, offer to book on call (Playbook C1)",IF(OR(M214="Scheduled on call",M214="Booked on their behalf"),"DONE: scheduled on call",IF(M214="Not interested/Declined","CLOSED: candidate declined (log + tell lead)",IF(N214="","CALL 2: final attempt (Playbook C2)",IF(OR(N214="Scheduled on call",N214="Booked on their behalf"),"DONE: scheduled on call",IF(N214="Escalate to AM","ESCALATED TO LEAD","Review")))))))</f>
        <v/>
      </c>
      <c r="G214" s="20">
        <f>IF(E214="Ram is handling - no action","",IF(M214="",B214+6/24,IF(AND(M214&lt;&gt;"Scheduled on call",M214&lt;&gt;"Booked on their behalf",M214&lt;&gt;"Not interested/Declined",N214=""),B214+20/24,"")))</f>
        <v/>
      </c>
      <c r="H214" s="19" t="inlineStr">
        <is>
          <t>Chetan</t>
        </is>
      </c>
      <c r="I214" s="19" t="inlineStr">
        <is>
          <t>Google</t>
        </is>
      </c>
      <c r="J214" s="19" t="inlineStr">
        <is>
          <t>Round1</t>
        </is>
      </c>
      <c r="K214" s="22" t="inlineStr">
        <is>
          <t>+91 9920264452</t>
        </is>
      </c>
      <c r="L214" s="19" t="inlineStr">
        <is>
          <t>&lt;calendly_link&gt;</t>
        </is>
      </c>
      <c r="M214" s="19" t="n"/>
      <c r="N214" s="19" t="n"/>
      <c r="O214" s="19">
        <f>IF(OR(M214="Scheduled on call",M214="Booked on their behalf",N214="Scheduled on call",N214="Booked on their behalf"),"SCHEDULED (call)",IF(OR(M214="Not interested/Declined",N214="Not interested/Declined"),"DECLINED",IF(N214="Escalate to AM","ESCALATED TO LEAD",IF(E214="Ram is handling - no action","N/A",IF(M214="","PENDING CALL 1","IN PROGRESS")))))</f>
        <v/>
      </c>
      <c r="P214" s="19">
        <f>IF(OR('Ram - Digital ToDo'!O214="Scheduled",'Ram - Digital ToDo'!Q214="Scheduled"),"Scheduled within SLA (self-serve)",IF(OR(M214="Scheduled on call",M214="Booked on their behalf",N214="Scheduled on call",N214="Booked on their behalf"),"Scheduled within SLA (call)",IF(OR(M214="Not interested/Declined",N214="Not interested/Declined"),"Declined",IF(N214="Escalate to AM","SLA breach - unresolved","In progress"))))</f>
        <v/>
      </c>
      <c r="Q214" s="19" t="n"/>
    </row>
    <row r="215">
      <c r="A215" s="19" t="inlineStr">
        <is>
          <t>REQ-0214</t>
        </is>
      </c>
      <c r="B215" s="20" t="n">
        <v>44867.82708333333</v>
      </c>
      <c r="C215" s="20">
        <f>B215+1</f>
        <v/>
      </c>
      <c r="D215" s="21">
        <f>(C215-NOW())*24</f>
        <v/>
      </c>
      <c r="E215" s="19">
        <f>IF('Ram - Digital ToDo'!Q215="Escalate to call","CALL NOW",IF('Ram - Digital ToDo'!N215="Bad contact","CALL NOW (digital failed)","Ram is handling - no action"))</f>
        <v/>
      </c>
      <c r="F215" s="19">
        <f>IF(E215="Ram is handling - no action","No action needed",IF(M215="","CALL 1: ring candidate, offer to book on call (Playbook C1)",IF(OR(M215="Scheduled on call",M215="Booked on their behalf"),"DONE: scheduled on call",IF(M215="Not interested/Declined","CLOSED: candidate declined (log + tell lead)",IF(N215="","CALL 2: final attempt (Playbook C2)",IF(OR(N215="Scheduled on call",N215="Booked on their behalf"),"DONE: scheduled on call",IF(N215="Escalate to AM","ESCALATED TO LEAD","Review")))))))</f>
        <v/>
      </c>
      <c r="G215" s="20">
        <f>IF(E215="Ram is handling - no action","",IF(M215="",B215+6/24,IF(AND(M215&lt;&gt;"Scheduled on call",M215&lt;&gt;"Booked on their behalf",M215&lt;&gt;"Not interested/Declined",N215=""),B215+20/24,"")))</f>
        <v/>
      </c>
      <c r="H215" s="19" t="inlineStr">
        <is>
          <t>Chetan</t>
        </is>
      </c>
      <c r="I215" s="19" t="inlineStr">
        <is>
          <t>Google</t>
        </is>
      </c>
      <c r="J215" s="19" t="inlineStr">
        <is>
          <t>Round1</t>
        </is>
      </c>
      <c r="K215" s="22" t="inlineStr">
        <is>
          <t>+91 9920264452</t>
        </is>
      </c>
      <c r="L215" s="19" t="inlineStr">
        <is>
          <t>&lt;calendly_link&gt;</t>
        </is>
      </c>
      <c r="M215" s="19" t="n"/>
      <c r="N215" s="19" t="n"/>
      <c r="O215" s="19">
        <f>IF(OR(M215="Scheduled on call",M215="Booked on their behalf",N215="Scheduled on call",N215="Booked on their behalf"),"SCHEDULED (call)",IF(OR(M215="Not interested/Declined",N215="Not interested/Declined"),"DECLINED",IF(N215="Escalate to AM","ESCALATED TO LEAD",IF(E215="Ram is handling - no action","N/A",IF(M215="","PENDING CALL 1","IN PROGRESS")))))</f>
        <v/>
      </c>
      <c r="P215" s="19">
        <f>IF(OR('Ram - Digital ToDo'!O215="Scheduled",'Ram - Digital ToDo'!Q215="Scheduled"),"Scheduled within SLA (self-serve)",IF(OR(M215="Scheduled on call",M215="Booked on their behalf",N215="Scheduled on call",N215="Booked on their behalf"),"Scheduled within SLA (call)",IF(OR(M215="Not interested/Declined",N215="Not interested/Declined"),"Declined",IF(N215="Escalate to AM","SLA breach - unresolved","In progress"))))</f>
        <v/>
      </c>
      <c r="Q215" s="19" t="n"/>
    </row>
    <row r="216">
      <c r="A216" s="19" t="inlineStr">
        <is>
          <t>REQ-0215</t>
        </is>
      </c>
      <c r="B216" s="20" t="n">
        <v>44867.82708333333</v>
      </c>
      <c r="C216" s="20">
        <f>B216+1</f>
        <v/>
      </c>
      <c r="D216" s="21">
        <f>(C216-NOW())*24</f>
        <v/>
      </c>
      <c r="E216" s="19">
        <f>IF('Ram - Digital ToDo'!Q216="Escalate to call","CALL NOW",IF('Ram - Digital ToDo'!N216="Bad contact","CALL NOW (digital failed)","Ram is handling - no action"))</f>
        <v/>
      </c>
      <c r="F216" s="19">
        <f>IF(E216="Ram is handling - no action","No action needed",IF(M216="","CALL 1: ring candidate, offer to book on call (Playbook C1)",IF(OR(M216="Scheduled on call",M216="Booked on their behalf"),"DONE: scheduled on call",IF(M216="Not interested/Declined","CLOSED: candidate declined (log + tell lead)",IF(N216="","CALL 2: final attempt (Playbook C2)",IF(OR(N216="Scheduled on call",N216="Booked on their behalf"),"DONE: scheduled on call",IF(N216="Escalate to AM","ESCALATED TO LEAD","Review")))))))</f>
        <v/>
      </c>
      <c r="G216" s="20">
        <f>IF(E216="Ram is handling - no action","",IF(M216="",B216+6/24,IF(AND(M216&lt;&gt;"Scheduled on call",M216&lt;&gt;"Booked on their behalf",M216&lt;&gt;"Not interested/Declined",N216=""),B216+20/24,"")))</f>
        <v/>
      </c>
      <c r="H216" s="19" t="inlineStr">
        <is>
          <t>Chetan</t>
        </is>
      </c>
      <c r="I216" s="19" t="inlineStr">
        <is>
          <t>Google</t>
        </is>
      </c>
      <c r="J216" s="19" t="inlineStr">
        <is>
          <t>Round1</t>
        </is>
      </c>
      <c r="K216" s="22" t="inlineStr">
        <is>
          <t>+91 9920264452</t>
        </is>
      </c>
      <c r="L216" s="19" t="inlineStr">
        <is>
          <t>&lt;calendly_link&gt;</t>
        </is>
      </c>
      <c r="M216" s="19" t="n"/>
      <c r="N216" s="19" t="n"/>
      <c r="O216" s="19">
        <f>IF(OR(M216="Scheduled on call",M216="Booked on their behalf",N216="Scheduled on call",N216="Booked on their behalf"),"SCHEDULED (call)",IF(OR(M216="Not interested/Declined",N216="Not interested/Declined"),"DECLINED",IF(N216="Escalate to AM","ESCALATED TO LEAD",IF(E216="Ram is handling - no action","N/A",IF(M216="","PENDING CALL 1","IN PROGRESS")))))</f>
        <v/>
      </c>
      <c r="P216" s="19">
        <f>IF(OR('Ram - Digital ToDo'!O216="Scheduled",'Ram - Digital ToDo'!Q216="Scheduled"),"Scheduled within SLA (self-serve)",IF(OR(M216="Scheduled on call",M216="Booked on their behalf",N216="Scheduled on call",N216="Booked on their behalf"),"Scheduled within SLA (call)",IF(OR(M216="Not interested/Declined",N216="Not interested/Declined"),"Declined",IF(N216="Escalate to AM","SLA breach - unresolved","In progress"))))</f>
        <v/>
      </c>
      <c r="Q216" s="19" t="n"/>
    </row>
    <row r="217">
      <c r="A217" s="19" t="inlineStr">
        <is>
          <t>REQ-0216</t>
        </is>
      </c>
      <c r="B217" s="20" t="n">
        <v>44867.82708333333</v>
      </c>
      <c r="C217" s="20">
        <f>B217+1</f>
        <v/>
      </c>
      <c r="D217" s="21">
        <f>(C217-NOW())*24</f>
        <v/>
      </c>
      <c r="E217" s="19">
        <f>IF('Ram - Digital ToDo'!Q217="Escalate to call","CALL NOW",IF('Ram - Digital ToDo'!N217="Bad contact","CALL NOW (digital failed)","Ram is handling - no action"))</f>
        <v/>
      </c>
      <c r="F217" s="19">
        <f>IF(E217="Ram is handling - no action","No action needed",IF(M217="","CALL 1: ring candidate, offer to book on call (Playbook C1)",IF(OR(M217="Scheduled on call",M217="Booked on their behalf"),"DONE: scheduled on call",IF(M217="Not interested/Declined","CLOSED: candidate declined (log + tell lead)",IF(N217="","CALL 2: final attempt (Playbook C2)",IF(OR(N217="Scheduled on call",N217="Booked on their behalf"),"DONE: scheduled on call",IF(N217="Escalate to AM","ESCALATED TO LEAD","Review")))))))</f>
        <v/>
      </c>
      <c r="G217" s="20">
        <f>IF(E217="Ram is handling - no action","",IF(M217="",B217+6/24,IF(AND(M217&lt;&gt;"Scheduled on call",M217&lt;&gt;"Booked on their behalf",M217&lt;&gt;"Not interested/Declined",N217=""),B217+20/24,"")))</f>
        <v/>
      </c>
      <c r="H217" s="19" t="inlineStr">
        <is>
          <t>Chetan</t>
        </is>
      </c>
      <c r="I217" s="19" t="inlineStr">
        <is>
          <t>Google</t>
        </is>
      </c>
      <c r="J217" s="19" t="inlineStr">
        <is>
          <t>Round1</t>
        </is>
      </c>
      <c r="K217" s="22" t="inlineStr">
        <is>
          <t>+91 9920264452</t>
        </is>
      </c>
      <c r="L217" s="19" t="inlineStr">
        <is>
          <t>&lt;calendly_link&gt;</t>
        </is>
      </c>
      <c r="M217" s="19" t="n"/>
      <c r="N217" s="19" t="n"/>
      <c r="O217" s="19">
        <f>IF(OR(M217="Scheduled on call",M217="Booked on their behalf",N217="Scheduled on call",N217="Booked on their behalf"),"SCHEDULED (call)",IF(OR(M217="Not interested/Declined",N217="Not interested/Declined"),"DECLINED",IF(N217="Escalate to AM","ESCALATED TO LEAD",IF(E217="Ram is handling - no action","N/A",IF(M217="","PENDING CALL 1","IN PROGRESS")))))</f>
        <v/>
      </c>
      <c r="P217" s="19">
        <f>IF(OR('Ram - Digital ToDo'!O217="Scheduled",'Ram - Digital ToDo'!Q217="Scheduled"),"Scheduled within SLA (self-serve)",IF(OR(M217="Scheduled on call",M217="Booked on their behalf",N217="Scheduled on call",N217="Booked on their behalf"),"Scheduled within SLA (call)",IF(OR(M217="Not interested/Declined",N217="Not interested/Declined"),"Declined",IF(N217="Escalate to AM","SLA breach - unresolved","In progress"))))</f>
        <v/>
      </c>
      <c r="Q217" s="19" t="n"/>
    </row>
    <row r="218">
      <c r="A218" s="19" t="inlineStr">
        <is>
          <t>REQ-0217</t>
        </is>
      </c>
      <c r="B218" s="20" t="n">
        <v>44867.82708333333</v>
      </c>
      <c r="C218" s="20">
        <f>B218+1</f>
        <v/>
      </c>
      <c r="D218" s="21">
        <f>(C218-NOW())*24</f>
        <v/>
      </c>
      <c r="E218" s="19">
        <f>IF('Ram - Digital ToDo'!Q218="Escalate to call","CALL NOW",IF('Ram - Digital ToDo'!N218="Bad contact","CALL NOW (digital failed)","Ram is handling - no action"))</f>
        <v/>
      </c>
      <c r="F218" s="19">
        <f>IF(E218="Ram is handling - no action","No action needed",IF(M218="","CALL 1: ring candidate, offer to book on call (Playbook C1)",IF(OR(M218="Scheduled on call",M218="Booked on their behalf"),"DONE: scheduled on call",IF(M218="Not interested/Declined","CLOSED: candidate declined (log + tell lead)",IF(N218="","CALL 2: final attempt (Playbook C2)",IF(OR(N218="Scheduled on call",N218="Booked on their behalf"),"DONE: scheduled on call",IF(N218="Escalate to AM","ESCALATED TO LEAD","Review")))))))</f>
        <v/>
      </c>
      <c r="G218" s="20">
        <f>IF(E218="Ram is handling - no action","",IF(M218="",B218+6/24,IF(AND(M218&lt;&gt;"Scheduled on call",M218&lt;&gt;"Booked on their behalf",M218&lt;&gt;"Not interested/Declined",N218=""),B218+20/24,"")))</f>
        <v/>
      </c>
      <c r="H218" s="19" t="inlineStr">
        <is>
          <t>Chetan</t>
        </is>
      </c>
      <c r="I218" s="19" t="inlineStr">
        <is>
          <t>Google</t>
        </is>
      </c>
      <c r="J218" s="19" t="inlineStr">
        <is>
          <t>Round1</t>
        </is>
      </c>
      <c r="K218" s="22" t="inlineStr">
        <is>
          <t>+91 9920264452</t>
        </is>
      </c>
      <c r="L218" s="19" t="inlineStr">
        <is>
          <t>&lt;calendly_link&gt;</t>
        </is>
      </c>
      <c r="M218" s="19" t="n"/>
      <c r="N218" s="19" t="n"/>
      <c r="O218" s="19">
        <f>IF(OR(M218="Scheduled on call",M218="Booked on their behalf",N218="Scheduled on call",N218="Booked on their behalf"),"SCHEDULED (call)",IF(OR(M218="Not interested/Declined",N218="Not interested/Declined"),"DECLINED",IF(N218="Escalate to AM","ESCALATED TO LEAD",IF(E218="Ram is handling - no action","N/A",IF(M218="","PENDING CALL 1","IN PROGRESS")))))</f>
        <v/>
      </c>
      <c r="P218" s="19">
        <f>IF(OR('Ram - Digital ToDo'!O218="Scheduled",'Ram - Digital ToDo'!Q218="Scheduled"),"Scheduled within SLA (self-serve)",IF(OR(M218="Scheduled on call",M218="Booked on their behalf",N218="Scheduled on call",N218="Booked on their behalf"),"Scheduled within SLA (call)",IF(OR(M218="Not interested/Declined",N218="Not interested/Declined"),"Declined",IF(N218="Escalate to AM","SLA breach - unresolved","In progress"))))</f>
        <v/>
      </c>
      <c r="Q218" s="19" t="n"/>
    </row>
    <row r="219">
      <c r="A219" s="19" t="inlineStr">
        <is>
          <t>REQ-0218</t>
        </is>
      </c>
      <c r="B219" s="20" t="n">
        <v>44867.82708333333</v>
      </c>
      <c r="C219" s="20">
        <f>B219+1</f>
        <v/>
      </c>
      <c r="D219" s="21">
        <f>(C219-NOW())*24</f>
        <v/>
      </c>
      <c r="E219" s="19">
        <f>IF('Ram - Digital ToDo'!Q219="Escalate to call","CALL NOW",IF('Ram - Digital ToDo'!N219="Bad contact","CALL NOW (digital failed)","Ram is handling - no action"))</f>
        <v/>
      </c>
      <c r="F219" s="19">
        <f>IF(E219="Ram is handling - no action","No action needed",IF(M219="","CALL 1: ring candidate, offer to book on call (Playbook C1)",IF(OR(M219="Scheduled on call",M219="Booked on their behalf"),"DONE: scheduled on call",IF(M219="Not interested/Declined","CLOSED: candidate declined (log + tell lead)",IF(N219="","CALL 2: final attempt (Playbook C2)",IF(OR(N219="Scheduled on call",N219="Booked on their behalf"),"DONE: scheduled on call",IF(N219="Escalate to AM","ESCALATED TO LEAD","Review")))))))</f>
        <v/>
      </c>
      <c r="G219" s="20">
        <f>IF(E219="Ram is handling - no action","",IF(M219="",B219+6/24,IF(AND(M219&lt;&gt;"Scheduled on call",M219&lt;&gt;"Booked on their behalf",M219&lt;&gt;"Not interested/Declined",N219=""),B219+20/24,"")))</f>
        <v/>
      </c>
      <c r="H219" s="19" t="inlineStr">
        <is>
          <t>Chetan</t>
        </is>
      </c>
      <c r="I219" s="19" t="inlineStr">
        <is>
          <t>Google</t>
        </is>
      </c>
      <c r="J219" s="19" t="inlineStr">
        <is>
          <t>Round1</t>
        </is>
      </c>
      <c r="K219" s="22" t="inlineStr">
        <is>
          <t>+91 9920264452</t>
        </is>
      </c>
      <c r="L219" s="19" t="inlineStr">
        <is>
          <t>&lt;calendly_link&gt;</t>
        </is>
      </c>
      <c r="M219" s="19" t="n"/>
      <c r="N219" s="19" t="n"/>
      <c r="O219" s="19">
        <f>IF(OR(M219="Scheduled on call",M219="Booked on their behalf",N219="Scheduled on call",N219="Booked on their behalf"),"SCHEDULED (call)",IF(OR(M219="Not interested/Declined",N219="Not interested/Declined"),"DECLINED",IF(N219="Escalate to AM","ESCALATED TO LEAD",IF(E219="Ram is handling - no action","N/A",IF(M219="","PENDING CALL 1","IN PROGRESS")))))</f>
        <v/>
      </c>
      <c r="P219" s="19">
        <f>IF(OR('Ram - Digital ToDo'!O219="Scheduled",'Ram - Digital ToDo'!Q219="Scheduled"),"Scheduled within SLA (self-serve)",IF(OR(M219="Scheduled on call",M219="Booked on their behalf",N219="Scheduled on call",N219="Booked on their behalf"),"Scheduled within SLA (call)",IF(OR(M219="Not interested/Declined",N219="Not interested/Declined"),"Declined",IF(N219="Escalate to AM","SLA breach - unresolved","In progress"))))</f>
        <v/>
      </c>
      <c r="Q219" s="19" t="n"/>
    </row>
    <row r="220">
      <c r="A220" s="19" t="inlineStr">
        <is>
          <t>REQ-0219</t>
        </is>
      </c>
      <c r="B220" s="20" t="n">
        <v>44867.82708333333</v>
      </c>
      <c r="C220" s="20">
        <f>B220+1</f>
        <v/>
      </c>
      <c r="D220" s="21">
        <f>(C220-NOW())*24</f>
        <v/>
      </c>
      <c r="E220" s="19">
        <f>IF('Ram - Digital ToDo'!Q220="Escalate to call","CALL NOW",IF('Ram - Digital ToDo'!N220="Bad contact","CALL NOW (digital failed)","Ram is handling - no action"))</f>
        <v/>
      </c>
      <c r="F220" s="19">
        <f>IF(E220="Ram is handling - no action","No action needed",IF(M220="","CALL 1: ring candidate, offer to book on call (Playbook C1)",IF(OR(M220="Scheduled on call",M220="Booked on their behalf"),"DONE: scheduled on call",IF(M220="Not interested/Declined","CLOSED: candidate declined (log + tell lead)",IF(N220="","CALL 2: final attempt (Playbook C2)",IF(OR(N220="Scheduled on call",N220="Booked on their behalf"),"DONE: scheduled on call",IF(N220="Escalate to AM","ESCALATED TO LEAD","Review")))))))</f>
        <v/>
      </c>
      <c r="G220" s="20">
        <f>IF(E220="Ram is handling - no action","",IF(M220="",B220+6/24,IF(AND(M220&lt;&gt;"Scheduled on call",M220&lt;&gt;"Booked on their behalf",M220&lt;&gt;"Not interested/Declined",N220=""),B220+20/24,"")))</f>
        <v/>
      </c>
      <c r="H220" s="19" t="inlineStr">
        <is>
          <t>Chetan</t>
        </is>
      </c>
      <c r="I220" s="19" t="inlineStr">
        <is>
          <t>Google</t>
        </is>
      </c>
      <c r="J220" s="19" t="inlineStr">
        <is>
          <t>Round1</t>
        </is>
      </c>
      <c r="K220" s="22" t="inlineStr">
        <is>
          <t>+91 9920264452</t>
        </is>
      </c>
      <c r="L220" s="19" t="inlineStr">
        <is>
          <t>&lt;calendly_link&gt;</t>
        </is>
      </c>
      <c r="M220" s="19" t="n"/>
      <c r="N220" s="19" t="n"/>
      <c r="O220" s="19">
        <f>IF(OR(M220="Scheduled on call",M220="Booked on their behalf",N220="Scheduled on call",N220="Booked on their behalf"),"SCHEDULED (call)",IF(OR(M220="Not interested/Declined",N220="Not interested/Declined"),"DECLINED",IF(N220="Escalate to AM","ESCALATED TO LEAD",IF(E220="Ram is handling - no action","N/A",IF(M220="","PENDING CALL 1","IN PROGRESS")))))</f>
        <v/>
      </c>
      <c r="P220" s="19">
        <f>IF(OR('Ram - Digital ToDo'!O220="Scheduled",'Ram - Digital ToDo'!Q220="Scheduled"),"Scheduled within SLA (self-serve)",IF(OR(M220="Scheduled on call",M220="Booked on their behalf",N220="Scheduled on call",N220="Booked on their behalf"),"Scheduled within SLA (call)",IF(OR(M220="Not interested/Declined",N220="Not interested/Declined"),"Declined",IF(N220="Escalate to AM","SLA breach - unresolved","In progress"))))</f>
        <v/>
      </c>
      <c r="Q220" s="19" t="n"/>
    </row>
    <row r="221">
      <c r="A221" s="19" t="inlineStr">
        <is>
          <t>REQ-0220</t>
        </is>
      </c>
      <c r="B221" s="20" t="n">
        <v>44867.82708333333</v>
      </c>
      <c r="C221" s="20">
        <f>B221+1</f>
        <v/>
      </c>
      <c r="D221" s="21">
        <f>(C221-NOW())*24</f>
        <v/>
      </c>
      <c r="E221" s="19">
        <f>IF('Ram - Digital ToDo'!Q221="Escalate to call","CALL NOW",IF('Ram - Digital ToDo'!N221="Bad contact","CALL NOW (digital failed)","Ram is handling - no action"))</f>
        <v/>
      </c>
      <c r="F221" s="19">
        <f>IF(E221="Ram is handling - no action","No action needed",IF(M221="","CALL 1: ring candidate, offer to book on call (Playbook C1)",IF(OR(M221="Scheduled on call",M221="Booked on their behalf"),"DONE: scheduled on call",IF(M221="Not interested/Declined","CLOSED: candidate declined (log + tell lead)",IF(N221="","CALL 2: final attempt (Playbook C2)",IF(OR(N221="Scheduled on call",N221="Booked on their behalf"),"DONE: scheduled on call",IF(N221="Escalate to AM","ESCALATED TO LEAD","Review")))))))</f>
        <v/>
      </c>
      <c r="G221" s="20">
        <f>IF(E221="Ram is handling - no action","",IF(M221="",B221+6/24,IF(AND(M221&lt;&gt;"Scheduled on call",M221&lt;&gt;"Booked on their behalf",M221&lt;&gt;"Not interested/Declined",N221=""),B221+20/24,"")))</f>
        <v/>
      </c>
      <c r="H221" s="19" t="inlineStr">
        <is>
          <t>Chetan</t>
        </is>
      </c>
      <c r="I221" s="19" t="inlineStr">
        <is>
          <t>Google</t>
        </is>
      </c>
      <c r="J221" s="19" t="inlineStr">
        <is>
          <t>Round1</t>
        </is>
      </c>
      <c r="K221" s="22" t="inlineStr">
        <is>
          <t>+91 9920264452</t>
        </is>
      </c>
      <c r="L221" s="19" t="inlineStr">
        <is>
          <t>&lt;calendly_link&gt;</t>
        </is>
      </c>
      <c r="M221" s="19" t="n"/>
      <c r="N221" s="19" t="n"/>
      <c r="O221" s="19">
        <f>IF(OR(M221="Scheduled on call",M221="Booked on their behalf",N221="Scheduled on call",N221="Booked on their behalf"),"SCHEDULED (call)",IF(OR(M221="Not interested/Declined",N221="Not interested/Declined"),"DECLINED",IF(N221="Escalate to AM","ESCALATED TO LEAD",IF(E221="Ram is handling - no action","N/A",IF(M221="","PENDING CALL 1","IN PROGRESS")))))</f>
        <v/>
      </c>
      <c r="P221" s="19">
        <f>IF(OR('Ram - Digital ToDo'!O221="Scheduled",'Ram - Digital ToDo'!Q221="Scheduled"),"Scheduled within SLA (self-serve)",IF(OR(M221="Scheduled on call",M221="Booked on their behalf",N221="Scheduled on call",N221="Booked on their behalf"),"Scheduled within SLA (call)",IF(OR(M221="Not interested/Declined",N221="Not interested/Declined"),"Declined",IF(N221="Escalate to AM","SLA breach - unresolved","In progress"))))</f>
        <v/>
      </c>
      <c r="Q221" s="19" t="n"/>
    </row>
    <row r="222">
      <c r="A222" s="19" t="inlineStr">
        <is>
          <t>REQ-0221</t>
        </is>
      </c>
      <c r="B222" s="20" t="n">
        <v>44867.82708333333</v>
      </c>
      <c r="C222" s="20">
        <f>B222+1</f>
        <v/>
      </c>
      <c r="D222" s="21">
        <f>(C222-NOW())*24</f>
        <v/>
      </c>
      <c r="E222" s="19">
        <f>IF('Ram - Digital ToDo'!Q222="Escalate to call","CALL NOW",IF('Ram - Digital ToDo'!N222="Bad contact","CALL NOW (digital failed)","Ram is handling - no action"))</f>
        <v/>
      </c>
      <c r="F222" s="19">
        <f>IF(E222="Ram is handling - no action","No action needed",IF(M222="","CALL 1: ring candidate, offer to book on call (Playbook C1)",IF(OR(M222="Scheduled on call",M222="Booked on their behalf"),"DONE: scheduled on call",IF(M222="Not interested/Declined","CLOSED: candidate declined (log + tell lead)",IF(N222="","CALL 2: final attempt (Playbook C2)",IF(OR(N222="Scheduled on call",N222="Booked on their behalf"),"DONE: scheduled on call",IF(N222="Escalate to AM","ESCALATED TO LEAD","Review")))))))</f>
        <v/>
      </c>
      <c r="G222" s="20">
        <f>IF(E222="Ram is handling - no action","",IF(M222="",B222+6/24,IF(AND(M222&lt;&gt;"Scheduled on call",M222&lt;&gt;"Booked on their behalf",M222&lt;&gt;"Not interested/Declined",N222=""),B222+20/24,"")))</f>
        <v/>
      </c>
      <c r="H222" s="19" t="inlineStr">
        <is>
          <t>Chetan</t>
        </is>
      </c>
      <c r="I222" s="19" t="inlineStr">
        <is>
          <t>Google</t>
        </is>
      </c>
      <c r="J222" s="19" t="inlineStr">
        <is>
          <t>Round1</t>
        </is>
      </c>
      <c r="K222" s="22" t="inlineStr">
        <is>
          <t>+91 9920264452</t>
        </is>
      </c>
      <c r="L222" s="19" t="inlineStr">
        <is>
          <t>&lt;calendly_link&gt;</t>
        </is>
      </c>
      <c r="M222" s="19" t="n"/>
      <c r="N222" s="19" t="n"/>
      <c r="O222" s="19">
        <f>IF(OR(M222="Scheduled on call",M222="Booked on their behalf",N222="Scheduled on call",N222="Booked on their behalf"),"SCHEDULED (call)",IF(OR(M222="Not interested/Declined",N222="Not interested/Declined"),"DECLINED",IF(N222="Escalate to AM","ESCALATED TO LEAD",IF(E222="Ram is handling - no action","N/A",IF(M222="","PENDING CALL 1","IN PROGRESS")))))</f>
        <v/>
      </c>
      <c r="P222" s="19">
        <f>IF(OR('Ram - Digital ToDo'!O222="Scheduled",'Ram - Digital ToDo'!Q222="Scheduled"),"Scheduled within SLA (self-serve)",IF(OR(M222="Scheduled on call",M222="Booked on their behalf",N222="Scheduled on call",N222="Booked on their behalf"),"Scheduled within SLA (call)",IF(OR(M222="Not interested/Declined",N222="Not interested/Declined"),"Declined",IF(N222="Escalate to AM","SLA breach - unresolved","In progress"))))</f>
        <v/>
      </c>
      <c r="Q222" s="19" t="n"/>
    </row>
    <row r="223">
      <c r="A223" s="19" t="inlineStr">
        <is>
          <t>REQ-0222</t>
        </is>
      </c>
      <c r="B223" s="20" t="n">
        <v>44867.82708333333</v>
      </c>
      <c r="C223" s="20">
        <f>B223+1</f>
        <v/>
      </c>
      <c r="D223" s="21">
        <f>(C223-NOW())*24</f>
        <v/>
      </c>
      <c r="E223" s="19">
        <f>IF('Ram - Digital ToDo'!Q223="Escalate to call","CALL NOW",IF('Ram - Digital ToDo'!N223="Bad contact","CALL NOW (digital failed)","Ram is handling - no action"))</f>
        <v/>
      </c>
      <c r="F223" s="19">
        <f>IF(E223="Ram is handling - no action","No action needed",IF(M223="","CALL 1: ring candidate, offer to book on call (Playbook C1)",IF(OR(M223="Scheduled on call",M223="Booked on their behalf"),"DONE: scheduled on call",IF(M223="Not interested/Declined","CLOSED: candidate declined (log + tell lead)",IF(N223="","CALL 2: final attempt (Playbook C2)",IF(OR(N223="Scheduled on call",N223="Booked on their behalf"),"DONE: scheduled on call",IF(N223="Escalate to AM","ESCALATED TO LEAD","Review")))))))</f>
        <v/>
      </c>
      <c r="G223" s="20">
        <f>IF(E223="Ram is handling - no action","",IF(M223="",B223+6/24,IF(AND(M223&lt;&gt;"Scheduled on call",M223&lt;&gt;"Booked on their behalf",M223&lt;&gt;"Not interested/Declined",N223=""),B223+20/24,"")))</f>
        <v/>
      </c>
      <c r="H223" s="19" t="inlineStr">
        <is>
          <t>Chetan</t>
        </is>
      </c>
      <c r="I223" s="19" t="inlineStr">
        <is>
          <t>Google</t>
        </is>
      </c>
      <c r="J223" s="19" t="inlineStr">
        <is>
          <t>Round1</t>
        </is>
      </c>
      <c r="K223" s="22" t="inlineStr">
        <is>
          <t>+91 9920264452</t>
        </is>
      </c>
      <c r="L223" s="19" t="inlineStr">
        <is>
          <t>&lt;calendly_link&gt;</t>
        </is>
      </c>
      <c r="M223" s="19" t="n"/>
      <c r="N223" s="19" t="n"/>
      <c r="O223" s="19">
        <f>IF(OR(M223="Scheduled on call",M223="Booked on their behalf",N223="Scheduled on call",N223="Booked on their behalf"),"SCHEDULED (call)",IF(OR(M223="Not interested/Declined",N223="Not interested/Declined"),"DECLINED",IF(N223="Escalate to AM","ESCALATED TO LEAD",IF(E223="Ram is handling - no action","N/A",IF(M223="","PENDING CALL 1","IN PROGRESS")))))</f>
        <v/>
      </c>
      <c r="P223" s="19">
        <f>IF(OR('Ram - Digital ToDo'!O223="Scheduled",'Ram - Digital ToDo'!Q223="Scheduled"),"Scheduled within SLA (self-serve)",IF(OR(M223="Scheduled on call",M223="Booked on their behalf",N223="Scheduled on call",N223="Booked on their behalf"),"Scheduled within SLA (call)",IF(OR(M223="Not interested/Declined",N223="Not interested/Declined"),"Declined",IF(N223="Escalate to AM","SLA breach - unresolved","In progress"))))</f>
        <v/>
      </c>
      <c r="Q223" s="19" t="n"/>
    </row>
    <row r="224">
      <c r="A224" s="19" t="inlineStr">
        <is>
          <t>REQ-0223</t>
        </is>
      </c>
      <c r="B224" s="20" t="n">
        <v>44867.82708333333</v>
      </c>
      <c r="C224" s="20">
        <f>B224+1</f>
        <v/>
      </c>
      <c r="D224" s="21">
        <f>(C224-NOW())*24</f>
        <v/>
      </c>
      <c r="E224" s="19">
        <f>IF('Ram - Digital ToDo'!Q224="Escalate to call","CALL NOW",IF('Ram - Digital ToDo'!N224="Bad contact","CALL NOW (digital failed)","Ram is handling - no action"))</f>
        <v/>
      </c>
      <c r="F224" s="19">
        <f>IF(E224="Ram is handling - no action","No action needed",IF(M224="","CALL 1: ring candidate, offer to book on call (Playbook C1)",IF(OR(M224="Scheduled on call",M224="Booked on their behalf"),"DONE: scheduled on call",IF(M224="Not interested/Declined","CLOSED: candidate declined (log + tell lead)",IF(N224="","CALL 2: final attempt (Playbook C2)",IF(OR(N224="Scheduled on call",N224="Booked on their behalf"),"DONE: scheduled on call",IF(N224="Escalate to AM","ESCALATED TO LEAD","Review")))))))</f>
        <v/>
      </c>
      <c r="G224" s="20">
        <f>IF(E224="Ram is handling - no action","",IF(M224="",B224+6/24,IF(AND(M224&lt;&gt;"Scheduled on call",M224&lt;&gt;"Booked on their behalf",M224&lt;&gt;"Not interested/Declined",N224=""),B224+20/24,"")))</f>
        <v/>
      </c>
      <c r="H224" s="19" t="inlineStr">
        <is>
          <t>Chetan</t>
        </is>
      </c>
      <c r="I224" s="19" t="inlineStr">
        <is>
          <t>Google</t>
        </is>
      </c>
      <c r="J224" s="19" t="inlineStr">
        <is>
          <t>Round1</t>
        </is>
      </c>
      <c r="K224" s="22" t="inlineStr">
        <is>
          <t>+91 9920264452</t>
        </is>
      </c>
      <c r="L224" s="19" t="inlineStr">
        <is>
          <t>&lt;calendly_link&gt;</t>
        </is>
      </c>
      <c r="M224" s="19" t="n"/>
      <c r="N224" s="19" t="n"/>
      <c r="O224" s="19">
        <f>IF(OR(M224="Scheduled on call",M224="Booked on their behalf",N224="Scheduled on call",N224="Booked on their behalf"),"SCHEDULED (call)",IF(OR(M224="Not interested/Declined",N224="Not interested/Declined"),"DECLINED",IF(N224="Escalate to AM","ESCALATED TO LEAD",IF(E224="Ram is handling - no action","N/A",IF(M224="","PENDING CALL 1","IN PROGRESS")))))</f>
        <v/>
      </c>
      <c r="P224" s="19">
        <f>IF(OR('Ram - Digital ToDo'!O224="Scheduled",'Ram - Digital ToDo'!Q224="Scheduled"),"Scheduled within SLA (self-serve)",IF(OR(M224="Scheduled on call",M224="Booked on their behalf",N224="Scheduled on call",N224="Booked on their behalf"),"Scheduled within SLA (call)",IF(OR(M224="Not interested/Declined",N224="Not interested/Declined"),"Declined",IF(N224="Escalate to AM","SLA breach - unresolved","In progress"))))</f>
        <v/>
      </c>
      <c r="Q224" s="19" t="n"/>
    </row>
    <row r="225">
      <c r="A225" s="19" t="inlineStr">
        <is>
          <t>REQ-0224</t>
        </is>
      </c>
      <c r="B225" s="20" t="n">
        <v>44867.82708333333</v>
      </c>
      <c r="C225" s="20">
        <f>B225+1</f>
        <v/>
      </c>
      <c r="D225" s="21">
        <f>(C225-NOW())*24</f>
        <v/>
      </c>
      <c r="E225" s="19">
        <f>IF('Ram - Digital ToDo'!Q225="Escalate to call","CALL NOW",IF('Ram - Digital ToDo'!N225="Bad contact","CALL NOW (digital failed)","Ram is handling - no action"))</f>
        <v/>
      </c>
      <c r="F225" s="19">
        <f>IF(E225="Ram is handling - no action","No action needed",IF(M225="","CALL 1: ring candidate, offer to book on call (Playbook C1)",IF(OR(M225="Scheduled on call",M225="Booked on their behalf"),"DONE: scheduled on call",IF(M225="Not interested/Declined","CLOSED: candidate declined (log + tell lead)",IF(N225="","CALL 2: final attempt (Playbook C2)",IF(OR(N225="Scheduled on call",N225="Booked on their behalf"),"DONE: scheduled on call",IF(N225="Escalate to AM","ESCALATED TO LEAD","Review")))))))</f>
        <v/>
      </c>
      <c r="G225" s="20">
        <f>IF(E225="Ram is handling - no action","",IF(M225="",B225+6/24,IF(AND(M225&lt;&gt;"Scheduled on call",M225&lt;&gt;"Booked on their behalf",M225&lt;&gt;"Not interested/Declined",N225=""),B225+20/24,"")))</f>
        <v/>
      </c>
      <c r="H225" s="19" t="inlineStr">
        <is>
          <t>Chetan</t>
        </is>
      </c>
      <c r="I225" s="19" t="inlineStr">
        <is>
          <t>Google</t>
        </is>
      </c>
      <c r="J225" s="19" t="inlineStr">
        <is>
          <t>Round1</t>
        </is>
      </c>
      <c r="K225" s="22" t="inlineStr">
        <is>
          <t>+91 9920264452</t>
        </is>
      </c>
      <c r="L225" s="19" t="inlineStr">
        <is>
          <t>&lt;calendly_link&gt;</t>
        </is>
      </c>
      <c r="M225" s="19" t="n"/>
      <c r="N225" s="19" t="n"/>
      <c r="O225" s="19">
        <f>IF(OR(M225="Scheduled on call",M225="Booked on their behalf",N225="Scheduled on call",N225="Booked on their behalf"),"SCHEDULED (call)",IF(OR(M225="Not interested/Declined",N225="Not interested/Declined"),"DECLINED",IF(N225="Escalate to AM","ESCALATED TO LEAD",IF(E225="Ram is handling - no action","N/A",IF(M225="","PENDING CALL 1","IN PROGRESS")))))</f>
        <v/>
      </c>
      <c r="P225" s="19">
        <f>IF(OR('Ram - Digital ToDo'!O225="Scheduled",'Ram - Digital ToDo'!Q225="Scheduled"),"Scheduled within SLA (self-serve)",IF(OR(M225="Scheduled on call",M225="Booked on their behalf",N225="Scheduled on call",N225="Booked on their behalf"),"Scheduled within SLA (call)",IF(OR(M225="Not interested/Declined",N225="Not interested/Declined"),"Declined",IF(N225="Escalate to AM","SLA breach - unresolved","In progress"))))</f>
        <v/>
      </c>
      <c r="Q225" s="19" t="n"/>
    </row>
    <row r="226">
      <c r="A226" s="19" t="inlineStr">
        <is>
          <t>REQ-0225</t>
        </is>
      </c>
      <c r="B226" s="20" t="n">
        <v>44867.82708333333</v>
      </c>
      <c r="C226" s="20">
        <f>B226+1</f>
        <v/>
      </c>
      <c r="D226" s="21">
        <f>(C226-NOW())*24</f>
        <v/>
      </c>
      <c r="E226" s="19">
        <f>IF('Ram - Digital ToDo'!Q226="Escalate to call","CALL NOW",IF('Ram - Digital ToDo'!N226="Bad contact","CALL NOW (digital failed)","Ram is handling - no action"))</f>
        <v/>
      </c>
      <c r="F226" s="19">
        <f>IF(E226="Ram is handling - no action","No action needed",IF(M226="","CALL 1: ring candidate, offer to book on call (Playbook C1)",IF(OR(M226="Scheduled on call",M226="Booked on their behalf"),"DONE: scheduled on call",IF(M226="Not interested/Declined","CLOSED: candidate declined (log + tell lead)",IF(N226="","CALL 2: final attempt (Playbook C2)",IF(OR(N226="Scheduled on call",N226="Booked on their behalf"),"DONE: scheduled on call",IF(N226="Escalate to AM","ESCALATED TO LEAD","Review")))))))</f>
        <v/>
      </c>
      <c r="G226" s="20">
        <f>IF(E226="Ram is handling - no action","",IF(M226="",B226+6/24,IF(AND(M226&lt;&gt;"Scheduled on call",M226&lt;&gt;"Booked on their behalf",M226&lt;&gt;"Not interested/Declined",N226=""),B226+20/24,"")))</f>
        <v/>
      </c>
      <c r="H226" s="19" t="inlineStr">
        <is>
          <t>Chetan</t>
        </is>
      </c>
      <c r="I226" s="19" t="inlineStr">
        <is>
          <t>Google</t>
        </is>
      </c>
      <c r="J226" s="19" t="inlineStr">
        <is>
          <t>Round1</t>
        </is>
      </c>
      <c r="K226" s="22" t="inlineStr">
        <is>
          <t>+91 9920264452</t>
        </is>
      </c>
      <c r="L226" s="19" t="inlineStr">
        <is>
          <t>&lt;calendly_link&gt;</t>
        </is>
      </c>
      <c r="M226" s="19" t="n"/>
      <c r="N226" s="19" t="n"/>
      <c r="O226" s="19">
        <f>IF(OR(M226="Scheduled on call",M226="Booked on their behalf",N226="Scheduled on call",N226="Booked on their behalf"),"SCHEDULED (call)",IF(OR(M226="Not interested/Declined",N226="Not interested/Declined"),"DECLINED",IF(N226="Escalate to AM","ESCALATED TO LEAD",IF(E226="Ram is handling - no action","N/A",IF(M226="","PENDING CALL 1","IN PROGRESS")))))</f>
        <v/>
      </c>
      <c r="P226" s="19">
        <f>IF(OR('Ram - Digital ToDo'!O226="Scheduled",'Ram - Digital ToDo'!Q226="Scheduled"),"Scheduled within SLA (self-serve)",IF(OR(M226="Scheduled on call",M226="Booked on their behalf",N226="Scheduled on call",N226="Booked on their behalf"),"Scheduled within SLA (call)",IF(OR(M226="Not interested/Declined",N226="Not interested/Declined"),"Declined",IF(N226="Escalate to AM","SLA breach - unresolved","In progress"))))</f>
        <v/>
      </c>
      <c r="Q226" s="19" t="n"/>
    </row>
    <row r="227">
      <c r="A227" s="19" t="inlineStr">
        <is>
          <t>REQ-0226</t>
        </is>
      </c>
      <c r="B227" s="20" t="n">
        <v>44867.82708333333</v>
      </c>
      <c r="C227" s="20">
        <f>B227+1</f>
        <v/>
      </c>
      <c r="D227" s="21">
        <f>(C227-NOW())*24</f>
        <v/>
      </c>
      <c r="E227" s="19">
        <f>IF('Ram - Digital ToDo'!Q227="Escalate to call","CALL NOW",IF('Ram - Digital ToDo'!N227="Bad contact","CALL NOW (digital failed)","Ram is handling - no action"))</f>
        <v/>
      </c>
      <c r="F227" s="19">
        <f>IF(E227="Ram is handling - no action","No action needed",IF(M227="","CALL 1: ring candidate, offer to book on call (Playbook C1)",IF(OR(M227="Scheduled on call",M227="Booked on their behalf"),"DONE: scheduled on call",IF(M227="Not interested/Declined","CLOSED: candidate declined (log + tell lead)",IF(N227="","CALL 2: final attempt (Playbook C2)",IF(OR(N227="Scheduled on call",N227="Booked on their behalf"),"DONE: scheduled on call",IF(N227="Escalate to AM","ESCALATED TO LEAD","Review")))))))</f>
        <v/>
      </c>
      <c r="G227" s="20">
        <f>IF(E227="Ram is handling - no action","",IF(M227="",B227+6/24,IF(AND(M227&lt;&gt;"Scheduled on call",M227&lt;&gt;"Booked on their behalf",M227&lt;&gt;"Not interested/Declined",N227=""),B227+20/24,"")))</f>
        <v/>
      </c>
      <c r="H227" s="19" t="inlineStr">
        <is>
          <t>Chetan</t>
        </is>
      </c>
      <c r="I227" s="19" t="inlineStr">
        <is>
          <t>Google</t>
        </is>
      </c>
      <c r="J227" s="19" t="inlineStr">
        <is>
          <t>Round1</t>
        </is>
      </c>
      <c r="K227" s="22" t="inlineStr">
        <is>
          <t>+91 9920264452</t>
        </is>
      </c>
      <c r="L227" s="19" t="inlineStr">
        <is>
          <t>&lt;calendly_link&gt;</t>
        </is>
      </c>
      <c r="M227" s="19" t="n"/>
      <c r="N227" s="19" t="n"/>
      <c r="O227" s="19">
        <f>IF(OR(M227="Scheduled on call",M227="Booked on their behalf",N227="Scheduled on call",N227="Booked on their behalf"),"SCHEDULED (call)",IF(OR(M227="Not interested/Declined",N227="Not interested/Declined"),"DECLINED",IF(N227="Escalate to AM","ESCALATED TO LEAD",IF(E227="Ram is handling - no action","N/A",IF(M227="","PENDING CALL 1","IN PROGRESS")))))</f>
        <v/>
      </c>
      <c r="P227" s="19">
        <f>IF(OR('Ram - Digital ToDo'!O227="Scheduled",'Ram - Digital ToDo'!Q227="Scheduled"),"Scheduled within SLA (self-serve)",IF(OR(M227="Scheduled on call",M227="Booked on their behalf",N227="Scheduled on call",N227="Booked on their behalf"),"Scheduled within SLA (call)",IF(OR(M227="Not interested/Declined",N227="Not interested/Declined"),"Declined",IF(N227="Escalate to AM","SLA breach - unresolved","In progress"))))</f>
        <v/>
      </c>
      <c r="Q227" s="19" t="n"/>
    </row>
    <row r="228">
      <c r="A228" s="19" t="inlineStr">
        <is>
          <t>REQ-0227</t>
        </is>
      </c>
      <c r="B228" s="20" t="n">
        <v>44867.82708333333</v>
      </c>
      <c r="C228" s="20">
        <f>B228+1</f>
        <v/>
      </c>
      <c r="D228" s="21">
        <f>(C228-NOW())*24</f>
        <v/>
      </c>
      <c r="E228" s="19">
        <f>IF('Ram - Digital ToDo'!Q228="Escalate to call","CALL NOW",IF('Ram - Digital ToDo'!N228="Bad contact","CALL NOW (digital failed)","Ram is handling - no action"))</f>
        <v/>
      </c>
      <c r="F228" s="19">
        <f>IF(E228="Ram is handling - no action","No action needed",IF(M228="","CALL 1: ring candidate, offer to book on call (Playbook C1)",IF(OR(M228="Scheduled on call",M228="Booked on their behalf"),"DONE: scheduled on call",IF(M228="Not interested/Declined","CLOSED: candidate declined (log + tell lead)",IF(N228="","CALL 2: final attempt (Playbook C2)",IF(OR(N228="Scheduled on call",N228="Booked on their behalf"),"DONE: scheduled on call",IF(N228="Escalate to AM","ESCALATED TO LEAD","Review")))))))</f>
        <v/>
      </c>
      <c r="G228" s="20">
        <f>IF(E228="Ram is handling - no action","",IF(M228="",B228+6/24,IF(AND(M228&lt;&gt;"Scheduled on call",M228&lt;&gt;"Booked on their behalf",M228&lt;&gt;"Not interested/Declined",N228=""),B228+20/24,"")))</f>
        <v/>
      </c>
      <c r="H228" s="19" t="inlineStr">
        <is>
          <t>Chetan</t>
        </is>
      </c>
      <c r="I228" s="19" t="inlineStr">
        <is>
          <t>Google</t>
        </is>
      </c>
      <c r="J228" s="19" t="inlineStr">
        <is>
          <t>Round1</t>
        </is>
      </c>
      <c r="K228" s="22" t="inlineStr">
        <is>
          <t>+91 9920264452</t>
        </is>
      </c>
      <c r="L228" s="19" t="inlineStr">
        <is>
          <t>&lt;calendly_link&gt;</t>
        </is>
      </c>
      <c r="M228" s="19" t="n"/>
      <c r="N228" s="19" t="n"/>
      <c r="O228" s="19">
        <f>IF(OR(M228="Scheduled on call",M228="Booked on their behalf",N228="Scheduled on call",N228="Booked on their behalf"),"SCHEDULED (call)",IF(OR(M228="Not interested/Declined",N228="Not interested/Declined"),"DECLINED",IF(N228="Escalate to AM","ESCALATED TO LEAD",IF(E228="Ram is handling - no action","N/A",IF(M228="","PENDING CALL 1","IN PROGRESS")))))</f>
        <v/>
      </c>
      <c r="P228" s="19">
        <f>IF(OR('Ram - Digital ToDo'!O228="Scheduled",'Ram - Digital ToDo'!Q228="Scheduled"),"Scheduled within SLA (self-serve)",IF(OR(M228="Scheduled on call",M228="Booked on their behalf",N228="Scheduled on call",N228="Booked on their behalf"),"Scheduled within SLA (call)",IF(OR(M228="Not interested/Declined",N228="Not interested/Declined"),"Declined",IF(N228="Escalate to AM","SLA breach - unresolved","In progress"))))</f>
        <v/>
      </c>
      <c r="Q228" s="19" t="n"/>
    </row>
    <row r="229">
      <c r="A229" s="19" t="inlineStr">
        <is>
          <t>REQ-0228</t>
        </is>
      </c>
      <c r="B229" s="20" t="n">
        <v>44867.82708333333</v>
      </c>
      <c r="C229" s="20">
        <f>B229+1</f>
        <v/>
      </c>
      <c r="D229" s="21">
        <f>(C229-NOW())*24</f>
        <v/>
      </c>
      <c r="E229" s="19">
        <f>IF('Ram - Digital ToDo'!Q229="Escalate to call","CALL NOW",IF('Ram - Digital ToDo'!N229="Bad contact","CALL NOW (digital failed)","Ram is handling - no action"))</f>
        <v/>
      </c>
      <c r="F229" s="19">
        <f>IF(E229="Ram is handling - no action","No action needed",IF(M229="","CALL 1: ring candidate, offer to book on call (Playbook C1)",IF(OR(M229="Scheduled on call",M229="Booked on their behalf"),"DONE: scheduled on call",IF(M229="Not interested/Declined","CLOSED: candidate declined (log + tell lead)",IF(N229="","CALL 2: final attempt (Playbook C2)",IF(OR(N229="Scheduled on call",N229="Booked on their behalf"),"DONE: scheduled on call",IF(N229="Escalate to AM","ESCALATED TO LEAD","Review")))))))</f>
        <v/>
      </c>
      <c r="G229" s="20">
        <f>IF(E229="Ram is handling - no action","",IF(M229="",B229+6/24,IF(AND(M229&lt;&gt;"Scheduled on call",M229&lt;&gt;"Booked on their behalf",M229&lt;&gt;"Not interested/Declined",N229=""),B229+20/24,"")))</f>
        <v/>
      </c>
      <c r="H229" s="19" t="inlineStr">
        <is>
          <t>Chetan</t>
        </is>
      </c>
      <c r="I229" s="19" t="inlineStr">
        <is>
          <t>Google</t>
        </is>
      </c>
      <c r="J229" s="19" t="inlineStr">
        <is>
          <t>Round1</t>
        </is>
      </c>
      <c r="K229" s="22" t="inlineStr">
        <is>
          <t>+91 9920264452</t>
        </is>
      </c>
      <c r="L229" s="19" t="inlineStr">
        <is>
          <t>&lt;calendly_link&gt;</t>
        </is>
      </c>
      <c r="M229" s="19" t="n"/>
      <c r="N229" s="19" t="n"/>
      <c r="O229" s="19">
        <f>IF(OR(M229="Scheduled on call",M229="Booked on their behalf",N229="Scheduled on call",N229="Booked on their behalf"),"SCHEDULED (call)",IF(OR(M229="Not interested/Declined",N229="Not interested/Declined"),"DECLINED",IF(N229="Escalate to AM","ESCALATED TO LEAD",IF(E229="Ram is handling - no action","N/A",IF(M229="","PENDING CALL 1","IN PROGRESS")))))</f>
        <v/>
      </c>
      <c r="P229" s="19">
        <f>IF(OR('Ram - Digital ToDo'!O229="Scheduled",'Ram - Digital ToDo'!Q229="Scheduled"),"Scheduled within SLA (self-serve)",IF(OR(M229="Scheduled on call",M229="Booked on their behalf",N229="Scheduled on call",N229="Booked on their behalf"),"Scheduled within SLA (call)",IF(OR(M229="Not interested/Declined",N229="Not interested/Declined"),"Declined",IF(N229="Escalate to AM","SLA breach - unresolved","In progress"))))</f>
        <v/>
      </c>
      <c r="Q229" s="19" t="n"/>
    </row>
    <row r="230">
      <c r="A230" s="19" t="inlineStr">
        <is>
          <t>REQ-0229</t>
        </is>
      </c>
      <c r="B230" s="20" t="n">
        <v>44867.82708333333</v>
      </c>
      <c r="C230" s="20">
        <f>B230+1</f>
        <v/>
      </c>
      <c r="D230" s="21">
        <f>(C230-NOW())*24</f>
        <v/>
      </c>
      <c r="E230" s="19">
        <f>IF('Ram - Digital ToDo'!Q230="Escalate to call","CALL NOW",IF('Ram - Digital ToDo'!N230="Bad contact","CALL NOW (digital failed)","Ram is handling - no action"))</f>
        <v/>
      </c>
      <c r="F230" s="19">
        <f>IF(E230="Ram is handling - no action","No action needed",IF(M230="","CALL 1: ring candidate, offer to book on call (Playbook C1)",IF(OR(M230="Scheduled on call",M230="Booked on their behalf"),"DONE: scheduled on call",IF(M230="Not interested/Declined","CLOSED: candidate declined (log + tell lead)",IF(N230="","CALL 2: final attempt (Playbook C2)",IF(OR(N230="Scheduled on call",N230="Booked on their behalf"),"DONE: scheduled on call",IF(N230="Escalate to AM","ESCALATED TO LEAD","Review")))))))</f>
        <v/>
      </c>
      <c r="G230" s="20">
        <f>IF(E230="Ram is handling - no action","",IF(M230="",B230+6/24,IF(AND(M230&lt;&gt;"Scheduled on call",M230&lt;&gt;"Booked on their behalf",M230&lt;&gt;"Not interested/Declined",N230=""),B230+20/24,"")))</f>
        <v/>
      </c>
      <c r="H230" s="19" t="inlineStr">
        <is>
          <t>Chetan</t>
        </is>
      </c>
      <c r="I230" s="19" t="inlineStr">
        <is>
          <t>Google</t>
        </is>
      </c>
      <c r="J230" s="19" t="inlineStr">
        <is>
          <t>Round1</t>
        </is>
      </c>
      <c r="K230" s="22" t="inlineStr">
        <is>
          <t>+91 9920264452</t>
        </is>
      </c>
      <c r="L230" s="19" t="inlineStr">
        <is>
          <t>&lt;calendly_link&gt;</t>
        </is>
      </c>
      <c r="M230" s="19" t="n"/>
      <c r="N230" s="19" t="n"/>
      <c r="O230" s="19">
        <f>IF(OR(M230="Scheduled on call",M230="Booked on their behalf",N230="Scheduled on call",N230="Booked on their behalf"),"SCHEDULED (call)",IF(OR(M230="Not interested/Declined",N230="Not interested/Declined"),"DECLINED",IF(N230="Escalate to AM","ESCALATED TO LEAD",IF(E230="Ram is handling - no action","N/A",IF(M230="","PENDING CALL 1","IN PROGRESS")))))</f>
        <v/>
      </c>
      <c r="P230" s="19">
        <f>IF(OR('Ram - Digital ToDo'!O230="Scheduled",'Ram - Digital ToDo'!Q230="Scheduled"),"Scheduled within SLA (self-serve)",IF(OR(M230="Scheduled on call",M230="Booked on their behalf",N230="Scheduled on call",N230="Booked on their behalf"),"Scheduled within SLA (call)",IF(OR(M230="Not interested/Declined",N230="Not interested/Declined"),"Declined",IF(N230="Escalate to AM","SLA breach - unresolved","In progress"))))</f>
        <v/>
      </c>
      <c r="Q230" s="19" t="n"/>
    </row>
    <row r="231">
      <c r="A231" s="19" t="inlineStr">
        <is>
          <t>REQ-0230</t>
        </is>
      </c>
      <c r="B231" s="20" t="n">
        <v>44867.82708333333</v>
      </c>
      <c r="C231" s="20">
        <f>B231+1</f>
        <v/>
      </c>
      <c r="D231" s="21">
        <f>(C231-NOW())*24</f>
        <v/>
      </c>
      <c r="E231" s="19">
        <f>IF('Ram - Digital ToDo'!Q231="Escalate to call","CALL NOW",IF('Ram - Digital ToDo'!N231="Bad contact","CALL NOW (digital failed)","Ram is handling - no action"))</f>
        <v/>
      </c>
      <c r="F231" s="19">
        <f>IF(E231="Ram is handling - no action","No action needed",IF(M231="","CALL 1: ring candidate, offer to book on call (Playbook C1)",IF(OR(M231="Scheduled on call",M231="Booked on their behalf"),"DONE: scheduled on call",IF(M231="Not interested/Declined","CLOSED: candidate declined (log + tell lead)",IF(N231="","CALL 2: final attempt (Playbook C2)",IF(OR(N231="Scheduled on call",N231="Booked on their behalf"),"DONE: scheduled on call",IF(N231="Escalate to AM","ESCALATED TO LEAD","Review")))))))</f>
        <v/>
      </c>
      <c r="G231" s="20">
        <f>IF(E231="Ram is handling - no action","",IF(M231="",B231+6/24,IF(AND(M231&lt;&gt;"Scheduled on call",M231&lt;&gt;"Booked on their behalf",M231&lt;&gt;"Not interested/Declined",N231=""),B231+20/24,"")))</f>
        <v/>
      </c>
      <c r="H231" s="19" t="inlineStr">
        <is>
          <t>Chetan</t>
        </is>
      </c>
      <c r="I231" s="19" t="inlineStr">
        <is>
          <t>Google</t>
        </is>
      </c>
      <c r="J231" s="19" t="inlineStr">
        <is>
          <t>Round1</t>
        </is>
      </c>
      <c r="K231" s="22" t="inlineStr">
        <is>
          <t>+91 9920264452</t>
        </is>
      </c>
      <c r="L231" s="19" t="inlineStr">
        <is>
          <t>&lt;calendly_link&gt;</t>
        </is>
      </c>
      <c r="M231" s="19" t="n"/>
      <c r="N231" s="19" t="n"/>
      <c r="O231" s="19">
        <f>IF(OR(M231="Scheduled on call",M231="Booked on their behalf",N231="Scheduled on call",N231="Booked on their behalf"),"SCHEDULED (call)",IF(OR(M231="Not interested/Declined",N231="Not interested/Declined"),"DECLINED",IF(N231="Escalate to AM","ESCALATED TO LEAD",IF(E231="Ram is handling - no action","N/A",IF(M231="","PENDING CALL 1","IN PROGRESS")))))</f>
        <v/>
      </c>
      <c r="P231" s="19">
        <f>IF(OR('Ram - Digital ToDo'!O231="Scheduled",'Ram - Digital ToDo'!Q231="Scheduled"),"Scheduled within SLA (self-serve)",IF(OR(M231="Scheduled on call",M231="Booked on their behalf",N231="Scheduled on call",N231="Booked on their behalf"),"Scheduled within SLA (call)",IF(OR(M231="Not interested/Declined",N231="Not interested/Declined"),"Declined",IF(N231="Escalate to AM","SLA breach - unresolved","In progress"))))</f>
        <v/>
      </c>
      <c r="Q231" s="19" t="n"/>
    </row>
    <row r="232">
      <c r="A232" s="19" t="inlineStr">
        <is>
          <t>REQ-0231</t>
        </is>
      </c>
      <c r="B232" s="20" t="n">
        <v>44867.82708333333</v>
      </c>
      <c r="C232" s="20">
        <f>B232+1</f>
        <v/>
      </c>
      <c r="D232" s="21">
        <f>(C232-NOW())*24</f>
        <v/>
      </c>
      <c r="E232" s="19">
        <f>IF('Ram - Digital ToDo'!Q232="Escalate to call","CALL NOW",IF('Ram - Digital ToDo'!N232="Bad contact","CALL NOW (digital failed)","Ram is handling - no action"))</f>
        <v/>
      </c>
      <c r="F232" s="19">
        <f>IF(E232="Ram is handling - no action","No action needed",IF(M232="","CALL 1: ring candidate, offer to book on call (Playbook C1)",IF(OR(M232="Scheduled on call",M232="Booked on their behalf"),"DONE: scheduled on call",IF(M232="Not interested/Declined","CLOSED: candidate declined (log + tell lead)",IF(N232="","CALL 2: final attempt (Playbook C2)",IF(OR(N232="Scheduled on call",N232="Booked on their behalf"),"DONE: scheduled on call",IF(N232="Escalate to AM","ESCALATED TO LEAD","Review")))))))</f>
        <v/>
      </c>
      <c r="G232" s="20">
        <f>IF(E232="Ram is handling - no action","",IF(M232="",B232+6/24,IF(AND(M232&lt;&gt;"Scheduled on call",M232&lt;&gt;"Booked on their behalf",M232&lt;&gt;"Not interested/Declined",N232=""),B232+20/24,"")))</f>
        <v/>
      </c>
      <c r="H232" s="19" t="inlineStr">
        <is>
          <t>Chetan</t>
        </is>
      </c>
      <c r="I232" s="19" t="inlineStr">
        <is>
          <t>Google</t>
        </is>
      </c>
      <c r="J232" s="19" t="inlineStr">
        <is>
          <t>Round1</t>
        </is>
      </c>
      <c r="K232" s="22" t="inlineStr">
        <is>
          <t>+91 9920264452</t>
        </is>
      </c>
      <c r="L232" s="19" t="inlineStr">
        <is>
          <t>&lt;calendly_link&gt;</t>
        </is>
      </c>
      <c r="M232" s="19" t="n"/>
      <c r="N232" s="19" t="n"/>
      <c r="O232" s="19">
        <f>IF(OR(M232="Scheduled on call",M232="Booked on their behalf",N232="Scheduled on call",N232="Booked on their behalf"),"SCHEDULED (call)",IF(OR(M232="Not interested/Declined",N232="Not interested/Declined"),"DECLINED",IF(N232="Escalate to AM","ESCALATED TO LEAD",IF(E232="Ram is handling - no action","N/A",IF(M232="","PENDING CALL 1","IN PROGRESS")))))</f>
        <v/>
      </c>
      <c r="P232" s="19">
        <f>IF(OR('Ram - Digital ToDo'!O232="Scheduled",'Ram - Digital ToDo'!Q232="Scheduled"),"Scheduled within SLA (self-serve)",IF(OR(M232="Scheduled on call",M232="Booked on their behalf",N232="Scheduled on call",N232="Booked on their behalf"),"Scheduled within SLA (call)",IF(OR(M232="Not interested/Declined",N232="Not interested/Declined"),"Declined",IF(N232="Escalate to AM","SLA breach - unresolved","In progress"))))</f>
        <v/>
      </c>
      <c r="Q232" s="19" t="n"/>
    </row>
    <row r="233">
      <c r="A233" s="19" t="inlineStr">
        <is>
          <t>REQ-0232</t>
        </is>
      </c>
      <c r="B233" s="20" t="n">
        <v>44867.82708333333</v>
      </c>
      <c r="C233" s="20">
        <f>B233+1</f>
        <v/>
      </c>
      <c r="D233" s="21">
        <f>(C233-NOW())*24</f>
        <v/>
      </c>
      <c r="E233" s="19">
        <f>IF('Ram - Digital ToDo'!Q233="Escalate to call","CALL NOW",IF('Ram - Digital ToDo'!N233="Bad contact","CALL NOW (digital failed)","Ram is handling - no action"))</f>
        <v/>
      </c>
      <c r="F233" s="19">
        <f>IF(E233="Ram is handling - no action","No action needed",IF(M233="","CALL 1: ring candidate, offer to book on call (Playbook C1)",IF(OR(M233="Scheduled on call",M233="Booked on their behalf"),"DONE: scheduled on call",IF(M233="Not interested/Declined","CLOSED: candidate declined (log + tell lead)",IF(N233="","CALL 2: final attempt (Playbook C2)",IF(OR(N233="Scheduled on call",N233="Booked on their behalf"),"DONE: scheduled on call",IF(N233="Escalate to AM","ESCALATED TO LEAD","Review")))))))</f>
        <v/>
      </c>
      <c r="G233" s="20">
        <f>IF(E233="Ram is handling - no action","",IF(M233="",B233+6/24,IF(AND(M233&lt;&gt;"Scheduled on call",M233&lt;&gt;"Booked on their behalf",M233&lt;&gt;"Not interested/Declined",N233=""),B233+20/24,"")))</f>
        <v/>
      </c>
      <c r="H233" s="19" t="inlineStr">
        <is>
          <t>Chetan</t>
        </is>
      </c>
      <c r="I233" s="19" t="inlineStr">
        <is>
          <t>Google</t>
        </is>
      </c>
      <c r="J233" s="19" t="inlineStr">
        <is>
          <t>Round1</t>
        </is>
      </c>
      <c r="K233" s="22" t="inlineStr">
        <is>
          <t>+91 9920264452</t>
        </is>
      </c>
      <c r="L233" s="19" t="inlineStr">
        <is>
          <t>&lt;calendly_link&gt;</t>
        </is>
      </c>
      <c r="M233" s="19" t="n"/>
      <c r="N233" s="19" t="n"/>
      <c r="O233" s="19">
        <f>IF(OR(M233="Scheduled on call",M233="Booked on their behalf",N233="Scheduled on call",N233="Booked on their behalf"),"SCHEDULED (call)",IF(OR(M233="Not interested/Declined",N233="Not interested/Declined"),"DECLINED",IF(N233="Escalate to AM","ESCALATED TO LEAD",IF(E233="Ram is handling - no action","N/A",IF(M233="","PENDING CALL 1","IN PROGRESS")))))</f>
        <v/>
      </c>
      <c r="P233" s="19">
        <f>IF(OR('Ram - Digital ToDo'!O233="Scheduled",'Ram - Digital ToDo'!Q233="Scheduled"),"Scheduled within SLA (self-serve)",IF(OR(M233="Scheduled on call",M233="Booked on their behalf",N233="Scheduled on call",N233="Booked on their behalf"),"Scheduled within SLA (call)",IF(OR(M233="Not interested/Declined",N233="Not interested/Declined"),"Declined",IF(N233="Escalate to AM","SLA breach - unresolved","In progress"))))</f>
        <v/>
      </c>
      <c r="Q233" s="19" t="n"/>
    </row>
    <row r="234">
      <c r="A234" s="19" t="inlineStr">
        <is>
          <t>REQ-0233</t>
        </is>
      </c>
      <c r="B234" s="20" t="n">
        <v>44867.82708333333</v>
      </c>
      <c r="C234" s="20">
        <f>B234+1</f>
        <v/>
      </c>
      <c r="D234" s="21">
        <f>(C234-NOW())*24</f>
        <v/>
      </c>
      <c r="E234" s="19">
        <f>IF('Ram - Digital ToDo'!Q234="Escalate to call","CALL NOW",IF('Ram - Digital ToDo'!N234="Bad contact","CALL NOW (digital failed)","Ram is handling - no action"))</f>
        <v/>
      </c>
      <c r="F234" s="19">
        <f>IF(E234="Ram is handling - no action","No action needed",IF(M234="","CALL 1: ring candidate, offer to book on call (Playbook C1)",IF(OR(M234="Scheduled on call",M234="Booked on their behalf"),"DONE: scheduled on call",IF(M234="Not interested/Declined","CLOSED: candidate declined (log + tell lead)",IF(N234="","CALL 2: final attempt (Playbook C2)",IF(OR(N234="Scheduled on call",N234="Booked on their behalf"),"DONE: scheduled on call",IF(N234="Escalate to AM","ESCALATED TO LEAD","Review")))))))</f>
        <v/>
      </c>
      <c r="G234" s="20">
        <f>IF(E234="Ram is handling - no action","",IF(M234="",B234+6/24,IF(AND(M234&lt;&gt;"Scheduled on call",M234&lt;&gt;"Booked on their behalf",M234&lt;&gt;"Not interested/Declined",N234=""),B234+20/24,"")))</f>
        <v/>
      </c>
      <c r="H234" s="19" t="inlineStr">
        <is>
          <t>Chetan</t>
        </is>
      </c>
      <c r="I234" s="19" t="inlineStr">
        <is>
          <t>Google</t>
        </is>
      </c>
      <c r="J234" s="19" t="inlineStr">
        <is>
          <t>Round1</t>
        </is>
      </c>
      <c r="K234" s="22" t="inlineStr">
        <is>
          <t>+91 9920264452</t>
        </is>
      </c>
      <c r="L234" s="19" t="inlineStr">
        <is>
          <t>&lt;calendly_link&gt;</t>
        </is>
      </c>
      <c r="M234" s="19" t="n"/>
      <c r="N234" s="19" t="n"/>
      <c r="O234" s="19">
        <f>IF(OR(M234="Scheduled on call",M234="Booked on their behalf",N234="Scheduled on call",N234="Booked on their behalf"),"SCHEDULED (call)",IF(OR(M234="Not interested/Declined",N234="Not interested/Declined"),"DECLINED",IF(N234="Escalate to AM","ESCALATED TO LEAD",IF(E234="Ram is handling - no action","N/A",IF(M234="","PENDING CALL 1","IN PROGRESS")))))</f>
        <v/>
      </c>
      <c r="P234" s="19">
        <f>IF(OR('Ram - Digital ToDo'!O234="Scheduled",'Ram - Digital ToDo'!Q234="Scheduled"),"Scheduled within SLA (self-serve)",IF(OR(M234="Scheduled on call",M234="Booked on their behalf",N234="Scheduled on call",N234="Booked on their behalf"),"Scheduled within SLA (call)",IF(OR(M234="Not interested/Declined",N234="Not interested/Declined"),"Declined",IF(N234="Escalate to AM","SLA breach - unresolved","In progress"))))</f>
        <v/>
      </c>
      <c r="Q234" s="19" t="n"/>
    </row>
    <row r="235">
      <c r="A235" s="19" t="inlineStr">
        <is>
          <t>REQ-0234</t>
        </is>
      </c>
      <c r="B235" s="20" t="n">
        <v>44867.82708333333</v>
      </c>
      <c r="C235" s="20">
        <f>B235+1</f>
        <v/>
      </c>
      <c r="D235" s="21">
        <f>(C235-NOW())*24</f>
        <v/>
      </c>
      <c r="E235" s="19">
        <f>IF('Ram - Digital ToDo'!Q235="Escalate to call","CALL NOW",IF('Ram - Digital ToDo'!N235="Bad contact","CALL NOW (digital failed)","Ram is handling - no action"))</f>
        <v/>
      </c>
      <c r="F235" s="19">
        <f>IF(E235="Ram is handling - no action","No action needed",IF(M235="","CALL 1: ring candidate, offer to book on call (Playbook C1)",IF(OR(M235="Scheduled on call",M235="Booked on their behalf"),"DONE: scheduled on call",IF(M235="Not interested/Declined","CLOSED: candidate declined (log + tell lead)",IF(N235="","CALL 2: final attempt (Playbook C2)",IF(OR(N235="Scheduled on call",N235="Booked on their behalf"),"DONE: scheduled on call",IF(N235="Escalate to AM","ESCALATED TO LEAD","Review")))))))</f>
        <v/>
      </c>
      <c r="G235" s="20">
        <f>IF(E235="Ram is handling - no action","",IF(M235="",B235+6/24,IF(AND(M235&lt;&gt;"Scheduled on call",M235&lt;&gt;"Booked on their behalf",M235&lt;&gt;"Not interested/Declined",N235=""),B235+20/24,"")))</f>
        <v/>
      </c>
      <c r="H235" s="19" t="inlineStr">
        <is>
          <t>Chetan</t>
        </is>
      </c>
      <c r="I235" s="19" t="inlineStr">
        <is>
          <t>Google</t>
        </is>
      </c>
      <c r="J235" s="19" t="inlineStr">
        <is>
          <t>Round1</t>
        </is>
      </c>
      <c r="K235" s="22" t="inlineStr">
        <is>
          <t>+91 9920264452</t>
        </is>
      </c>
      <c r="L235" s="19" t="inlineStr">
        <is>
          <t>&lt;calendly_link&gt;</t>
        </is>
      </c>
      <c r="M235" s="19" t="n"/>
      <c r="N235" s="19" t="n"/>
      <c r="O235" s="19">
        <f>IF(OR(M235="Scheduled on call",M235="Booked on their behalf",N235="Scheduled on call",N235="Booked on their behalf"),"SCHEDULED (call)",IF(OR(M235="Not interested/Declined",N235="Not interested/Declined"),"DECLINED",IF(N235="Escalate to AM","ESCALATED TO LEAD",IF(E235="Ram is handling - no action","N/A",IF(M235="","PENDING CALL 1","IN PROGRESS")))))</f>
        <v/>
      </c>
      <c r="P235" s="19">
        <f>IF(OR('Ram - Digital ToDo'!O235="Scheduled",'Ram - Digital ToDo'!Q235="Scheduled"),"Scheduled within SLA (self-serve)",IF(OR(M235="Scheduled on call",M235="Booked on their behalf",N235="Scheduled on call",N235="Booked on their behalf"),"Scheduled within SLA (call)",IF(OR(M235="Not interested/Declined",N235="Not interested/Declined"),"Declined",IF(N235="Escalate to AM","SLA breach - unresolved","In progress"))))</f>
        <v/>
      </c>
      <c r="Q235" s="19" t="n"/>
    </row>
    <row r="236">
      <c r="A236" s="19" t="inlineStr">
        <is>
          <t>REQ-0235</t>
        </is>
      </c>
      <c r="B236" s="20" t="n">
        <v>44867.82708333333</v>
      </c>
      <c r="C236" s="20">
        <f>B236+1</f>
        <v/>
      </c>
      <c r="D236" s="21">
        <f>(C236-NOW())*24</f>
        <v/>
      </c>
      <c r="E236" s="19">
        <f>IF('Ram - Digital ToDo'!Q236="Escalate to call","CALL NOW",IF('Ram - Digital ToDo'!N236="Bad contact","CALL NOW (digital failed)","Ram is handling - no action"))</f>
        <v/>
      </c>
      <c r="F236" s="19">
        <f>IF(E236="Ram is handling - no action","No action needed",IF(M236="","CALL 1: ring candidate, offer to book on call (Playbook C1)",IF(OR(M236="Scheduled on call",M236="Booked on their behalf"),"DONE: scheduled on call",IF(M236="Not interested/Declined","CLOSED: candidate declined (log + tell lead)",IF(N236="","CALL 2: final attempt (Playbook C2)",IF(OR(N236="Scheduled on call",N236="Booked on their behalf"),"DONE: scheduled on call",IF(N236="Escalate to AM","ESCALATED TO LEAD","Review")))))))</f>
        <v/>
      </c>
      <c r="G236" s="20">
        <f>IF(E236="Ram is handling - no action","",IF(M236="",B236+6/24,IF(AND(M236&lt;&gt;"Scheduled on call",M236&lt;&gt;"Booked on their behalf",M236&lt;&gt;"Not interested/Declined",N236=""),B236+20/24,"")))</f>
        <v/>
      </c>
      <c r="H236" s="19" t="inlineStr">
        <is>
          <t>Chetan</t>
        </is>
      </c>
      <c r="I236" s="19" t="inlineStr">
        <is>
          <t>Google</t>
        </is>
      </c>
      <c r="J236" s="19" t="inlineStr">
        <is>
          <t>Round1</t>
        </is>
      </c>
      <c r="K236" s="22" t="inlineStr">
        <is>
          <t>+91 9920264452</t>
        </is>
      </c>
      <c r="L236" s="19" t="inlineStr">
        <is>
          <t>&lt;calendly_link&gt;</t>
        </is>
      </c>
      <c r="M236" s="19" t="n"/>
      <c r="N236" s="19" t="n"/>
      <c r="O236" s="19">
        <f>IF(OR(M236="Scheduled on call",M236="Booked on their behalf",N236="Scheduled on call",N236="Booked on their behalf"),"SCHEDULED (call)",IF(OR(M236="Not interested/Declined",N236="Not interested/Declined"),"DECLINED",IF(N236="Escalate to AM","ESCALATED TO LEAD",IF(E236="Ram is handling - no action","N/A",IF(M236="","PENDING CALL 1","IN PROGRESS")))))</f>
        <v/>
      </c>
      <c r="P236" s="19">
        <f>IF(OR('Ram - Digital ToDo'!O236="Scheduled",'Ram - Digital ToDo'!Q236="Scheduled"),"Scheduled within SLA (self-serve)",IF(OR(M236="Scheduled on call",M236="Booked on their behalf",N236="Scheduled on call",N236="Booked on their behalf"),"Scheduled within SLA (call)",IF(OR(M236="Not interested/Declined",N236="Not interested/Declined"),"Declined",IF(N236="Escalate to AM","SLA breach - unresolved","In progress"))))</f>
        <v/>
      </c>
      <c r="Q236" s="19" t="n"/>
    </row>
    <row r="237">
      <c r="A237" s="19" t="inlineStr">
        <is>
          <t>REQ-0236</t>
        </is>
      </c>
      <c r="B237" s="20" t="n">
        <v>44867.82708333333</v>
      </c>
      <c r="C237" s="20">
        <f>B237+1</f>
        <v/>
      </c>
      <c r="D237" s="21">
        <f>(C237-NOW())*24</f>
        <v/>
      </c>
      <c r="E237" s="19">
        <f>IF('Ram - Digital ToDo'!Q237="Escalate to call","CALL NOW",IF('Ram - Digital ToDo'!N237="Bad contact","CALL NOW (digital failed)","Ram is handling - no action"))</f>
        <v/>
      </c>
      <c r="F237" s="19">
        <f>IF(E237="Ram is handling - no action","No action needed",IF(M237="","CALL 1: ring candidate, offer to book on call (Playbook C1)",IF(OR(M237="Scheduled on call",M237="Booked on their behalf"),"DONE: scheduled on call",IF(M237="Not interested/Declined","CLOSED: candidate declined (log + tell lead)",IF(N237="","CALL 2: final attempt (Playbook C2)",IF(OR(N237="Scheduled on call",N237="Booked on their behalf"),"DONE: scheduled on call",IF(N237="Escalate to AM","ESCALATED TO LEAD","Review")))))))</f>
        <v/>
      </c>
      <c r="G237" s="20">
        <f>IF(E237="Ram is handling - no action","",IF(M237="",B237+6/24,IF(AND(M237&lt;&gt;"Scheduled on call",M237&lt;&gt;"Booked on their behalf",M237&lt;&gt;"Not interested/Declined",N237=""),B237+20/24,"")))</f>
        <v/>
      </c>
      <c r="H237" s="19" t="inlineStr">
        <is>
          <t>Chetan</t>
        </is>
      </c>
      <c r="I237" s="19" t="inlineStr">
        <is>
          <t>Google</t>
        </is>
      </c>
      <c r="J237" s="19" t="inlineStr">
        <is>
          <t>Round1</t>
        </is>
      </c>
      <c r="K237" s="22" t="inlineStr">
        <is>
          <t>+91 9920264452</t>
        </is>
      </c>
      <c r="L237" s="19" t="inlineStr">
        <is>
          <t>&lt;calendly_link&gt;</t>
        </is>
      </c>
      <c r="M237" s="19" t="n"/>
      <c r="N237" s="19" t="n"/>
      <c r="O237" s="19">
        <f>IF(OR(M237="Scheduled on call",M237="Booked on their behalf",N237="Scheduled on call",N237="Booked on their behalf"),"SCHEDULED (call)",IF(OR(M237="Not interested/Declined",N237="Not interested/Declined"),"DECLINED",IF(N237="Escalate to AM","ESCALATED TO LEAD",IF(E237="Ram is handling - no action","N/A",IF(M237="","PENDING CALL 1","IN PROGRESS")))))</f>
        <v/>
      </c>
      <c r="P237" s="19">
        <f>IF(OR('Ram - Digital ToDo'!O237="Scheduled",'Ram - Digital ToDo'!Q237="Scheduled"),"Scheduled within SLA (self-serve)",IF(OR(M237="Scheduled on call",M237="Booked on their behalf",N237="Scheduled on call",N237="Booked on their behalf"),"Scheduled within SLA (call)",IF(OR(M237="Not interested/Declined",N237="Not interested/Declined"),"Declined",IF(N237="Escalate to AM","SLA breach - unresolved","In progress"))))</f>
        <v/>
      </c>
      <c r="Q237" s="19" t="n"/>
    </row>
    <row r="238">
      <c r="A238" s="19" t="inlineStr">
        <is>
          <t>REQ-0237</t>
        </is>
      </c>
      <c r="B238" s="20" t="n">
        <v>44867.82708333333</v>
      </c>
      <c r="C238" s="20">
        <f>B238+1</f>
        <v/>
      </c>
      <c r="D238" s="21">
        <f>(C238-NOW())*24</f>
        <v/>
      </c>
      <c r="E238" s="19">
        <f>IF('Ram - Digital ToDo'!Q238="Escalate to call","CALL NOW",IF('Ram - Digital ToDo'!N238="Bad contact","CALL NOW (digital failed)","Ram is handling - no action"))</f>
        <v/>
      </c>
      <c r="F238" s="19">
        <f>IF(E238="Ram is handling - no action","No action needed",IF(M238="","CALL 1: ring candidate, offer to book on call (Playbook C1)",IF(OR(M238="Scheduled on call",M238="Booked on their behalf"),"DONE: scheduled on call",IF(M238="Not interested/Declined","CLOSED: candidate declined (log + tell lead)",IF(N238="","CALL 2: final attempt (Playbook C2)",IF(OR(N238="Scheduled on call",N238="Booked on their behalf"),"DONE: scheduled on call",IF(N238="Escalate to AM","ESCALATED TO LEAD","Review")))))))</f>
        <v/>
      </c>
      <c r="G238" s="20">
        <f>IF(E238="Ram is handling - no action","",IF(M238="",B238+6/24,IF(AND(M238&lt;&gt;"Scheduled on call",M238&lt;&gt;"Booked on their behalf",M238&lt;&gt;"Not interested/Declined",N238=""),B238+20/24,"")))</f>
        <v/>
      </c>
      <c r="H238" s="19" t="inlineStr">
        <is>
          <t>Chetan</t>
        </is>
      </c>
      <c r="I238" s="19" t="inlineStr">
        <is>
          <t>Google</t>
        </is>
      </c>
      <c r="J238" s="19" t="inlineStr">
        <is>
          <t>Round1</t>
        </is>
      </c>
      <c r="K238" s="22" t="inlineStr">
        <is>
          <t>+91 9920264452</t>
        </is>
      </c>
      <c r="L238" s="19" t="inlineStr">
        <is>
          <t>&lt;calendly_link&gt;</t>
        </is>
      </c>
      <c r="M238" s="19" t="n"/>
      <c r="N238" s="19" t="n"/>
      <c r="O238" s="19">
        <f>IF(OR(M238="Scheduled on call",M238="Booked on their behalf",N238="Scheduled on call",N238="Booked on their behalf"),"SCHEDULED (call)",IF(OR(M238="Not interested/Declined",N238="Not interested/Declined"),"DECLINED",IF(N238="Escalate to AM","ESCALATED TO LEAD",IF(E238="Ram is handling - no action","N/A",IF(M238="","PENDING CALL 1","IN PROGRESS")))))</f>
        <v/>
      </c>
      <c r="P238" s="19">
        <f>IF(OR('Ram - Digital ToDo'!O238="Scheduled",'Ram - Digital ToDo'!Q238="Scheduled"),"Scheduled within SLA (self-serve)",IF(OR(M238="Scheduled on call",M238="Booked on their behalf",N238="Scheduled on call",N238="Booked on their behalf"),"Scheduled within SLA (call)",IF(OR(M238="Not interested/Declined",N238="Not interested/Declined"),"Declined",IF(N238="Escalate to AM","SLA breach - unresolved","In progress"))))</f>
        <v/>
      </c>
      <c r="Q238" s="19" t="n"/>
    </row>
    <row r="239">
      <c r="A239" s="19" t="inlineStr">
        <is>
          <t>REQ-0238</t>
        </is>
      </c>
      <c r="B239" s="20" t="n">
        <v>44867.82708333333</v>
      </c>
      <c r="C239" s="20">
        <f>B239+1</f>
        <v/>
      </c>
      <c r="D239" s="21">
        <f>(C239-NOW())*24</f>
        <v/>
      </c>
      <c r="E239" s="19">
        <f>IF('Ram - Digital ToDo'!Q239="Escalate to call","CALL NOW",IF('Ram - Digital ToDo'!N239="Bad contact","CALL NOW (digital failed)","Ram is handling - no action"))</f>
        <v/>
      </c>
      <c r="F239" s="19">
        <f>IF(E239="Ram is handling - no action","No action needed",IF(M239="","CALL 1: ring candidate, offer to book on call (Playbook C1)",IF(OR(M239="Scheduled on call",M239="Booked on their behalf"),"DONE: scheduled on call",IF(M239="Not interested/Declined","CLOSED: candidate declined (log + tell lead)",IF(N239="","CALL 2: final attempt (Playbook C2)",IF(OR(N239="Scheduled on call",N239="Booked on their behalf"),"DONE: scheduled on call",IF(N239="Escalate to AM","ESCALATED TO LEAD","Review")))))))</f>
        <v/>
      </c>
      <c r="G239" s="20">
        <f>IF(E239="Ram is handling - no action","",IF(M239="",B239+6/24,IF(AND(M239&lt;&gt;"Scheduled on call",M239&lt;&gt;"Booked on their behalf",M239&lt;&gt;"Not interested/Declined",N239=""),B239+20/24,"")))</f>
        <v/>
      </c>
      <c r="H239" s="19" t="inlineStr">
        <is>
          <t>Chetan</t>
        </is>
      </c>
      <c r="I239" s="19" t="inlineStr">
        <is>
          <t>Google</t>
        </is>
      </c>
      <c r="J239" s="19" t="inlineStr">
        <is>
          <t>Round1</t>
        </is>
      </c>
      <c r="K239" s="22" t="inlineStr">
        <is>
          <t>+91 9920264452</t>
        </is>
      </c>
      <c r="L239" s="19" t="inlineStr">
        <is>
          <t>&lt;calendly_link&gt;</t>
        </is>
      </c>
      <c r="M239" s="19" t="n"/>
      <c r="N239" s="19" t="n"/>
      <c r="O239" s="19">
        <f>IF(OR(M239="Scheduled on call",M239="Booked on their behalf",N239="Scheduled on call",N239="Booked on their behalf"),"SCHEDULED (call)",IF(OR(M239="Not interested/Declined",N239="Not interested/Declined"),"DECLINED",IF(N239="Escalate to AM","ESCALATED TO LEAD",IF(E239="Ram is handling - no action","N/A",IF(M239="","PENDING CALL 1","IN PROGRESS")))))</f>
        <v/>
      </c>
      <c r="P239" s="19">
        <f>IF(OR('Ram - Digital ToDo'!O239="Scheduled",'Ram - Digital ToDo'!Q239="Scheduled"),"Scheduled within SLA (self-serve)",IF(OR(M239="Scheduled on call",M239="Booked on their behalf",N239="Scheduled on call",N239="Booked on their behalf"),"Scheduled within SLA (call)",IF(OR(M239="Not interested/Declined",N239="Not interested/Declined"),"Declined",IF(N239="Escalate to AM","SLA breach - unresolved","In progress"))))</f>
        <v/>
      </c>
      <c r="Q239" s="19" t="n"/>
    </row>
    <row r="240">
      <c r="A240" s="19" t="inlineStr">
        <is>
          <t>REQ-0239</t>
        </is>
      </c>
      <c r="B240" s="20" t="n">
        <v>44867.82708333333</v>
      </c>
      <c r="C240" s="20">
        <f>B240+1</f>
        <v/>
      </c>
      <c r="D240" s="21">
        <f>(C240-NOW())*24</f>
        <v/>
      </c>
      <c r="E240" s="19">
        <f>IF('Ram - Digital ToDo'!Q240="Escalate to call","CALL NOW",IF('Ram - Digital ToDo'!N240="Bad contact","CALL NOW (digital failed)","Ram is handling - no action"))</f>
        <v/>
      </c>
      <c r="F240" s="19">
        <f>IF(E240="Ram is handling - no action","No action needed",IF(M240="","CALL 1: ring candidate, offer to book on call (Playbook C1)",IF(OR(M240="Scheduled on call",M240="Booked on their behalf"),"DONE: scheduled on call",IF(M240="Not interested/Declined","CLOSED: candidate declined (log + tell lead)",IF(N240="","CALL 2: final attempt (Playbook C2)",IF(OR(N240="Scheduled on call",N240="Booked on their behalf"),"DONE: scheduled on call",IF(N240="Escalate to AM","ESCALATED TO LEAD","Review")))))))</f>
        <v/>
      </c>
      <c r="G240" s="20">
        <f>IF(E240="Ram is handling - no action","",IF(M240="",B240+6/24,IF(AND(M240&lt;&gt;"Scheduled on call",M240&lt;&gt;"Booked on their behalf",M240&lt;&gt;"Not interested/Declined",N240=""),B240+20/24,"")))</f>
        <v/>
      </c>
      <c r="H240" s="19" t="inlineStr">
        <is>
          <t>Chetan</t>
        </is>
      </c>
      <c r="I240" s="19" t="inlineStr">
        <is>
          <t>Google</t>
        </is>
      </c>
      <c r="J240" s="19" t="inlineStr">
        <is>
          <t>Round1</t>
        </is>
      </c>
      <c r="K240" s="22" t="inlineStr">
        <is>
          <t>+91 9920264452</t>
        </is>
      </c>
      <c r="L240" s="19" t="inlineStr">
        <is>
          <t>&lt;calendly_link&gt;</t>
        </is>
      </c>
      <c r="M240" s="19" t="n"/>
      <c r="N240" s="19" t="n"/>
      <c r="O240" s="19">
        <f>IF(OR(M240="Scheduled on call",M240="Booked on their behalf",N240="Scheduled on call",N240="Booked on their behalf"),"SCHEDULED (call)",IF(OR(M240="Not interested/Declined",N240="Not interested/Declined"),"DECLINED",IF(N240="Escalate to AM","ESCALATED TO LEAD",IF(E240="Ram is handling - no action","N/A",IF(M240="","PENDING CALL 1","IN PROGRESS")))))</f>
        <v/>
      </c>
      <c r="P240" s="19">
        <f>IF(OR('Ram - Digital ToDo'!O240="Scheduled",'Ram - Digital ToDo'!Q240="Scheduled"),"Scheduled within SLA (self-serve)",IF(OR(M240="Scheduled on call",M240="Booked on their behalf",N240="Scheduled on call",N240="Booked on their behalf"),"Scheduled within SLA (call)",IF(OR(M240="Not interested/Declined",N240="Not interested/Declined"),"Declined",IF(N240="Escalate to AM","SLA breach - unresolved","In progress"))))</f>
        <v/>
      </c>
      <c r="Q240" s="19" t="n"/>
    </row>
    <row r="241">
      <c r="A241" s="19" t="inlineStr">
        <is>
          <t>REQ-0240</t>
        </is>
      </c>
      <c r="B241" s="20" t="n">
        <v>44867.82708333333</v>
      </c>
      <c r="C241" s="20">
        <f>B241+1</f>
        <v/>
      </c>
      <c r="D241" s="21">
        <f>(C241-NOW())*24</f>
        <v/>
      </c>
      <c r="E241" s="19">
        <f>IF('Ram - Digital ToDo'!Q241="Escalate to call","CALL NOW",IF('Ram - Digital ToDo'!N241="Bad contact","CALL NOW (digital failed)","Ram is handling - no action"))</f>
        <v/>
      </c>
      <c r="F241" s="19">
        <f>IF(E241="Ram is handling - no action","No action needed",IF(M241="","CALL 1: ring candidate, offer to book on call (Playbook C1)",IF(OR(M241="Scheduled on call",M241="Booked on their behalf"),"DONE: scheduled on call",IF(M241="Not interested/Declined","CLOSED: candidate declined (log + tell lead)",IF(N241="","CALL 2: final attempt (Playbook C2)",IF(OR(N241="Scheduled on call",N241="Booked on their behalf"),"DONE: scheduled on call",IF(N241="Escalate to AM","ESCALATED TO LEAD","Review")))))))</f>
        <v/>
      </c>
      <c r="G241" s="20">
        <f>IF(E241="Ram is handling - no action","",IF(M241="",B241+6/24,IF(AND(M241&lt;&gt;"Scheduled on call",M241&lt;&gt;"Booked on their behalf",M241&lt;&gt;"Not interested/Declined",N241=""),B241+20/24,"")))</f>
        <v/>
      </c>
      <c r="H241" s="19" t="inlineStr">
        <is>
          <t>Chetan</t>
        </is>
      </c>
      <c r="I241" s="19" t="inlineStr">
        <is>
          <t>Google</t>
        </is>
      </c>
      <c r="J241" s="19" t="inlineStr">
        <is>
          <t>Round1</t>
        </is>
      </c>
      <c r="K241" s="22" t="inlineStr">
        <is>
          <t>+91 9920264452</t>
        </is>
      </c>
      <c r="L241" s="19" t="inlineStr">
        <is>
          <t>&lt;calendly_link&gt;</t>
        </is>
      </c>
      <c r="M241" s="19" t="n"/>
      <c r="N241" s="19" t="n"/>
      <c r="O241" s="19">
        <f>IF(OR(M241="Scheduled on call",M241="Booked on their behalf",N241="Scheduled on call",N241="Booked on their behalf"),"SCHEDULED (call)",IF(OR(M241="Not interested/Declined",N241="Not interested/Declined"),"DECLINED",IF(N241="Escalate to AM","ESCALATED TO LEAD",IF(E241="Ram is handling - no action","N/A",IF(M241="","PENDING CALL 1","IN PROGRESS")))))</f>
        <v/>
      </c>
      <c r="P241" s="19">
        <f>IF(OR('Ram - Digital ToDo'!O241="Scheduled",'Ram - Digital ToDo'!Q241="Scheduled"),"Scheduled within SLA (self-serve)",IF(OR(M241="Scheduled on call",M241="Booked on their behalf",N241="Scheduled on call",N241="Booked on their behalf"),"Scheduled within SLA (call)",IF(OR(M241="Not interested/Declined",N241="Not interested/Declined"),"Declined",IF(N241="Escalate to AM","SLA breach - unresolved","In progress"))))</f>
        <v/>
      </c>
      <c r="Q241" s="19" t="n"/>
    </row>
    <row r="242">
      <c r="A242" s="19" t="inlineStr">
        <is>
          <t>REQ-0241</t>
        </is>
      </c>
      <c r="B242" s="20" t="n">
        <v>44867.82708333333</v>
      </c>
      <c r="C242" s="20">
        <f>B242+1</f>
        <v/>
      </c>
      <c r="D242" s="21">
        <f>(C242-NOW())*24</f>
        <v/>
      </c>
      <c r="E242" s="19">
        <f>IF('Ram - Digital ToDo'!Q242="Escalate to call","CALL NOW",IF('Ram - Digital ToDo'!N242="Bad contact","CALL NOW (digital failed)","Ram is handling - no action"))</f>
        <v/>
      </c>
      <c r="F242" s="19">
        <f>IF(E242="Ram is handling - no action","No action needed",IF(M242="","CALL 1: ring candidate, offer to book on call (Playbook C1)",IF(OR(M242="Scheduled on call",M242="Booked on their behalf"),"DONE: scheduled on call",IF(M242="Not interested/Declined","CLOSED: candidate declined (log + tell lead)",IF(N242="","CALL 2: final attempt (Playbook C2)",IF(OR(N242="Scheduled on call",N242="Booked on their behalf"),"DONE: scheduled on call",IF(N242="Escalate to AM","ESCALATED TO LEAD","Review")))))))</f>
        <v/>
      </c>
      <c r="G242" s="20">
        <f>IF(E242="Ram is handling - no action","",IF(M242="",B242+6/24,IF(AND(M242&lt;&gt;"Scheduled on call",M242&lt;&gt;"Booked on their behalf",M242&lt;&gt;"Not interested/Declined",N242=""),B242+20/24,"")))</f>
        <v/>
      </c>
      <c r="H242" s="19" t="inlineStr">
        <is>
          <t>Chetan</t>
        </is>
      </c>
      <c r="I242" s="19" t="inlineStr">
        <is>
          <t>Google</t>
        </is>
      </c>
      <c r="J242" s="19" t="inlineStr">
        <is>
          <t>Round1</t>
        </is>
      </c>
      <c r="K242" s="22" t="inlineStr">
        <is>
          <t>+91 9920264452</t>
        </is>
      </c>
      <c r="L242" s="19" t="inlineStr">
        <is>
          <t>&lt;calendly_link&gt;</t>
        </is>
      </c>
      <c r="M242" s="19" t="n"/>
      <c r="N242" s="19" t="n"/>
      <c r="O242" s="19">
        <f>IF(OR(M242="Scheduled on call",M242="Booked on their behalf",N242="Scheduled on call",N242="Booked on their behalf"),"SCHEDULED (call)",IF(OR(M242="Not interested/Declined",N242="Not interested/Declined"),"DECLINED",IF(N242="Escalate to AM","ESCALATED TO LEAD",IF(E242="Ram is handling - no action","N/A",IF(M242="","PENDING CALL 1","IN PROGRESS")))))</f>
        <v/>
      </c>
      <c r="P242" s="19">
        <f>IF(OR('Ram - Digital ToDo'!O242="Scheduled",'Ram - Digital ToDo'!Q242="Scheduled"),"Scheduled within SLA (self-serve)",IF(OR(M242="Scheduled on call",M242="Booked on their behalf",N242="Scheduled on call",N242="Booked on their behalf"),"Scheduled within SLA (call)",IF(OR(M242="Not interested/Declined",N242="Not interested/Declined"),"Declined",IF(N242="Escalate to AM","SLA breach - unresolved","In progress"))))</f>
        <v/>
      </c>
      <c r="Q242" s="19" t="n"/>
    </row>
    <row r="243">
      <c r="A243" s="19" t="inlineStr">
        <is>
          <t>REQ-0242</t>
        </is>
      </c>
      <c r="B243" s="20" t="n">
        <v>44867.82708333333</v>
      </c>
      <c r="C243" s="20">
        <f>B243+1</f>
        <v/>
      </c>
      <c r="D243" s="21">
        <f>(C243-NOW())*24</f>
        <v/>
      </c>
      <c r="E243" s="19">
        <f>IF('Ram - Digital ToDo'!Q243="Escalate to call","CALL NOW",IF('Ram - Digital ToDo'!N243="Bad contact","CALL NOW (digital failed)","Ram is handling - no action"))</f>
        <v/>
      </c>
      <c r="F243" s="19">
        <f>IF(E243="Ram is handling - no action","No action needed",IF(M243="","CALL 1: ring candidate, offer to book on call (Playbook C1)",IF(OR(M243="Scheduled on call",M243="Booked on their behalf"),"DONE: scheduled on call",IF(M243="Not interested/Declined","CLOSED: candidate declined (log + tell lead)",IF(N243="","CALL 2: final attempt (Playbook C2)",IF(OR(N243="Scheduled on call",N243="Booked on their behalf"),"DONE: scheduled on call",IF(N243="Escalate to AM","ESCALATED TO LEAD","Review")))))))</f>
        <v/>
      </c>
      <c r="G243" s="20">
        <f>IF(E243="Ram is handling - no action","",IF(M243="",B243+6/24,IF(AND(M243&lt;&gt;"Scheduled on call",M243&lt;&gt;"Booked on their behalf",M243&lt;&gt;"Not interested/Declined",N243=""),B243+20/24,"")))</f>
        <v/>
      </c>
      <c r="H243" s="19" t="inlineStr">
        <is>
          <t>Chetan</t>
        </is>
      </c>
      <c r="I243" s="19" t="inlineStr">
        <is>
          <t>Google</t>
        </is>
      </c>
      <c r="J243" s="19" t="inlineStr">
        <is>
          <t>Round1</t>
        </is>
      </c>
      <c r="K243" s="22" t="inlineStr">
        <is>
          <t>+91 9920264452</t>
        </is>
      </c>
      <c r="L243" s="19" t="inlineStr">
        <is>
          <t>&lt;calendly_link&gt;</t>
        </is>
      </c>
      <c r="M243" s="19" t="n"/>
      <c r="N243" s="19" t="n"/>
      <c r="O243" s="19">
        <f>IF(OR(M243="Scheduled on call",M243="Booked on their behalf",N243="Scheduled on call",N243="Booked on their behalf"),"SCHEDULED (call)",IF(OR(M243="Not interested/Declined",N243="Not interested/Declined"),"DECLINED",IF(N243="Escalate to AM","ESCALATED TO LEAD",IF(E243="Ram is handling - no action","N/A",IF(M243="","PENDING CALL 1","IN PROGRESS")))))</f>
        <v/>
      </c>
      <c r="P243" s="19">
        <f>IF(OR('Ram - Digital ToDo'!O243="Scheduled",'Ram - Digital ToDo'!Q243="Scheduled"),"Scheduled within SLA (self-serve)",IF(OR(M243="Scheduled on call",M243="Booked on their behalf",N243="Scheduled on call",N243="Booked on their behalf"),"Scheduled within SLA (call)",IF(OR(M243="Not interested/Declined",N243="Not interested/Declined"),"Declined",IF(N243="Escalate to AM","SLA breach - unresolved","In progress"))))</f>
        <v/>
      </c>
      <c r="Q243" s="19" t="n"/>
    </row>
    <row r="244">
      <c r="A244" s="19" t="inlineStr">
        <is>
          <t>REQ-0243</t>
        </is>
      </c>
      <c r="B244" s="20" t="n">
        <v>44867.82708333333</v>
      </c>
      <c r="C244" s="20">
        <f>B244+1</f>
        <v/>
      </c>
      <c r="D244" s="21">
        <f>(C244-NOW())*24</f>
        <v/>
      </c>
      <c r="E244" s="19">
        <f>IF('Ram - Digital ToDo'!Q244="Escalate to call","CALL NOW",IF('Ram - Digital ToDo'!N244="Bad contact","CALL NOW (digital failed)","Ram is handling - no action"))</f>
        <v/>
      </c>
      <c r="F244" s="19">
        <f>IF(E244="Ram is handling - no action","No action needed",IF(M244="","CALL 1: ring candidate, offer to book on call (Playbook C1)",IF(OR(M244="Scheduled on call",M244="Booked on their behalf"),"DONE: scheduled on call",IF(M244="Not interested/Declined","CLOSED: candidate declined (log + tell lead)",IF(N244="","CALL 2: final attempt (Playbook C2)",IF(OR(N244="Scheduled on call",N244="Booked on their behalf"),"DONE: scheduled on call",IF(N244="Escalate to AM","ESCALATED TO LEAD","Review")))))))</f>
        <v/>
      </c>
      <c r="G244" s="20">
        <f>IF(E244="Ram is handling - no action","",IF(M244="",B244+6/24,IF(AND(M244&lt;&gt;"Scheduled on call",M244&lt;&gt;"Booked on their behalf",M244&lt;&gt;"Not interested/Declined",N244=""),B244+20/24,"")))</f>
        <v/>
      </c>
      <c r="H244" s="19" t="inlineStr">
        <is>
          <t>Chetan</t>
        </is>
      </c>
      <c r="I244" s="19" t="inlineStr">
        <is>
          <t>Google</t>
        </is>
      </c>
      <c r="J244" s="19" t="inlineStr">
        <is>
          <t>Round1</t>
        </is>
      </c>
      <c r="K244" s="22" t="inlineStr">
        <is>
          <t>+91 9920264452</t>
        </is>
      </c>
      <c r="L244" s="19" t="inlineStr">
        <is>
          <t>&lt;calendly_link&gt;</t>
        </is>
      </c>
      <c r="M244" s="19" t="n"/>
      <c r="N244" s="19" t="n"/>
      <c r="O244" s="19">
        <f>IF(OR(M244="Scheduled on call",M244="Booked on their behalf",N244="Scheduled on call",N244="Booked on their behalf"),"SCHEDULED (call)",IF(OR(M244="Not interested/Declined",N244="Not interested/Declined"),"DECLINED",IF(N244="Escalate to AM","ESCALATED TO LEAD",IF(E244="Ram is handling - no action","N/A",IF(M244="","PENDING CALL 1","IN PROGRESS")))))</f>
        <v/>
      </c>
      <c r="P244" s="19">
        <f>IF(OR('Ram - Digital ToDo'!O244="Scheduled",'Ram - Digital ToDo'!Q244="Scheduled"),"Scheduled within SLA (self-serve)",IF(OR(M244="Scheduled on call",M244="Booked on their behalf",N244="Scheduled on call",N244="Booked on their behalf"),"Scheduled within SLA (call)",IF(OR(M244="Not interested/Declined",N244="Not interested/Declined"),"Declined",IF(N244="Escalate to AM","SLA breach - unresolved","In progress"))))</f>
        <v/>
      </c>
      <c r="Q244" s="19" t="n"/>
    </row>
    <row r="245">
      <c r="A245" s="19" t="inlineStr">
        <is>
          <t>REQ-0244</t>
        </is>
      </c>
      <c r="B245" s="20" t="n">
        <v>44867.82708333333</v>
      </c>
      <c r="C245" s="20">
        <f>B245+1</f>
        <v/>
      </c>
      <c r="D245" s="21">
        <f>(C245-NOW())*24</f>
        <v/>
      </c>
      <c r="E245" s="19">
        <f>IF('Ram - Digital ToDo'!Q245="Escalate to call","CALL NOW",IF('Ram - Digital ToDo'!N245="Bad contact","CALL NOW (digital failed)","Ram is handling - no action"))</f>
        <v/>
      </c>
      <c r="F245" s="19">
        <f>IF(E245="Ram is handling - no action","No action needed",IF(M245="","CALL 1: ring candidate, offer to book on call (Playbook C1)",IF(OR(M245="Scheduled on call",M245="Booked on their behalf"),"DONE: scheduled on call",IF(M245="Not interested/Declined","CLOSED: candidate declined (log + tell lead)",IF(N245="","CALL 2: final attempt (Playbook C2)",IF(OR(N245="Scheduled on call",N245="Booked on their behalf"),"DONE: scheduled on call",IF(N245="Escalate to AM","ESCALATED TO LEAD","Review")))))))</f>
        <v/>
      </c>
      <c r="G245" s="20">
        <f>IF(E245="Ram is handling - no action","",IF(M245="",B245+6/24,IF(AND(M245&lt;&gt;"Scheduled on call",M245&lt;&gt;"Booked on their behalf",M245&lt;&gt;"Not interested/Declined",N245=""),B245+20/24,"")))</f>
        <v/>
      </c>
      <c r="H245" s="19" t="inlineStr">
        <is>
          <t>Chetan</t>
        </is>
      </c>
      <c r="I245" s="19" t="inlineStr">
        <is>
          <t>Google</t>
        </is>
      </c>
      <c r="J245" s="19" t="inlineStr">
        <is>
          <t>Round1</t>
        </is>
      </c>
      <c r="K245" s="22" t="inlineStr">
        <is>
          <t>+91 9920264452</t>
        </is>
      </c>
      <c r="L245" s="19" t="inlineStr">
        <is>
          <t>&lt;calendly_link&gt;</t>
        </is>
      </c>
      <c r="M245" s="19" t="n"/>
      <c r="N245" s="19" t="n"/>
      <c r="O245" s="19">
        <f>IF(OR(M245="Scheduled on call",M245="Booked on their behalf",N245="Scheduled on call",N245="Booked on their behalf"),"SCHEDULED (call)",IF(OR(M245="Not interested/Declined",N245="Not interested/Declined"),"DECLINED",IF(N245="Escalate to AM","ESCALATED TO LEAD",IF(E245="Ram is handling - no action","N/A",IF(M245="","PENDING CALL 1","IN PROGRESS")))))</f>
        <v/>
      </c>
      <c r="P245" s="19">
        <f>IF(OR('Ram - Digital ToDo'!O245="Scheduled",'Ram - Digital ToDo'!Q245="Scheduled"),"Scheduled within SLA (self-serve)",IF(OR(M245="Scheduled on call",M245="Booked on their behalf",N245="Scheduled on call",N245="Booked on their behalf"),"Scheduled within SLA (call)",IF(OR(M245="Not interested/Declined",N245="Not interested/Declined"),"Declined",IF(N245="Escalate to AM","SLA breach - unresolved","In progress"))))</f>
        <v/>
      </c>
      <c r="Q245" s="19" t="n"/>
    </row>
    <row r="246">
      <c r="A246" s="19" t="inlineStr">
        <is>
          <t>REQ-0245</t>
        </is>
      </c>
      <c r="B246" s="20" t="n">
        <v>44867.82708333333</v>
      </c>
      <c r="C246" s="20">
        <f>B246+1</f>
        <v/>
      </c>
      <c r="D246" s="21">
        <f>(C246-NOW())*24</f>
        <v/>
      </c>
      <c r="E246" s="19">
        <f>IF('Ram - Digital ToDo'!Q246="Escalate to call","CALL NOW",IF('Ram - Digital ToDo'!N246="Bad contact","CALL NOW (digital failed)","Ram is handling - no action"))</f>
        <v/>
      </c>
      <c r="F246" s="19">
        <f>IF(E246="Ram is handling - no action","No action needed",IF(M246="","CALL 1: ring candidate, offer to book on call (Playbook C1)",IF(OR(M246="Scheduled on call",M246="Booked on their behalf"),"DONE: scheduled on call",IF(M246="Not interested/Declined","CLOSED: candidate declined (log + tell lead)",IF(N246="","CALL 2: final attempt (Playbook C2)",IF(OR(N246="Scheduled on call",N246="Booked on their behalf"),"DONE: scheduled on call",IF(N246="Escalate to AM","ESCALATED TO LEAD","Review")))))))</f>
        <v/>
      </c>
      <c r="G246" s="20">
        <f>IF(E246="Ram is handling - no action","",IF(M246="",B246+6/24,IF(AND(M246&lt;&gt;"Scheduled on call",M246&lt;&gt;"Booked on their behalf",M246&lt;&gt;"Not interested/Declined",N246=""),B246+20/24,"")))</f>
        <v/>
      </c>
      <c r="H246" s="19" t="inlineStr">
        <is>
          <t>Chetan</t>
        </is>
      </c>
      <c r="I246" s="19" t="inlineStr">
        <is>
          <t>Google</t>
        </is>
      </c>
      <c r="J246" s="19" t="inlineStr">
        <is>
          <t>Round1</t>
        </is>
      </c>
      <c r="K246" s="22" t="inlineStr">
        <is>
          <t>+91 9920264452</t>
        </is>
      </c>
      <c r="L246" s="19" t="inlineStr">
        <is>
          <t>&lt;calendly_link&gt;</t>
        </is>
      </c>
      <c r="M246" s="19" t="n"/>
      <c r="N246" s="19" t="n"/>
      <c r="O246" s="19">
        <f>IF(OR(M246="Scheduled on call",M246="Booked on their behalf",N246="Scheduled on call",N246="Booked on their behalf"),"SCHEDULED (call)",IF(OR(M246="Not interested/Declined",N246="Not interested/Declined"),"DECLINED",IF(N246="Escalate to AM","ESCALATED TO LEAD",IF(E246="Ram is handling - no action","N/A",IF(M246="","PENDING CALL 1","IN PROGRESS")))))</f>
        <v/>
      </c>
      <c r="P246" s="19">
        <f>IF(OR('Ram - Digital ToDo'!O246="Scheduled",'Ram - Digital ToDo'!Q246="Scheduled"),"Scheduled within SLA (self-serve)",IF(OR(M246="Scheduled on call",M246="Booked on their behalf",N246="Scheduled on call",N246="Booked on their behalf"),"Scheduled within SLA (call)",IF(OR(M246="Not interested/Declined",N246="Not interested/Declined"),"Declined",IF(N246="Escalate to AM","SLA breach - unresolved","In progress"))))</f>
        <v/>
      </c>
      <c r="Q246" s="19" t="n"/>
    </row>
    <row r="247">
      <c r="A247" s="19" t="inlineStr">
        <is>
          <t>REQ-0246</t>
        </is>
      </c>
      <c r="B247" s="20" t="n">
        <v>44867.82708333333</v>
      </c>
      <c r="C247" s="20">
        <f>B247+1</f>
        <v/>
      </c>
      <c r="D247" s="21">
        <f>(C247-NOW())*24</f>
        <v/>
      </c>
      <c r="E247" s="19">
        <f>IF('Ram - Digital ToDo'!Q247="Escalate to call","CALL NOW",IF('Ram - Digital ToDo'!N247="Bad contact","CALL NOW (digital failed)","Ram is handling - no action"))</f>
        <v/>
      </c>
      <c r="F247" s="19">
        <f>IF(E247="Ram is handling - no action","No action needed",IF(M247="","CALL 1: ring candidate, offer to book on call (Playbook C1)",IF(OR(M247="Scheduled on call",M247="Booked on their behalf"),"DONE: scheduled on call",IF(M247="Not interested/Declined","CLOSED: candidate declined (log + tell lead)",IF(N247="","CALL 2: final attempt (Playbook C2)",IF(OR(N247="Scheduled on call",N247="Booked on their behalf"),"DONE: scheduled on call",IF(N247="Escalate to AM","ESCALATED TO LEAD","Review")))))))</f>
        <v/>
      </c>
      <c r="G247" s="20">
        <f>IF(E247="Ram is handling - no action","",IF(M247="",B247+6/24,IF(AND(M247&lt;&gt;"Scheduled on call",M247&lt;&gt;"Booked on their behalf",M247&lt;&gt;"Not interested/Declined",N247=""),B247+20/24,"")))</f>
        <v/>
      </c>
      <c r="H247" s="19" t="inlineStr">
        <is>
          <t>Chetan</t>
        </is>
      </c>
      <c r="I247" s="19" t="inlineStr">
        <is>
          <t>Google</t>
        </is>
      </c>
      <c r="J247" s="19" t="inlineStr">
        <is>
          <t>Round1</t>
        </is>
      </c>
      <c r="K247" s="22" t="inlineStr">
        <is>
          <t>+91 9920264452</t>
        </is>
      </c>
      <c r="L247" s="19" t="inlineStr">
        <is>
          <t>&lt;calendly_link&gt;</t>
        </is>
      </c>
      <c r="M247" s="19" t="n"/>
      <c r="N247" s="19" t="n"/>
      <c r="O247" s="19">
        <f>IF(OR(M247="Scheduled on call",M247="Booked on their behalf",N247="Scheduled on call",N247="Booked on their behalf"),"SCHEDULED (call)",IF(OR(M247="Not interested/Declined",N247="Not interested/Declined"),"DECLINED",IF(N247="Escalate to AM","ESCALATED TO LEAD",IF(E247="Ram is handling - no action","N/A",IF(M247="","PENDING CALL 1","IN PROGRESS")))))</f>
        <v/>
      </c>
      <c r="P247" s="19">
        <f>IF(OR('Ram - Digital ToDo'!O247="Scheduled",'Ram - Digital ToDo'!Q247="Scheduled"),"Scheduled within SLA (self-serve)",IF(OR(M247="Scheduled on call",M247="Booked on their behalf",N247="Scheduled on call",N247="Booked on their behalf"),"Scheduled within SLA (call)",IF(OR(M247="Not interested/Declined",N247="Not interested/Declined"),"Declined",IF(N247="Escalate to AM","SLA breach - unresolved","In progress"))))</f>
        <v/>
      </c>
      <c r="Q247" s="19" t="n"/>
    </row>
    <row r="248">
      <c r="A248" s="19" t="inlineStr">
        <is>
          <t>REQ-0247</t>
        </is>
      </c>
      <c r="B248" s="20" t="n">
        <v>44867.82708333333</v>
      </c>
      <c r="C248" s="20">
        <f>B248+1</f>
        <v/>
      </c>
      <c r="D248" s="21">
        <f>(C248-NOW())*24</f>
        <v/>
      </c>
      <c r="E248" s="19">
        <f>IF('Ram - Digital ToDo'!Q248="Escalate to call","CALL NOW",IF('Ram - Digital ToDo'!N248="Bad contact","CALL NOW (digital failed)","Ram is handling - no action"))</f>
        <v/>
      </c>
      <c r="F248" s="19">
        <f>IF(E248="Ram is handling - no action","No action needed",IF(M248="","CALL 1: ring candidate, offer to book on call (Playbook C1)",IF(OR(M248="Scheduled on call",M248="Booked on their behalf"),"DONE: scheduled on call",IF(M248="Not interested/Declined","CLOSED: candidate declined (log + tell lead)",IF(N248="","CALL 2: final attempt (Playbook C2)",IF(OR(N248="Scheduled on call",N248="Booked on their behalf"),"DONE: scheduled on call",IF(N248="Escalate to AM","ESCALATED TO LEAD","Review")))))))</f>
        <v/>
      </c>
      <c r="G248" s="20">
        <f>IF(E248="Ram is handling - no action","",IF(M248="",B248+6/24,IF(AND(M248&lt;&gt;"Scheduled on call",M248&lt;&gt;"Booked on their behalf",M248&lt;&gt;"Not interested/Declined",N248=""),B248+20/24,"")))</f>
        <v/>
      </c>
      <c r="H248" s="19" t="inlineStr">
        <is>
          <t>Chetan</t>
        </is>
      </c>
      <c r="I248" s="19" t="inlineStr">
        <is>
          <t>Google</t>
        </is>
      </c>
      <c r="J248" s="19" t="inlineStr">
        <is>
          <t>Round1</t>
        </is>
      </c>
      <c r="K248" s="22" t="inlineStr">
        <is>
          <t>+91 9920264452</t>
        </is>
      </c>
      <c r="L248" s="19" t="inlineStr">
        <is>
          <t>&lt;calendly_link&gt;</t>
        </is>
      </c>
      <c r="M248" s="19" t="n"/>
      <c r="N248" s="19" t="n"/>
      <c r="O248" s="19">
        <f>IF(OR(M248="Scheduled on call",M248="Booked on their behalf",N248="Scheduled on call",N248="Booked on their behalf"),"SCHEDULED (call)",IF(OR(M248="Not interested/Declined",N248="Not interested/Declined"),"DECLINED",IF(N248="Escalate to AM","ESCALATED TO LEAD",IF(E248="Ram is handling - no action","N/A",IF(M248="","PENDING CALL 1","IN PROGRESS")))))</f>
        <v/>
      </c>
      <c r="P248" s="19">
        <f>IF(OR('Ram - Digital ToDo'!O248="Scheduled",'Ram - Digital ToDo'!Q248="Scheduled"),"Scheduled within SLA (self-serve)",IF(OR(M248="Scheduled on call",M248="Booked on their behalf",N248="Scheduled on call",N248="Booked on their behalf"),"Scheduled within SLA (call)",IF(OR(M248="Not interested/Declined",N248="Not interested/Declined"),"Declined",IF(N248="Escalate to AM","SLA breach - unresolved","In progress"))))</f>
        <v/>
      </c>
      <c r="Q248" s="19" t="n"/>
    </row>
    <row r="249">
      <c r="A249" s="19" t="inlineStr">
        <is>
          <t>REQ-0248</t>
        </is>
      </c>
      <c r="B249" s="20" t="n">
        <v>44867.82708333333</v>
      </c>
      <c r="C249" s="20">
        <f>B249+1</f>
        <v/>
      </c>
      <c r="D249" s="21">
        <f>(C249-NOW())*24</f>
        <v/>
      </c>
      <c r="E249" s="19">
        <f>IF('Ram - Digital ToDo'!Q249="Escalate to call","CALL NOW",IF('Ram - Digital ToDo'!N249="Bad contact","CALL NOW (digital failed)","Ram is handling - no action"))</f>
        <v/>
      </c>
      <c r="F249" s="19">
        <f>IF(E249="Ram is handling - no action","No action needed",IF(M249="","CALL 1: ring candidate, offer to book on call (Playbook C1)",IF(OR(M249="Scheduled on call",M249="Booked on their behalf"),"DONE: scheduled on call",IF(M249="Not interested/Declined","CLOSED: candidate declined (log + tell lead)",IF(N249="","CALL 2: final attempt (Playbook C2)",IF(OR(N249="Scheduled on call",N249="Booked on their behalf"),"DONE: scheduled on call",IF(N249="Escalate to AM","ESCALATED TO LEAD","Review")))))))</f>
        <v/>
      </c>
      <c r="G249" s="20">
        <f>IF(E249="Ram is handling - no action","",IF(M249="",B249+6/24,IF(AND(M249&lt;&gt;"Scheduled on call",M249&lt;&gt;"Booked on their behalf",M249&lt;&gt;"Not interested/Declined",N249=""),B249+20/24,"")))</f>
        <v/>
      </c>
      <c r="H249" s="19" t="inlineStr">
        <is>
          <t>Chetan</t>
        </is>
      </c>
      <c r="I249" s="19" t="inlineStr">
        <is>
          <t>Google</t>
        </is>
      </c>
      <c r="J249" s="19" t="inlineStr">
        <is>
          <t>Round1</t>
        </is>
      </c>
      <c r="K249" s="22" t="inlineStr">
        <is>
          <t>+91 9920264452</t>
        </is>
      </c>
      <c r="L249" s="19" t="inlineStr">
        <is>
          <t>&lt;calendly_link&gt;</t>
        </is>
      </c>
      <c r="M249" s="19" t="n"/>
      <c r="N249" s="19" t="n"/>
      <c r="O249" s="19">
        <f>IF(OR(M249="Scheduled on call",M249="Booked on their behalf",N249="Scheduled on call",N249="Booked on their behalf"),"SCHEDULED (call)",IF(OR(M249="Not interested/Declined",N249="Not interested/Declined"),"DECLINED",IF(N249="Escalate to AM","ESCALATED TO LEAD",IF(E249="Ram is handling - no action","N/A",IF(M249="","PENDING CALL 1","IN PROGRESS")))))</f>
        <v/>
      </c>
      <c r="P249" s="19">
        <f>IF(OR('Ram - Digital ToDo'!O249="Scheduled",'Ram - Digital ToDo'!Q249="Scheduled"),"Scheduled within SLA (self-serve)",IF(OR(M249="Scheduled on call",M249="Booked on their behalf",N249="Scheduled on call",N249="Booked on their behalf"),"Scheduled within SLA (call)",IF(OR(M249="Not interested/Declined",N249="Not interested/Declined"),"Declined",IF(N249="Escalate to AM","SLA breach - unresolved","In progress"))))</f>
        <v/>
      </c>
      <c r="Q249" s="19" t="n"/>
    </row>
    <row r="250">
      <c r="A250" s="19" t="inlineStr">
        <is>
          <t>REQ-0249</t>
        </is>
      </c>
      <c r="B250" s="20" t="n">
        <v>44867.82708333333</v>
      </c>
      <c r="C250" s="20">
        <f>B250+1</f>
        <v/>
      </c>
      <c r="D250" s="21">
        <f>(C250-NOW())*24</f>
        <v/>
      </c>
      <c r="E250" s="19">
        <f>IF('Ram - Digital ToDo'!Q250="Escalate to call","CALL NOW",IF('Ram - Digital ToDo'!N250="Bad contact","CALL NOW (digital failed)","Ram is handling - no action"))</f>
        <v/>
      </c>
      <c r="F250" s="19">
        <f>IF(E250="Ram is handling - no action","No action needed",IF(M250="","CALL 1: ring candidate, offer to book on call (Playbook C1)",IF(OR(M250="Scheduled on call",M250="Booked on their behalf"),"DONE: scheduled on call",IF(M250="Not interested/Declined","CLOSED: candidate declined (log + tell lead)",IF(N250="","CALL 2: final attempt (Playbook C2)",IF(OR(N250="Scheduled on call",N250="Booked on their behalf"),"DONE: scheduled on call",IF(N250="Escalate to AM","ESCALATED TO LEAD","Review")))))))</f>
        <v/>
      </c>
      <c r="G250" s="20">
        <f>IF(E250="Ram is handling - no action","",IF(M250="",B250+6/24,IF(AND(M250&lt;&gt;"Scheduled on call",M250&lt;&gt;"Booked on their behalf",M250&lt;&gt;"Not interested/Declined",N250=""),B250+20/24,"")))</f>
        <v/>
      </c>
      <c r="H250" s="19" t="inlineStr">
        <is>
          <t>Chetan</t>
        </is>
      </c>
      <c r="I250" s="19" t="inlineStr">
        <is>
          <t>Google</t>
        </is>
      </c>
      <c r="J250" s="19" t="inlineStr">
        <is>
          <t>Round1</t>
        </is>
      </c>
      <c r="K250" s="22" t="inlineStr">
        <is>
          <t>+91 9920264452</t>
        </is>
      </c>
      <c r="L250" s="19" t="inlineStr">
        <is>
          <t>&lt;calendly_link&gt;</t>
        </is>
      </c>
      <c r="M250" s="19" t="n"/>
      <c r="N250" s="19" t="n"/>
      <c r="O250" s="19">
        <f>IF(OR(M250="Scheduled on call",M250="Booked on their behalf",N250="Scheduled on call",N250="Booked on their behalf"),"SCHEDULED (call)",IF(OR(M250="Not interested/Declined",N250="Not interested/Declined"),"DECLINED",IF(N250="Escalate to AM","ESCALATED TO LEAD",IF(E250="Ram is handling - no action","N/A",IF(M250="","PENDING CALL 1","IN PROGRESS")))))</f>
        <v/>
      </c>
      <c r="P250" s="19">
        <f>IF(OR('Ram - Digital ToDo'!O250="Scheduled",'Ram - Digital ToDo'!Q250="Scheduled"),"Scheduled within SLA (self-serve)",IF(OR(M250="Scheduled on call",M250="Booked on their behalf",N250="Scheduled on call",N250="Booked on their behalf"),"Scheduled within SLA (call)",IF(OR(M250="Not interested/Declined",N250="Not interested/Declined"),"Declined",IF(N250="Escalate to AM","SLA breach - unresolved","In progress"))))</f>
        <v/>
      </c>
      <c r="Q250" s="19" t="n"/>
    </row>
    <row r="251">
      <c r="A251" s="19" t="inlineStr">
        <is>
          <t>REQ-0250</t>
        </is>
      </c>
      <c r="B251" s="20" t="n">
        <v>44867.82708333333</v>
      </c>
      <c r="C251" s="20">
        <f>B251+1</f>
        <v/>
      </c>
      <c r="D251" s="21">
        <f>(C251-NOW())*24</f>
        <v/>
      </c>
      <c r="E251" s="19">
        <f>IF('Ram - Digital ToDo'!Q251="Escalate to call","CALL NOW",IF('Ram - Digital ToDo'!N251="Bad contact","CALL NOW (digital failed)","Ram is handling - no action"))</f>
        <v/>
      </c>
      <c r="F251" s="19">
        <f>IF(E251="Ram is handling - no action","No action needed",IF(M251="","CALL 1: ring candidate, offer to book on call (Playbook C1)",IF(OR(M251="Scheduled on call",M251="Booked on their behalf"),"DONE: scheduled on call",IF(M251="Not interested/Declined","CLOSED: candidate declined (log + tell lead)",IF(N251="","CALL 2: final attempt (Playbook C2)",IF(OR(N251="Scheduled on call",N251="Booked on their behalf"),"DONE: scheduled on call",IF(N251="Escalate to AM","ESCALATED TO LEAD","Review")))))))</f>
        <v/>
      </c>
      <c r="G251" s="20">
        <f>IF(E251="Ram is handling - no action","",IF(M251="",B251+6/24,IF(AND(M251&lt;&gt;"Scheduled on call",M251&lt;&gt;"Booked on their behalf",M251&lt;&gt;"Not interested/Declined",N251=""),B251+20/24,"")))</f>
        <v/>
      </c>
      <c r="H251" s="19" t="inlineStr">
        <is>
          <t>Chetan</t>
        </is>
      </c>
      <c r="I251" s="19" t="inlineStr">
        <is>
          <t>Google</t>
        </is>
      </c>
      <c r="J251" s="19" t="inlineStr">
        <is>
          <t>Round1</t>
        </is>
      </c>
      <c r="K251" s="22" t="inlineStr">
        <is>
          <t>+91 9920264452</t>
        </is>
      </c>
      <c r="L251" s="19" t="inlineStr">
        <is>
          <t>&lt;calendly_link&gt;</t>
        </is>
      </c>
      <c r="M251" s="19" t="n"/>
      <c r="N251" s="19" t="n"/>
      <c r="O251" s="19">
        <f>IF(OR(M251="Scheduled on call",M251="Booked on their behalf",N251="Scheduled on call",N251="Booked on their behalf"),"SCHEDULED (call)",IF(OR(M251="Not interested/Declined",N251="Not interested/Declined"),"DECLINED",IF(N251="Escalate to AM","ESCALATED TO LEAD",IF(E251="Ram is handling - no action","N/A",IF(M251="","PENDING CALL 1","IN PROGRESS")))))</f>
        <v/>
      </c>
      <c r="P251" s="19">
        <f>IF(OR('Ram - Digital ToDo'!O251="Scheduled",'Ram - Digital ToDo'!Q251="Scheduled"),"Scheduled within SLA (self-serve)",IF(OR(M251="Scheduled on call",M251="Booked on their behalf",N251="Scheduled on call",N251="Booked on their behalf"),"Scheduled within SLA (call)",IF(OR(M251="Not interested/Declined",N251="Not interested/Declined"),"Declined",IF(N251="Escalate to AM","SLA breach - unresolved","In progress"))))</f>
        <v/>
      </c>
      <c r="Q251" s="19" t="n"/>
    </row>
    <row r="252">
      <c r="A252" s="19" t="inlineStr">
        <is>
          <t>REQ-0251</t>
        </is>
      </c>
      <c r="B252" s="20" t="n">
        <v>44867.82708333333</v>
      </c>
      <c r="C252" s="20">
        <f>B252+1</f>
        <v/>
      </c>
      <c r="D252" s="21">
        <f>(C252-NOW())*24</f>
        <v/>
      </c>
      <c r="E252" s="19">
        <f>IF('Ram - Digital ToDo'!Q252="Escalate to call","CALL NOW",IF('Ram - Digital ToDo'!N252="Bad contact","CALL NOW (digital failed)","Ram is handling - no action"))</f>
        <v/>
      </c>
      <c r="F252" s="19">
        <f>IF(E252="Ram is handling - no action","No action needed",IF(M252="","CALL 1: ring candidate, offer to book on call (Playbook C1)",IF(OR(M252="Scheduled on call",M252="Booked on their behalf"),"DONE: scheduled on call",IF(M252="Not interested/Declined","CLOSED: candidate declined (log + tell lead)",IF(N252="","CALL 2: final attempt (Playbook C2)",IF(OR(N252="Scheduled on call",N252="Booked on their behalf"),"DONE: scheduled on call",IF(N252="Escalate to AM","ESCALATED TO LEAD","Review")))))))</f>
        <v/>
      </c>
      <c r="G252" s="20">
        <f>IF(E252="Ram is handling - no action","",IF(M252="",B252+6/24,IF(AND(M252&lt;&gt;"Scheduled on call",M252&lt;&gt;"Booked on their behalf",M252&lt;&gt;"Not interested/Declined",N252=""),B252+20/24,"")))</f>
        <v/>
      </c>
      <c r="H252" s="19" t="inlineStr">
        <is>
          <t>Chetan</t>
        </is>
      </c>
      <c r="I252" s="19" t="inlineStr">
        <is>
          <t>Google</t>
        </is>
      </c>
      <c r="J252" s="19" t="inlineStr">
        <is>
          <t>Round1</t>
        </is>
      </c>
      <c r="K252" s="22" t="inlineStr">
        <is>
          <t>+91 9920264452</t>
        </is>
      </c>
      <c r="L252" s="19" t="inlineStr">
        <is>
          <t>&lt;calendly_link&gt;</t>
        </is>
      </c>
      <c r="M252" s="19" t="n"/>
      <c r="N252" s="19" t="n"/>
      <c r="O252" s="19">
        <f>IF(OR(M252="Scheduled on call",M252="Booked on their behalf",N252="Scheduled on call",N252="Booked on their behalf"),"SCHEDULED (call)",IF(OR(M252="Not interested/Declined",N252="Not interested/Declined"),"DECLINED",IF(N252="Escalate to AM","ESCALATED TO LEAD",IF(E252="Ram is handling - no action","N/A",IF(M252="","PENDING CALL 1","IN PROGRESS")))))</f>
        <v/>
      </c>
      <c r="P252" s="19">
        <f>IF(OR('Ram - Digital ToDo'!O252="Scheduled",'Ram - Digital ToDo'!Q252="Scheduled"),"Scheduled within SLA (self-serve)",IF(OR(M252="Scheduled on call",M252="Booked on their behalf",N252="Scheduled on call",N252="Booked on their behalf"),"Scheduled within SLA (call)",IF(OR(M252="Not interested/Declined",N252="Not interested/Declined"),"Declined",IF(N252="Escalate to AM","SLA breach - unresolved","In progress"))))</f>
        <v/>
      </c>
      <c r="Q252" s="19" t="n"/>
    </row>
    <row r="253">
      <c r="A253" s="19" t="inlineStr">
        <is>
          <t>REQ-0252</t>
        </is>
      </c>
      <c r="B253" s="20" t="n">
        <v>44867.82708333333</v>
      </c>
      <c r="C253" s="20">
        <f>B253+1</f>
        <v/>
      </c>
      <c r="D253" s="21">
        <f>(C253-NOW())*24</f>
        <v/>
      </c>
      <c r="E253" s="19">
        <f>IF('Ram - Digital ToDo'!Q253="Escalate to call","CALL NOW",IF('Ram - Digital ToDo'!N253="Bad contact","CALL NOW (digital failed)","Ram is handling - no action"))</f>
        <v/>
      </c>
      <c r="F253" s="19">
        <f>IF(E253="Ram is handling - no action","No action needed",IF(M253="","CALL 1: ring candidate, offer to book on call (Playbook C1)",IF(OR(M253="Scheduled on call",M253="Booked on their behalf"),"DONE: scheduled on call",IF(M253="Not interested/Declined","CLOSED: candidate declined (log + tell lead)",IF(N253="","CALL 2: final attempt (Playbook C2)",IF(OR(N253="Scheduled on call",N253="Booked on their behalf"),"DONE: scheduled on call",IF(N253="Escalate to AM","ESCALATED TO LEAD","Review")))))))</f>
        <v/>
      </c>
      <c r="G253" s="20">
        <f>IF(E253="Ram is handling - no action","",IF(M253="",B253+6/24,IF(AND(M253&lt;&gt;"Scheduled on call",M253&lt;&gt;"Booked on their behalf",M253&lt;&gt;"Not interested/Declined",N253=""),B253+20/24,"")))</f>
        <v/>
      </c>
      <c r="H253" s="19" t="inlineStr">
        <is>
          <t>Chetan</t>
        </is>
      </c>
      <c r="I253" s="19" t="inlineStr">
        <is>
          <t>Google</t>
        </is>
      </c>
      <c r="J253" s="19" t="inlineStr">
        <is>
          <t>Round1</t>
        </is>
      </c>
      <c r="K253" s="22" t="inlineStr">
        <is>
          <t>+91 9920264452</t>
        </is>
      </c>
      <c r="L253" s="19" t="inlineStr">
        <is>
          <t>&lt;calendly_link&gt;</t>
        </is>
      </c>
      <c r="M253" s="19" t="n"/>
      <c r="N253" s="19" t="n"/>
      <c r="O253" s="19">
        <f>IF(OR(M253="Scheduled on call",M253="Booked on their behalf",N253="Scheduled on call",N253="Booked on their behalf"),"SCHEDULED (call)",IF(OR(M253="Not interested/Declined",N253="Not interested/Declined"),"DECLINED",IF(N253="Escalate to AM","ESCALATED TO LEAD",IF(E253="Ram is handling - no action","N/A",IF(M253="","PENDING CALL 1","IN PROGRESS")))))</f>
        <v/>
      </c>
      <c r="P253" s="19">
        <f>IF(OR('Ram - Digital ToDo'!O253="Scheduled",'Ram - Digital ToDo'!Q253="Scheduled"),"Scheduled within SLA (self-serve)",IF(OR(M253="Scheduled on call",M253="Booked on their behalf",N253="Scheduled on call",N253="Booked on their behalf"),"Scheduled within SLA (call)",IF(OR(M253="Not interested/Declined",N253="Not interested/Declined"),"Declined",IF(N253="Escalate to AM","SLA breach - unresolved","In progress"))))</f>
        <v/>
      </c>
      <c r="Q253" s="19" t="n"/>
    </row>
    <row r="254">
      <c r="A254" s="19" t="inlineStr">
        <is>
          <t>REQ-0253</t>
        </is>
      </c>
      <c r="B254" s="20" t="n">
        <v>44867.82708333333</v>
      </c>
      <c r="C254" s="20">
        <f>B254+1</f>
        <v/>
      </c>
      <c r="D254" s="21">
        <f>(C254-NOW())*24</f>
        <v/>
      </c>
      <c r="E254" s="19">
        <f>IF('Ram - Digital ToDo'!Q254="Escalate to call","CALL NOW",IF('Ram - Digital ToDo'!N254="Bad contact","CALL NOW (digital failed)","Ram is handling - no action"))</f>
        <v/>
      </c>
      <c r="F254" s="19">
        <f>IF(E254="Ram is handling - no action","No action needed",IF(M254="","CALL 1: ring candidate, offer to book on call (Playbook C1)",IF(OR(M254="Scheduled on call",M254="Booked on their behalf"),"DONE: scheduled on call",IF(M254="Not interested/Declined","CLOSED: candidate declined (log + tell lead)",IF(N254="","CALL 2: final attempt (Playbook C2)",IF(OR(N254="Scheduled on call",N254="Booked on their behalf"),"DONE: scheduled on call",IF(N254="Escalate to AM","ESCALATED TO LEAD","Review")))))))</f>
        <v/>
      </c>
      <c r="G254" s="20">
        <f>IF(E254="Ram is handling - no action","",IF(M254="",B254+6/24,IF(AND(M254&lt;&gt;"Scheduled on call",M254&lt;&gt;"Booked on their behalf",M254&lt;&gt;"Not interested/Declined",N254=""),B254+20/24,"")))</f>
        <v/>
      </c>
      <c r="H254" s="19" t="inlineStr">
        <is>
          <t>Chetan</t>
        </is>
      </c>
      <c r="I254" s="19" t="inlineStr">
        <is>
          <t>Google</t>
        </is>
      </c>
      <c r="J254" s="19" t="inlineStr">
        <is>
          <t>Round1</t>
        </is>
      </c>
      <c r="K254" s="22" t="inlineStr">
        <is>
          <t>+91 9920264452</t>
        </is>
      </c>
      <c r="L254" s="19" t="inlineStr">
        <is>
          <t>&lt;calendly_link&gt;</t>
        </is>
      </c>
      <c r="M254" s="19" t="n"/>
      <c r="N254" s="19" t="n"/>
      <c r="O254" s="19">
        <f>IF(OR(M254="Scheduled on call",M254="Booked on their behalf",N254="Scheduled on call",N254="Booked on their behalf"),"SCHEDULED (call)",IF(OR(M254="Not interested/Declined",N254="Not interested/Declined"),"DECLINED",IF(N254="Escalate to AM","ESCALATED TO LEAD",IF(E254="Ram is handling - no action","N/A",IF(M254="","PENDING CALL 1","IN PROGRESS")))))</f>
        <v/>
      </c>
      <c r="P254" s="19">
        <f>IF(OR('Ram - Digital ToDo'!O254="Scheduled",'Ram - Digital ToDo'!Q254="Scheduled"),"Scheduled within SLA (self-serve)",IF(OR(M254="Scheduled on call",M254="Booked on their behalf",N254="Scheduled on call",N254="Booked on their behalf"),"Scheduled within SLA (call)",IF(OR(M254="Not interested/Declined",N254="Not interested/Declined"),"Declined",IF(N254="Escalate to AM","SLA breach - unresolved","In progress"))))</f>
        <v/>
      </c>
      <c r="Q254" s="19" t="n"/>
    </row>
    <row r="255">
      <c r="A255" s="19" t="inlineStr">
        <is>
          <t>REQ-0254</t>
        </is>
      </c>
      <c r="B255" s="20" t="n">
        <v>44867.82708333333</v>
      </c>
      <c r="C255" s="20">
        <f>B255+1</f>
        <v/>
      </c>
      <c r="D255" s="21">
        <f>(C255-NOW())*24</f>
        <v/>
      </c>
      <c r="E255" s="19">
        <f>IF('Ram - Digital ToDo'!Q255="Escalate to call","CALL NOW",IF('Ram - Digital ToDo'!N255="Bad contact","CALL NOW (digital failed)","Ram is handling - no action"))</f>
        <v/>
      </c>
      <c r="F255" s="19">
        <f>IF(E255="Ram is handling - no action","No action needed",IF(M255="","CALL 1: ring candidate, offer to book on call (Playbook C1)",IF(OR(M255="Scheduled on call",M255="Booked on their behalf"),"DONE: scheduled on call",IF(M255="Not interested/Declined","CLOSED: candidate declined (log + tell lead)",IF(N255="","CALL 2: final attempt (Playbook C2)",IF(OR(N255="Scheduled on call",N255="Booked on their behalf"),"DONE: scheduled on call",IF(N255="Escalate to AM","ESCALATED TO LEAD","Review")))))))</f>
        <v/>
      </c>
      <c r="G255" s="20">
        <f>IF(E255="Ram is handling - no action","",IF(M255="",B255+6/24,IF(AND(M255&lt;&gt;"Scheduled on call",M255&lt;&gt;"Booked on their behalf",M255&lt;&gt;"Not interested/Declined",N255=""),B255+20/24,"")))</f>
        <v/>
      </c>
      <c r="H255" s="19" t="inlineStr">
        <is>
          <t>Chetan</t>
        </is>
      </c>
      <c r="I255" s="19" t="inlineStr">
        <is>
          <t>Google</t>
        </is>
      </c>
      <c r="J255" s="19" t="inlineStr">
        <is>
          <t>Round1</t>
        </is>
      </c>
      <c r="K255" s="22" t="inlineStr">
        <is>
          <t>+91 9920264452</t>
        </is>
      </c>
      <c r="L255" s="19" t="inlineStr">
        <is>
          <t>&lt;calendly_link&gt;</t>
        </is>
      </c>
      <c r="M255" s="19" t="n"/>
      <c r="N255" s="19" t="n"/>
      <c r="O255" s="19">
        <f>IF(OR(M255="Scheduled on call",M255="Booked on their behalf",N255="Scheduled on call",N255="Booked on their behalf"),"SCHEDULED (call)",IF(OR(M255="Not interested/Declined",N255="Not interested/Declined"),"DECLINED",IF(N255="Escalate to AM","ESCALATED TO LEAD",IF(E255="Ram is handling - no action","N/A",IF(M255="","PENDING CALL 1","IN PROGRESS")))))</f>
        <v/>
      </c>
      <c r="P255" s="19">
        <f>IF(OR('Ram - Digital ToDo'!O255="Scheduled",'Ram - Digital ToDo'!Q255="Scheduled"),"Scheduled within SLA (self-serve)",IF(OR(M255="Scheduled on call",M255="Booked on their behalf",N255="Scheduled on call",N255="Booked on their behalf"),"Scheduled within SLA (call)",IF(OR(M255="Not interested/Declined",N255="Not interested/Declined"),"Declined",IF(N255="Escalate to AM","SLA breach - unresolved","In progress"))))</f>
        <v/>
      </c>
      <c r="Q255" s="19" t="n"/>
    </row>
    <row r="256">
      <c r="A256" s="19" t="inlineStr">
        <is>
          <t>REQ-0255</t>
        </is>
      </c>
      <c r="B256" s="20" t="n">
        <v>44867.82708333333</v>
      </c>
      <c r="C256" s="20">
        <f>B256+1</f>
        <v/>
      </c>
      <c r="D256" s="21">
        <f>(C256-NOW())*24</f>
        <v/>
      </c>
      <c r="E256" s="19">
        <f>IF('Ram - Digital ToDo'!Q256="Escalate to call","CALL NOW",IF('Ram - Digital ToDo'!N256="Bad contact","CALL NOW (digital failed)","Ram is handling - no action"))</f>
        <v/>
      </c>
      <c r="F256" s="19">
        <f>IF(E256="Ram is handling - no action","No action needed",IF(M256="","CALL 1: ring candidate, offer to book on call (Playbook C1)",IF(OR(M256="Scheduled on call",M256="Booked on their behalf"),"DONE: scheduled on call",IF(M256="Not interested/Declined","CLOSED: candidate declined (log + tell lead)",IF(N256="","CALL 2: final attempt (Playbook C2)",IF(OR(N256="Scheduled on call",N256="Booked on their behalf"),"DONE: scheduled on call",IF(N256="Escalate to AM","ESCALATED TO LEAD","Review")))))))</f>
        <v/>
      </c>
      <c r="G256" s="20">
        <f>IF(E256="Ram is handling - no action","",IF(M256="",B256+6/24,IF(AND(M256&lt;&gt;"Scheduled on call",M256&lt;&gt;"Booked on their behalf",M256&lt;&gt;"Not interested/Declined",N256=""),B256+20/24,"")))</f>
        <v/>
      </c>
      <c r="H256" s="19" t="inlineStr">
        <is>
          <t>Chetan</t>
        </is>
      </c>
      <c r="I256" s="19" t="inlineStr">
        <is>
          <t>Google</t>
        </is>
      </c>
      <c r="J256" s="19" t="inlineStr">
        <is>
          <t>Round1</t>
        </is>
      </c>
      <c r="K256" s="22" t="inlineStr">
        <is>
          <t>+91 9920264452</t>
        </is>
      </c>
      <c r="L256" s="19" t="inlineStr">
        <is>
          <t>&lt;calendly_link&gt;</t>
        </is>
      </c>
      <c r="M256" s="19" t="n"/>
      <c r="N256" s="19" t="n"/>
      <c r="O256" s="19">
        <f>IF(OR(M256="Scheduled on call",M256="Booked on their behalf",N256="Scheduled on call",N256="Booked on their behalf"),"SCHEDULED (call)",IF(OR(M256="Not interested/Declined",N256="Not interested/Declined"),"DECLINED",IF(N256="Escalate to AM","ESCALATED TO LEAD",IF(E256="Ram is handling - no action","N/A",IF(M256="","PENDING CALL 1","IN PROGRESS")))))</f>
        <v/>
      </c>
      <c r="P256" s="19">
        <f>IF(OR('Ram - Digital ToDo'!O256="Scheduled",'Ram - Digital ToDo'!Q256="Scheduled"),"Scheduled within SLA (self-serve)",IF(OR(M256="Scheduled on call",M256="Booked on their behalf",N256="Scheduled on call",N256="Booked on their behalf"),"Scheduled within SLA (call)",IF(OR(M256="Not interested/Declined",N256="Not interested/Declined"),"Declined",IF(N256="Escalate to AM","SLA breach - unresolved","In progress"))))</f>
        <v/>
      </c>
      <c r="Q256" s="19" t="n"/>
    </row>
    <row r="257">
      <c r="A257" s="19" t="inlineStr">
        <is>
          <t>REQ-0256</t>
        </is>
      </c>
      <c r="B257" s="20" t="n">
        <v>44867.82708333333</v>
      </c>
      <c r="C257" s="20">
        <f>B257+1</f>
        <v/>
      </c>
      <c r="D257" s="21">
        <f>(C257-NOW())*24</f>
        <v/>
      </c>
      <c r="E257" s="19">
        <f>IF('Ram - Digital ToDo'!Q257="Escalate to call","CALL NOW",IF('Ram - Digital ToDo'!N257="Bad contact","CALL NOW (digital failed)","Ram is handling - no action"))</f>
        <v/>
      </c>
      <c r="F257" s="19">
        <f>IF(E257="Ram is handling - no action","No action needed",IF(M257="","CALL 1: ring candidate, offer to book on call (Playbook C1)",IF(OR(M257="Scheduled on call",M257="Booked on their behalf"),"DONE: scheduled on call",IF(M257="Not interested/Declined","CLOSED: candidate declined (log + tell lead)",IF(N257="","CALL 2: final attempt (Playbook C2)",IF(OR(N257="Scheduled on call",N257="Booked on their behalf"),"DONE: scheduled on call",IF(N257="Escalate to AM","ESCALATED TO LEAD","Review")))))))</f>
        <v/>
      </c>
      <c r="G257" s="20">
        <f>IF(E257="Ram is handling - no action","",IF(M257="",B257+6/24,IF(AND(M257&lt;&gt;"Scheduled on call",M257&lt;&gt;"Booked on their behalf",M257&lt;&gt;"Not interested/Declined",N257=""),B257+20/24,"")))</f>
        <v/>
      </c>
      <c r="H257" s="19" t="inlineStr">
        <is>
          <t>Chetan</t>
        </is>
      </c>
      <c r="I257" s="19" t="inlineStr">
        <is>
          <t>Google</t>
        </is>
      </c>
      <c r="J257" s="19" t="inlineStr">
        <is>
          <t>Round1</t>
        </is>
      </c>
      <c r="K257" s="22" t="inlineStr">
        <is>
          <t>+91 9920264452</t>
        </is>
      </c>
      <c r="L257" s="19" t="inlineStr">
        <is>
          <t>&lt;calendly_link&gt;</t>
        </is>
      </c>
      <c r="M257" s="19" t="n"/>
      <c r="N257" s="19" t="n"/>
      <c r="O257" s="19">
        <f>IF(OR(M257="Scheduled on call",M257="Booked on their behalf",N257="Scheduled on call",N257="Booked on their behalf"),"SCHEDULED (call)",IF(OR(M257="Not interested/Declined",N257="Not interested/Declined"),"DECLINED",IF(N257="Escalate to AM","ESCALATED TO LEAD",IF(E257="Ram is handling - no action","N/A",IF(M257="","PENDING CALL 1","IN PROGRESS")))))</f>
        <v/>
      </c>
      <c r="P257" s="19">
        <f>IF(OR('Ram - Digital ToDo'!O257="Scheduled",'Ram - Digital ToDo'!Q257="Scheduled"),"Scheduled within SLA (self-serve)",IF(OR(M257="Scheduled on call",M257="Booked on their behalf",N257="Scheduled on call",N257="Booked on their behalf"),"Scheduled within SLA (call)",IF(OR(M257="Not interested/Declined",N257="Not interested/Declined"),"Declined",IF(N257="Escalate to AM","SLA breach - unresolved","In progress"))))</f>
        <v/>
      </c>
      <c r="Q257" s="19" t="n"/>
    </row>
    <row r="258">
      <c r="A258" s="19" t="inlineStr">
        <is>
          <t>REQ-0257</t>
        </is>
      </c>
      <c r="B258" s="20" t="n">
        <v>44867.82708333333</v>
      </c>
      <c r="C258" s="20">
        <f>B258+1</f>
        <v/>
      </c>
      <c r="D258" s="21">
        <f>(C258-NOW())*24</f>
        <v/>
      </c>
      <c r="E258" s="19">
        <f>IF('Ram - Digital ToDo'!Q258="Escalate to call","CALL NOW",IF('Ram - Digital ToDo'!N258="Bad contact","CALL NOW (digital failed)","Ram is handling - no action"))</f>
        <v/>
      </c>
      <c r="F258" s="19">
        <f>IF(E258="Ram is handling - no action","No action needed",IF(M258="","CALL 1: ring candidate, offer to book on call (Playbook C1)",IF(OR(M258="Scheduled on call",M258="Booked on their behalf"),"DONE: scheduled on call",IF(M258="Not interested/Declined","CLOSED: candidate declined (log + tell lead)",IF(N258="","CALL 2: final attempt (Playbook C2)",IF(OR(N258="Scheduled on call",N258="Booked on their behalf"),"DONE: scheduled on call",IF(N258="Escalate to AM","ESCALATED TO LEAD","Review")))))))</f>
        <v/>
      </c>
      <c r="G258" s="20">
        <f>IF(E258="Ram is handling - no action","",IF(M258="",B258+6/24,IF(AND(M258&lt;&gt;"Scheduled on call",M258&lt;&gt;"Booked on their behalf",M258&lt;&gt;"Not interested/Declined",N258=""),B258+20/24,"")))</f>
        <v/>
      </c>
      <c r="H258" s="19" t="inlineStr">
        <is>
          <t>Chetan</t>
        </is>
      </c>
      <c r="I258" s="19" t="inlineStr">
        <is>
          <t>Google</t>
        </is>
      </c>
      <c r="J258" s="19" t="inlineStr">
        <is>
          <t>Round1</t>
        </is>
      </c>
      <c r="K258" s="22" t="inlineStr">
        <is>
          <t>+91 9920264452</t>
        </is>
      </c>
      <c r="L258" s="19" t="inlineStr">
        <is>
          <t>&lt;calendly_link&gt;</t>
        </is>
      </c>
      <c r="M258" s="19" t="n"/>
      <c r="N258" s="19" t="n"/>
      <c r="O258" s="19">
        <f>IF(OR(M258="Scheduled on call",M258="Booked on their behalf",N258="Scheduled on call",N258="Booked on their behalf"),"SCHEDULED (call)",IF(OR(M258="Not interested/Declined",N258="Not interested/Declined"),"DECLINED",IF(N258="Escalate to AM","ESCALATED TO LEAD",IF(E258="Ram is handling - no action","N/A",IF(M258="","PENDING CALL 1","IN PROGRESS")))))</f>
        <v/>
      </c>
      <c r="P258" s="19">
        <f>IF(OR('Ram - Digital ToDo'!O258="Scheduled",'Ram - Digital ToDo'!Q258="Scheduled"),"Scheduled within SLA (self-serve)",IF(OR(M258="Scheduled on call",M258="Booked on their behalf",N258="Scheduled on call",N258="Booked on their behalf"),"Scheduled within SLA (call)",IF(OR(M258="Not interested/Declined",N258="Not interested/Declined"),"Declined",IF(N258="Escalate to AM","SLA breach - unresolved","In progress"))))</f>
        <v/>
      </c>
      <c r="Q258" s="19" t="n"/>
    </row>
    <row r="259">
      <c r="A259" s="19" t="inlineStr">
        <is>
          <t>REQ-0258</t>
        </is>
      </c>
      <c r="B259" s="20" t="n">
        <v>44867.82708333333</v>
      </c>
      <c r="C259" s="20">
        <f>B259+1</f>
        <v/>
      </c>
      <c r="D259" s="21">
        <f>(C259-NOW())*24</f>
        <v/>
      </c>
      <c r="E259" s="19">
        <f>IF('Ram - Digital ToDo'!Q259="Escalate to call","CALL NOW",IF('Ram - Digital ToDo'!N259="Bad contact","CALL NOW (digital failed)","Ram is handling - no action"))</f>
        <v/>
      </c>
      <c r="F259" s="19">
        <f>IF(E259="Ram is handling - no action","No action needed",IF(M259="","CALL 1: ring candidate, offer to book on call (Playbook C1)",IF(OR(M259="Scheduled on call",M259="Booked on their behalf"),"DONE: scheduled on call",IF(M259="Not interested/Declined","CLOSED: candidate declined (log + tell lead)",IF(N259="","CALL 2: final attempt (Playbook C2)",IF(OR(N259="Scheduled on call",N259="Booked on their behalf"),"DONE: scheduled on call",IF(N259="Escalate to AM","ESCALATED TO LEAD","Review")))))))</f>
        <v/>
      </c>
      <c r="G259" s="20">
        <f>IF(E259="Ram is handling - no action","",IF(M259="",B259+6/24,IF(AND(M259&lt;&gt;"Scheduled on call",M259&lt;&gt;"Booked on their behalf",M259&lt;&gt;"Not interested/Declined",N259=""),B259+20/24,"")))</f>
        <v/>
      </c>
      <c r="H259" s="19" t="inlineStr">
        <is>
          <t>Chetan</t>
        </is>
      </c>
      <c r="I259" s="19" t="inlineStr">
        <is>
          <t>Google</t>
        </is>
      </c>
      <c r="J259" s="19" t="inlineStr">
        <is>
          <t>Round1</t>
        </is>
      </c>
      <c r="K259" s="22" t="inlineStr">
        <is>
          <t>+91 9920264452</t>
        </is>
      </c>
      <c r="L259" s="19" t="inlineStr">
        <is>
          <t>&lt;calendly_link&gt;</t>
        </is>
      </c>
      <c r="M259" s="19" t="n"/>
      <c r="N259" s="19" t="n"/>
      <c r="O259" s="19">
        <f>IF(OR(M259="Scheduled on call",M259="Booked on their behalf",N259="Scheduled on call",N259="Booked on their behalf"),"SCHEDULED (call)",IF(OR(M259="Not interested/Declined",N259="Not interested/Declined"),"DECLINED",IF(N259="Escalate to AM","ESCALATED TO LEAD",IF(E259="Ram is handling - no action","N/A",IF(M259="","PENDING CALL 1","IN PROGRESS")))))</f>
        <v/>
      </c>
      <c r="P259" s="19">
        <f>IF(OR('Ram - Digital ToDo'!O259="Scheduled",'Ram - Digital ToDo'!Q259="Scheduled"),"Scheduled within SLA (self-serve)",IF(OR(M259="Scheduled on call",M259="Booked on their behalf",N259="Scheduled on call",N259="Booked on their behalf"),"Scheduled within SLA (call)",IF(OR(M259="Not interested/Declined",N259="Not interested/Declined"),"Declined",IF(N259="Escalate to AM","SLA breach - unresolved","In progress"))))</f>
        <v/>
      </c>
      <c r="Q259" s="19" t="n"/>
    </row>
    <row r="260">
      <c r="A260" s="19" t="inlineStr">
        <is>
          <t>REQ-0259</t>
        </is>
      </c>
      <c r="B260" s="20" t="n">
        <v>44867.82708333333</v>
      </c>
      <c r="C260" s="20">
        <f>B260+1</f>
        <v/>
      </c>
      <c r="D260" s="21">
        <f>(C260-NOW())*24</f>
        <v/>
      </c>
      <c r="E260" s="19">
        <f>IF('Ram - Digital ToDo'!Q260="Escalate to call","CALL NOW",IF('Ram - Digital ToDo'!N260="Bad contact","CALL NOW (digital failed)","Ram is handling - no action"))</f>
        <v/>
      </c>
      <c r="F260" s="19">
        <f>IF(E260="Ram is handling - no action","No action needed",IF(M260="","CALL 1: ring candidate, offer to book on call (Playbook C1)",IF(OR(M260="Scheduled on call",M260="Booked on their behalf"),"DONE: scheduled on call",IF(M260="Not interested/Declined","CLOSED: candidate declined (log + tell lead)",IF(N260="","CALL 2: final attempt (Playbook C2)",IF(OR(N260="Scheduled on call",N260="Booked on their behalf"),"DONE: scheduled on call",IF(N260="Escalate to AM","ESCALATED TO LEAD","Review")))))))</f>
        <v/>
      </c>
      <c r="G260" s="20">
        <f>IF(E260="Ram is handling - no action","",IF(M260="",B260+6/24,IF(AND(M260&lt;&gt;"Scheduled on call",M260&lt;&gt;"Booked on their behalf",M260&lt;&gt;"Not interested/Declined",N260=""),B260+20/24,"")))</f>
        <v/>
      </c>
      <c r="H260" s="19" t="inlineStr">
        <is>
          <t>Chetan</t>
        </is>
      </c>
      <c r="I260" s="19" t="inlineStr">
        <is>
          <t>Google</t>
        </is>
      </c>
      <c r="J260" s="19" t="inlineStr">
        <is>
          <t>Round1</t>
        </is>
      </c>
      <c r="K260" s="22" t="inlineStr">
        <is>
          <t>+91 9920264452</t>
        </is>
      </c>
      <c r="L260" s="19" t="inlineStr">
        <is>
          <t>&lt;calendly_link&gt;</t>
        </is>
      </c>
      <c r="M260" s="19" t="n"/>
      <c r="N260" s="19" t="n"/>
      <c r="O260" s="19">
        <f>IF(OR(M260="Scheduled on call",M260="Booked on their behalf",N260="Scheduled on call",N260="Booked on their behalf"),"SCHEDULED (call)",IF(OR(M260="Not interested/Declined",N260="Not interested/Declined"),"DECLINED",IF(N260="Escalate to AM","ESCALATED TO LEAD",IF(E260="Ram is handling - no action","N/A",IF(M260="","PENDING CALL 1","IN PROGRESS")))))</f>
        <v/>
      </c>
      <c r="P260" s="19">
        <f>IF(OR('Ram - Digital ToDo'!O260="Scheduled",'Ram - Digital ToDo'!Q260="Scheduled"),"Scheduled within SLA (self-serve)",IF(OR(M260="Scheduled on call",M260="Booked on their behalf",N260="Scheduled on call",N260="Booked on their behalf"),"Scheduled within SLA (call)",IF(OR(M260="Not interested/Declined",N260="Not interested/Declined"),"Declined",IF(N260="Escalate to AM","SLA breach - unresolved","In progress"))))</f>
        <v/>
      </c>
      <c r="Q260" s="19" t="n"/>
    </row>
    <row r="261">
      <c r="A261" s="19" t="inlineStr">
        <is>
          <t>REQ-0260</t>
        </is>
      </c>
      <c r="B261" s="20" t="n">
        <v>44867.82708333333</v>
      </c>
      <c r="C261" s="20">
        <f>B261+1</f>
        <v/>
      </c>
      <c r="D261" s="21">
        <f>(C261-NOW())*24</f>
        <v/>
      </c>
      <c r="E261" s="19">
        <f>IF('Ram - Digital ToDo'!Q261="Escalate to call","CALL NOW",IF('Ram - Digital ToDo'!N261="Bad contact","CALL NOW (digital failed)","Ram is handling - no action"))</f>
        <v/>
      </c>
      <c r="F261" s="19">
        <f>IF(E261="Ram is handling - no action","No action needed",IF(M261="","CALL 1: ring candidate, offer to book on call (Playbook C1)",IF(OR(M261="Scheduled on call",M261="Booked on their behalf"),"DONE: scheduled on call",IF(M261="Not interested/Declined","CLOSED: candidate declined (log + tell lead)",IF(N261="","CALL 2: final attempt (Playbook C2)",IF(OR(N261="Scheduled on call",N261="Booked on their behalf"),"DONE: scheduled on call",IF(N261="Escalate to AM","ESCALATED TO LEAD","Review")))))))</f>
        <v/>
      </c>
      <c r="G261" s="20">
        <f>IF(E261="Ram is handling - no action","",IF(M261="",B261+6/24,IF(AND(M261&lt;&gt;"Scheduled on call",M261&lt;&gt;"Booked on their behalf",M261&lt;&gt;"Not interested/Declined",N261=""),B261+20/24,"")))</f>
        <v/>
      </c>
      <c r="H261" s="19" t="inlineStr">
        <is>
          <t>Chetan</t>
        </is>
      </c>
      <c r="I261" s="19" t="inlineStr">
        <is>
          <t>Google</t>
        </is>
      </c>
      <c r="J261" s="19" t="inlineStr">
        <is>
          <t>Round1</t>
        </is>
      </c>
      <c r="K261" s="22" t="inlineStr">
        <is>
          <t>+91 9920264452</t>
        </is>
      </c>
      <c r="L261" s="19" t="inlineStr">
        <is>
          <t>&lt;calendly_link&gt;</t>
        </is>
      </c>
      <c r="M261" s="19" t="n"/>
      <c r="N261" s="19" t="n"/>
      <c r="O261" s="19">
        <f>IF(OR(M261="Scheduled on call",M261="Booked on their behalf",N261="Scheduled on call",N261="Booked on their behalf"),"SCHEDULED (call)",IF(OR(M261="Not interested/Declined",N261="Not interested/Declined"),"DECLINED",IF(N261="Escalate to AM","ESCALATED TO LEAD",IF(E261="Ram is handling - no action","N/A",IF(M261="","PENDING CALL 1","IN PROGRESS")))))</f>
        <v/>
      </c>
      <c r="P261" s="19">
        <f>IF(OR('Ram - Digital ToDo'!O261="Scheduled",'Ram - Digital ToDo'!Q261="Scheduled"),"Scheduled within SLA (self-serve)",IF(OR(M261="Scheduled on call",M261="Booked on their behalf",N261="Scheduled on call",N261="Booked on their behalf"),"Scheduled within SLA (call)",IF(OR(M261="Not interested/Declined",N261="Not interested/Declined"),"Declined",IF(N261="Escalate to AM","SLA breach - unresolved","In progress"))))</f>
        <v/>
      </c>
      <c r="Q261" s="19" t="n"/>
    </row>
    <row r="262">
      <c r="A262" s="19" t="inlineStr">
        <is>
          <t>REQ-0261</t>
        </is>
      </c>
      <c r="B262" s="20" t="n">
        <v>44867.82708333333</v>
      </c>
      <c r="C262" s="20">
        <f>B262+1</f>
        <v/>
      </c>
      <c r="D262" s="21">
        <f>(C262-NOW())*24</f>
        <v/>
      </c>
      <c r="E262" s="19">
        <f>IF('Ram - Digital ToDo'!Q262="Escalate to call","CALL NOW",IF('Ram - Digital ToDo'!N262="Bad contact","CALL NOW (digital failed)","Ram is handling - no action"))</f>
        <v/>
      </c>
      <c r="F262" s="19">
        <f>IF(E262="Ram is handling - no action","No action needed",IF(M262="","CALL 1: ring candidate, offer to book on call (Playbook C1)",IF(OR(M262="Scheduled on call",M262="Booked on their behalf"),"DONE: scheduled on call",IF(M262="Not interested/Declined","CLOSED: candidate declined (log + tell lead)",IF(N262="","CALL 2: final attempt (Playbook C2)",IF(OR(N262="Scheduled on call",N262="Booked on their behalf"),"DONE: scheduled on call",IF(N262="Escalate to AM","ESCALATED TO LEAD","Review")))))))</f>
        <v/>
      </c>
      <c r="G262" s="20">
        <f>IF(E262="Ram is handling - no action","",IF(M262="",B262+6/24,IF(AND(M262&lt;&gt;"Scheduled on call",M262&lt;&gt;"Booked on their behalf",M262&lt;&gt;"Not interested/Declined",N262=""),B262+20/24,"")))</f>
        <v/>
      </c>
      <c r="H262" s="19" t="inlineStr">
        <is>
          <t>Chetan</t>
        </is>
      </c>
      <c r="I262" s="19" t="inlineStr">
        <is>
          <t>Google</t>
        </is>
      </c>
      <c r="J262" s="19" t="inlineStr">
        <is>
          <t>Round1</t>
        </is>
      </c>
      <c r="K262" s="22" t="inlineStr">
        <is>
          <t>+91 9920264452</t>
        </is>
      </c>
      <c r="L262" s="19" t="inlineStr">
        <is>
          <t>&lt;calendly_link&gt;</t>
        </is>
      </c>
      <c r="M262" s="19" t="n"/>
      <c r="N262" s="19" t="n"/>
      <c r="O262" s="19">
        <f>IF(OR(M262="Scheduled on call",M262="Booked on their behalf",N262="Scheduled on call",N262="Booked on their behalf"),"SCHEDULED (call)",IF(OR(M262="Not interested/Declined",N262="Not interested/Declined"),"DECLINED",IF(N262="Escalate to AM","ESCALATED TO LEAD",IF(E262="Ram is handling - no action","N/A",IF(M262="","PENDING CALL 1","IN PROGRESS")))))</f>
        <v/>
      </c>
      <c r="P262" s="19">
        <f>IF(OR('Ram - Digital ToDo'!O262="Scheduled",'Ram - Digital ToDo'!Q262="Scheduled"),"Scheduled within SLA (self-serve)",IF(OR(M262="Scheduled on call",M262="Booked on their behalf",N262="Scheduled on call",N262="Booked on their behalf"),"Scheduled within SLA (call)",IF(OR(M262="Not interested/Declined",N262="Not interested/Declined"),"Declined",IF(N262="Escalate to AM","SLA breach - unresolved","In progress"))))</f>
        <v/>
      </c>
      <c r="Q262" s="19" t="n"/>
    </row>
    <row r="263">
      <c r="A263" s="19" t="inlineStr">
        <is>
          <t>REQ-0262</t>
        </is>
      </c>
      <c r="B263" s="20" t="n">
        <v>44867.82708333333</v>
      </c>
      <c r="C263" s="20">
        <f>B263+1</f>
        <v/>
      </c>
      <c r="D263" s="21">
        <f>(C263-NOW())*24</f>
        <v/>
      </c>
      <c r="E263" s="19">
        <f>IF('Ram - Digital ToDo'!Q263="Escalate to call","CALL NOW",IF('Ram - Digital ToDo'!N263="Bad contact","CALL NOW (digital failed)","Ram is handling - no action"))</f>
        <v/>
      </c>
      <c r="F263" s="19">
        <f>IF(E263="Ram is handling - no action","No action needed",IF(M263="","CALL 1: ring candidate, offer to book on call (Playbook C1)",IF(OR(M263="Scheduled on call",M263="Booked on their behalf"),"DONE: scheduled on call",IF(M263="Not interested/Declined","CLOSED: candidate declined (log + tell lead)",IF(N263="","CALL 2: final attempt (Playbook C2)",IF(OR(N263="Scheduled on call",N263="Booked on their behalf"),"DONE: scheduled on call",IF(N263="Escalate to AM","ESCALATED TO LEAD","Review")))))))</f>
        <v/>
      </c>
      <c r="G263" s="20">
        <f>IF(E263="Ram is handling - no action","",IF(M263="",B263+6/24,IF(AND(M263&lt;&gt;"Scheduled on call",M263&lt;&gt;"Booked on their behalf",M263&lt;&gt;"Not interested/Declined",N263=""),B263+20/24,"")))</f>
        <v/>
      </c>
      <c r="H263" s="19" t="inlineStr">
        <is>
          <t>Chetan</t>
        </is>
      </c>
      <c r="I263" s="19" t="inlineStr">
        <is>
          <t>Google</t>
        </is>
      </c>
      <c r="J263" s="19" t="inlineStr">
        <is>
          <t>Round1</t>
        </is>
      </c>
      <c r="K263" s="22" t="inlineStr">
        <is>
          <t>+91 9920264452</t>
        </is>
      </c>
      <c r="L263" s="19" t="inlineStr">
        <is>
          <t>&lt;calendly_link&gt;</t>
        </is>
      </c>
      <c r="M263" s="19" t="n"/>
      <c r="N263" s="19" t="n"/>
      <c r="O263" s="19">
        <f>IF(OR(M263="Scheduled on call",M263="Booked on their behalf",N263="Scheduled on call",N263="Booked on their behalf"),"SCHEDULED (call)",IF(OR(M263="Not interested/Declined",N263="Not interested/Declined"),"DECLINED",IF(N263="Escalate to AM","ESCALATED TO LEAD",IF(E263="Ram is handling - no action","N/A",IF(M263="","PENDING CALL 1","IN PROGRESS")))))</f>
        <v/>
      </c>
      <c r="P263" s="19">
        <f>IF(OR('Ram - Digital ToDo'!O263="Scheduled",'Ram - Digital ToDo'!Q263="Scheduled"),"Scheduled within SLA (self-serve)",IF(OR(M263="Scheduled on call",M263="Booked on their behalf",N263="Scheduled on call",N263="Booked on their behalf"),"Scheduled within SLA (call)",IF(OR(M263="Not interested/Declined",N263="Not interested/Declined"),"Declined",IF(N263="Escalate to AM","SLA breach - unresolved","In progress"))))</f>
        <v/>
      </c>
      <c r="Q263" s="19" t="n"/>
    </row>
    <row r="264">
      <c r="A264" s="19" t="inlineStr">
        <is>
          <t>REQ-0263</t>
        </is>
      </c>
      <c r="B264" s="20" t="n">
        <v>44867.82708333333</v>
      </c>
      <c r="C264" s="20">
        <f>B264+1</f>
        <v/>
      </c>
      <c r="D264" s="21">
        <f>(C264-NOW())*24</f>
        <v/>
      </c>
      <c r="E264" s="19">
        <f>IF('Ram - Digital ToDo'!Q264="Escalate to call","CALL NOW",IF('Ram - Digital ToDo'!N264="Bad contact","CALL NOW (digital failed)","Ram is handling - no action"))</f>
        <v/>
      </c>
      <c r="F264" s="19">
        <f>IF(E264="Ram is handling - no action","No action needed",IF(M264="","CALL 1: ring candidate, offer to book on call (Playbook C1)",IF(OR(M264="Scheduled on call",M264="Booked on their behalf"),"DONE: scheduled on call",IF(M264="Not interested/Declined","CLOSED: candidate declined (log + tell lead)",IF(N264="","CALL 2: final attempt (Playbook C2)",IF(OR(N264="Scheduled on call",N264="Booked on their behalf"),"DONE: scheduled on call",IF(N264="Escalate to AM","ESCALATED TO LEAD","Review")))))))</f>
        <v/>
      </c>
      <c r="G264" s="20">
        <f>IF(E264="Ram is handling - no action","",IF(M264="",B264+6/24,IF(AND(M264&lt;&gt;"Scheduled on call",M264&lt;&gt;"Booked on their behalf",M264&lt;&gt;"Not interested/Declined",N264=""),B264+20/24,"")))</f>
        <v/>
      </c>
      <c r="H264" s="19" t="inlineStr">
        <is>
          <t>Chetan</t>
        </is>
      </c>
      <c r="I264" s="19" t="inlineStr">
        <is>
          <t>Google</t>
        </is>
      </c>
      <c r="J264" s="19" t="inlineStr">
        <is>
          <t>Round1</t>
        </is>
      </c>
      <c r="K264" s="22" t="inlineStr">
        <is>
          <t>+91 9920264452</t>
        </is>
      </c>
      <c r="L264" s="19" t="inlineStr">
        <is>
          <t>&lt;calendly_link&gt;</t>
        </is>
      </c>
      <c r="M264" s="19" t="n"/>
      <c r="N264" s="19" t="n"/>
      <c r="O264" s="19">
        <f>IF(OR(M264="Scheduled on call",M264="Booked on their behalf",N264="Scheduled on call",N264="Booked on their behalf"),"SCHEDULED (call)",IF(OR(M264="Not interested/Declined",N264="Not interested/Declined"),"DECLINED",IF(N264="Escalate to AM","ESCALATED TO LEAD",IF(E264="Ram is handling - no action","N/A",IF(M264="","PENDING CALL 1","IN PROGRESS")))))</f>
        <v/>
      </c>
      <c r="P264" s="19">
        <f>IF(OR('Ram - Digital ToDo'!O264="Scheduled",'Ram - Digital ToDo'!Q264="Scheduled"),"Scheduled within SLA (self-serve)",IF(OR(M264="Scheduled on call",M264="Booked on their behalf",N264="Scheduled on call",N264="Booked on their behalf"),"Scheduled within SLA (call)",IF(OR(M264="Not interested/Declined",N264="Not interested/Declined"),"Declined",IF(N264="Escalate to AM","SLA breach - unresolved","In progress"))))</f>
        <v/>
      </c>
      <c r="Q264" s="19" t="n"/>
    </row>
    <row r="265">
      <c r="A265" s="19" t="inlineStr">
        <is>
          <t>REQ-0264</t>
        </is>
      </c>
      <c r="B265" s="20" t="n">
        <v>44867.82708333333</v>
      </c>
      <c r="C265" s="20">
        <f>B265+1</f>
        <v/>
      </c>
      <c r="D265" s="21">
        <f>(C265-NOW())*24</f>
        <v/>
      </c>
      <c r="E265" s="19">
        <f>IF('Ram - Digital ToDo'!Q265="Escalate to call","CALL NOW",IF('Ram - Digital ToDo'!N265="Bad contact","CALL NOW (digital failed)","Ram is handling - no action"))</f>
        <v/>
      </c>
      <c r="F265" s="19">
        <f>IF(E265="Ram is handling - no action","No action needed",IF(M265="","CALL 1: ring candidate, offer to book on call (Playbook C1)",IF(OR(M265="Scheduled on call",M265="Booked on their behalf"),"DONE: scheduled on call",IF(M265="Not interested/Declined","CLOSED: candidate declined (log + tell lead)",IF(N265="","CALL 2: final attempt (Playbook C2)",IF(OR(N265="Scheduled on call",N265="Booked on their behalf"),"DONE: scheduled on call",IF(N265="Escalate to AM","ESCALATED TO LEAD","Review")))))))</f>
        <v/>
      </c>
      <c r="G265" s="20">
        <f>IF(E265="Ram is handling - no action","",IF(M265="",B265+6/24,IF(AND(M265&lt;&gt;"Scheduled on call",M265&lt;&gt;"Booked on their behalf",M265&lt;&gt;"Not interested/Declined",N265=""),B265+20/24,"")))</f>
        <v/>
      </c>
      <c r="H265" s="19" t="inlineStr">
        <is>
          <t>Chetan</t>
        </is>
      </c>
      <c r="I265" s="19" t="inlineStr">
        <is>
          <t>Google</t>
        </is>
      </c>
      <c r="J265" s="19" t="inlineStr">
        <is>
          <t>Round1</t>
        </is>
      </c>
      <c r="K265" s="22" t="inlineStr">
        <is>
          <t>+91 9920264452</t>
        </is>
      </c>
      <c r="L265" s="19" t="inlineStr">
        <is>
          <t>&lt;calendly_link&gt;</t>
        </is>
      </c>
      <c r="M265" s="19" t="n"/>
      <c r="N265" s="19" t="n"/>
      <c r="O265" s="19">
        <f>IF(OR(M265="Scheduled on call",M265="Booked on their behalf",N265="Scheduled on call",N265="Booked on their behalf"),"SCHEDULED (call)",IF(OR(M265="Not interested/Declined",N265="Not interested/Declined"),"DECLINED",IF(N265="Escalate to AM","ESCALATED TO LEAD",IF(E265="Ram is handling - no action","N/A",IF(M265="","PENDING CALL 1","IN PROGRESS")))))</f>
        <v/>
      </c>
      <c r="P265" s="19">
        <f>IF(OR('Ram - Digital ToDo'!O265="Scheduled",'Ram - Digital ToDo'!Q265="Scheduled"),"Scheduled within SLA (self-serve)",IF(OR(M265="Scheduled on call",M265="Booked on their behalf",N265="Scheduled on call",N265="Booked on their behalf"),"Scheduled within SLA (call)",IF(OR(M265="Not interested/Declined",N265="Not interested/Declined"),"Declined",IF(N265="Escalate to AM","SLA breach - unresolved","In progress"))))</f>
        <v/>
      </c>
      <c r="Q265" s="19" t="n"/>
    </row>
    <row r="266">
      <c r="A266" s="19" t="inlineStr">
        <is>
          <t>REQ-0265</t>
        </is>
      </c>
      <c r="B266" s="20" t="n">
        <v>44867.82708333333</v>
      </c>
      <c r="C266" s="20">
        <f>B266+1</f>
        <v/>
      </c>
      <c r="D266" s="21">
        <f>(C266-NOW())*24</f>
        <v/>
      </c>
      <c r="E266" s="19">
        <f>IF('Ram - Digital ToDo'!Q266="Escalate to call","CALL NOW",IF('Ram - Digital ToDo'!N266="Bad contact","CALL NOW (digital failed)","Ram is handling - no action"))</f>
        <v/>
      </c>
      <c r="F266" s="19">
        <f>IF(E266="Ram is handling - no action","No action needed",IF(M266="","CALL 1: ring candidate, offer to book on call (Playbook C1)",IF(OR(M266="Scheduled on call",M266="Booked on their behalf"),"DONE: scheduled on call",IF(M266="Not interested/Declined","CLOSED: candidate declined (log + tell lead)",IF(N266="","CALL 2: final attempt (Playbook C2)",IF(OR(N266="Scheduled on call",N266="Booked on their behalf"),"DONE: scheduled on call",IF(N266="Escalate to AM","ESCALATED TO LEAD","Review")))))))</f>
        <v/>
      </c>
      <c r="G266" s="20">
        <f>IF(E266="Ram is handling - no action","",IF(M266="",B266+6/24,IF(AND(M266&lt;&gt;"Scheduled on call",M266&lt;&gt;"Booked on their behalf",M266&lt;&gt;"Not interested/Declined",N266=""),B266+20/24,"")))</f>
        <v/>
      </c>
      <c r="H266" s="19" t="inlineStr">
        <is>
          <t>Chetan</t>
        </is>
      </c>
      <c r="I266" s="19" t="inlineStr">
        <is>
          <t>Google</t>
        </is>
      </c>
      <c r="J266" s="19" t="inlineStr">
        <is>
          <t>Round1</t>
        </is>
      </c>
      <c r="K266" s="22" t="inlineStr">
        <is>
          <t>+91 9920264452</t>
        </is>
      </c>
      <c r="L266" s="19" t="inlineStr">
        <is>
          <t>&lt;calendly_link&gt;</t>
        </is>
      </c>
      <c r="M266" s="19" t="n"/>
      <c r="N266" s="19" t="n"/>
      <c r="O266" s="19">
        <f>IF(OR(M266="Scheduled on call",M266="Booked on their behalf",N266="Scheduled on call",N266="Booked on their behalf"),"SCHEDULED (call)",IF(OR(M266="Not interested/Declined",N266="Not interested/Declined"),"DECLINED",IF(N266="Escalate to AM","ESCALATED TO LEAD",IF(E266="Ram is handling - no action","N/A",IF(M266="","PENDING CALL 1","IN PROGRESS")))))</f>
        <v/>
      </c>
      <c r="P266" s="19">
        <f>IF(OR('Ram - Digital ToDo'!O266="Scheduled",'Ram - Digital ToDo'!Q266="Scheduled"),"Scheduled within SLA (self-serve)",IF(OR(M266="Scheduled on call",M266="Booked on their behalf",N266="Scheduled on call",N266="Booked on their behalf"),"Scheduled within SLA (call)",IF(OR(M266="Not interested/Declined",N266="Not interested/Declined"),"Declined",IF(N266="Escalate to AM","SLA breach - unresolved","In progress"))))</f>
        <v/>
      </c>
      <c r="Q266" s="19" t="n"/>
    </row>
    <row r="267">
      <c r="A267" s="19" t="inlineStr">
        <is>
          <t>REQ-0266</t>
        </is>
      </c>
      <c r="B267" s="20" t="n">
        <v>44867.82708333333</v>
      </c>
      <c r="C267" s="20">
        <f>B267+1</f>
        <v/>
      </c>
      <c r="D267" s="21">
        <f>(C267-NOW())*24</f>
        <v/>
      </c>
      <c r="E267" s="19">
        <f>IF('Ram - Digital ToDo'!Q267="Escalate to call","CALL NOW",IF('Ram - Digital ToDo'!N267="Bad contact","CALL NOW (digital failed)","Ram is handling - no action"))</f>
        <v/>
      </c>
      <c r="F267" s="19">
        <f>IF(E267="Ram is handling - no action","No action needed",IF(M267="","CALL 1: ring candidate, offer to book on call (Playbook C1)",IF(OR(M267="Scheduled on call",M267="Booked on their behalf"),"DONE: scheduled on call",IF(M267="Not interested/Declined","CLOSED: candidate declined (log + tell lead)",IF(N267="","CALL 2: final attempt (Playbook C2)",IF(OR(N267="Scheduled on call",N267="Booked on their behalf"),"DONE: scheduled on call",IF(N267="Escalate to AM","ESCALATED TO LEAD","Review")))))))</f>
        <v/>
      </c>
      <c r="G267" s="20">
        <f>IF(E267="Ram is handling - no action","",IF(M267="",B267+6/24,IF(AND(M267&lt;&gt;"Scheduled on call",M267&lt;&gt;"Booked on their behalf",M267&lt;&gt;"Not interested/Declined",N267=""),B267+20/24,"")))</f>
        <v/>
      </c>
      <c r="H267" s="19" t="inlineStr">
        <is>
          <t>Chetan</t>
        </is>
      </c>
      <c r="I267" s="19" t="inlineStr">
        <is>
          <t>Google</t>
        </is>
      </c>
      <c r="J267" s="19" t="inlineStr">
        <is>
          <t>Round1</t>
        </is>
      </c>
      <c r="K267" s="22" t="inlineStr">
        <is>
          <t>+91 9920264452</t>
        </is>
      </c>
      <c r="L267" s="19" t="inlineStr">
        <is>
          <t>&lt;calendly_link&gt;</t>
        </is>
      </c>
      <c r="M267" s="19" t="n"/>
      <c r="N267" s="19" t="n"/>
      <c r="O267" s="19">
        <f>IF(OR(M267="Scheduled on call",M267="Booked on their behalf",N267="Scheduled on call",N267="Booked on their behalf"),"SCHEDULED (call)",IF(OR(M267="Not interested/Declined",N267="Not interested/Declined"),"DECLINED",IF(N267="Escalate to AM","ESCALATED TO LEAD",IF(E267="Ram is handling - no action","N/A",IF(M267="","PENDING CALL 1","IN PROGRESS")))))</f>
        <v/>
      </c>
      <c r="P267" s="19">
        <f>IF(OR('Ram - Digital ToDo'!O267="Scheduled",'Ram - Digital ToDo'!Q267="Scheduled"),"Scheduled within SLA (self-serve)",IF(OR(M267="Scheduled on call",M267="Booked on their behalf",N267="Scheduled on call",N267="Booked on their behalf"),"Scheduled within SLA (call)",IF(OR(M267="Not interested/Declined",N267="Not interested/Declined"),"Declined",IF(N267="Escalate to AM","SLA breach - unresolved","In progress"))))</f>
        <v/>
      </c>
      <c r="Q267" s="19" t="n"/>
    </row>
    <row r="268">
      <c r="A268" s="19" t="inlineStr">
        <is>
          <t>REQ-0267</t>
        </is>
      </c>
      <c r="B268" s="20" t="n">
        <v>44867.82708333333</v>
      </c>
      <c r="C268" s="20">
        <f>B268+1</f>
        <v/>
      </c>
      <c r="D268" s="21">
        <f>(C268-NOW())*24</f>
        <v/>
      </c>
      <c r="E268" s="19">
        <f>IF('Ram - Digital ToDo'!Q268="Escalate to call","CALL NOW",IF('Ram - Digital ToDo'!N268="Bad contact","CALL NOW (digital failed)","Ram is handling - no action"))</f>
        <v/>
      </c>
      <c r="F268" s="19">
        <f>IF(E268="Ram is handling - no action","No action needed",IF(M268="","CALL 1: ring candidate, offer to book on call (Playbook C1)",IF(OR(M268="Scheduled on call",M268="Booked on their behalf"),"DONE: scheduled on call",IF(M268="Not interested/Declined","CLOSED: candidate declined (log + tell lead)",IF(N268="","CALL 2: final attempt (Playbook C2)",IF(OR(N268="Scheduled on call",N268="Booked on their behalf"),"DONE: scheduled on call",IF(N268="Escalate to AM","ESCALATED TO LEAD","Review")))))))</f>
        <v/>
      </c>
      <c r="G268" s="20">
        <f>IF(E268="Ram is handling - no action","",IF(M268="",B268+6/24,IF(AND(M268&lt;&gt;"Scheduled on call",M268&lt;&gt;"Booked on their behalf",M268&lt;&gt;"Not interested/Declined",N268=""),B268+20/24,"")))</f>
        <v/>
      </c>
      <c r="H268" s="19" t="inlineStr">
        <is>
          <t>Chetan</t>
        </is>
      </c>
      <c r="I268" s="19" t="inlineStr">
        <is>
          <t>Google</t>
        </is>
      </c>
      <c r="J268" s="19" t="inlineStr">
        <is>
          <t>Round1</t>
        </is>
      </c>
      <c r="K268" s="22" t="inlineStr">
        <is>
          <t>+91 9920264452</t>
        </is>
      </c>
      <c r="L268" s="19" t="inlineStr">
        <is>
          <t>&lt;calendly_link&gt;</t>
        </is>
      </c>
      <c r="M268" s="19" t="n"/>
      <c r="N268" s="19" t="n"/>
      <c r="O268" s="19">
        <f>IF(OR(M268="Scheduled on call",M268="Booked on their behalf",N268="Scheduled on call",N268="Booked on their behalf"),"SCHEDULED (call)",IF(OR(M268="Not interested/Declined",N268="Not interested/Declined"),"DECLINED",IF(N268="Escalate to AM","ESCALATED TO LEAD",IF(E268="Ram is handling - no action","N/A",IF(M268="","PENDING CALL 1","IN PROGRESS")))))</f>
        <v/>
      </c>
      <c r="P268" s="19">
        <f>IF(OR('Ram - Digital ToDo'!O268="Scheduled",'Ram - Digital ToDo'!Q268="Scheduled"),"Scheduled within SLA (self-serve)",IF(OR(M268="Scheduled on call",M268="Booked on their behalf",N268="Scheduled on call",N268="Booked on their behalf"),"Scheduled within SLA (call)",IF(OR(M268="Not interested/Declined",N268="Not interested/Declined"),"Declined",IF(N268="Escalate to AM","SLA breach - unresolved","In progress"))))</f>
        <v/>
      </c>
      <c r="Q268" s="19" t="n"/>
    </row>
    <row r="269">
      <c r="A269" s="19" t="inlineStr">
        <is>
          <t>REQ-0268</t>
        </is>
      </c>
      <c r="B269" s="20" t="n">
        <v>44867.82708333333</v>
      </c>
      <c r="C269" s="20">
        <f>B269+1</f>
        <v/>
      </c>
      <c r="D269" s="21">
        <f>(C269-NOW())*24</f>
        <v/>
      </c>
      <c r="E269" s="19">
        <f>IF('Ram - Digital ToDo'!Q269="Escalate to call","CALL NOW",IF('Ram - Digital ToDo'!N269="Bad contact","CALL NOW (digital failed)","Ram is handling - no action"))</f>
        <v/>
      </c>
      <c r="F269" s="19">
        <f>IF(E269="Ram is handling - no action","No action needed",IF(M269="","CALL 1: ring candidate, offer to book on call (Playbook C1)",IF(OR(M269="Scheduled on call",M269="Booked on their behalf"),"DONE: scheduled on call",IF(M269="Not interested/Declined","CLOSED: candidate declined (log + tell lead)",IF(N269="","CALL 2: final attempt (Playbook C2)",IF(OR(N269="Scheduled on call",N269="Booked on their behalf"),"DONE: scheduled on call",IF(N269="Escalate to AM","ESCALATED TO LEAD","Review")))))))</f>
        <v/>
      </c>
      <c r="G269" s="20">
        <f>IF(E269="Ram is handling - no action","",IF(M269="",B269+6/24,IF(AND(M269&lt;&gt;"Scheduled on call",M269&lt;&gt;"Booked on their behalf",M269&lt;&gt;"Not interested/Declined",N269=""),B269+20/24,"")))</f>
        <v/>
      </c>
      <c r="H269" s="19" t="inlineStr">
        <is>
          <t>Chetan</t>
        </is>
      </c>
      <c r="I269" s="19" t="inlineStr">
        <is>
          <t>Google</t>
        </is>
      </c>
      <c r="J269" s="19" t="inlineStr">
        <is>
          <t>Round1</t>
        </is>
      </c>
      <c r="K269" s="22" t="inlineStr">
        <is>
          <t>+91 9920264452</t>
        </is>
      </c>
      <c r="L269" s="19" t="inlineStr">
        <is>
          <t>&lt;calendly_link&gt;</t>
        </is>
      </c>
      <c r="M269" s="19" t="n"/>
      <c r="N269" s="19" t="n"/>
      <c r="O269" s="19">
        <f>IF(OR(M269="Scheduled on call",M269="Booked on their behalf",N269="Scheduled on call",N269="Booked on their behalf"),"SCHEDULED (call)",IF(OR(M269="Not interested/Declined",N269="Not interested/Declined"),"DECLINED",IF(N269="Escalate to AM","ESCALATED TO LEAD",IF(E269="Ram is handling - no action","N/A",IF(M269="","PENDING CALL 1","IN PROGRESS")))))</f>
        <v/>
      </c>
      <c r="P269" s="19">
        <f>IF(OR('Ram - Digital ToDo'!O269="Scheduled",'Ram - Digital ToDo'!Q269="Scheduled"),"Scheduled within SLA (self-serve)",IF(OR(M269="Scheduled on call",M269="Booked on their behalf",N269="Scheduled on call",N269="Booked on their behalf"),"Scheduled within SLA (call)",IF(OR(M269="Not interested/Declined",N269="Not interested/Declined"),"Declined",IF(N269="Escalate to AM","SLA breach - unresolved","In progress"))))</f>
        <v/>
      </c>
      <c r="Q269" s="19" t="n"/>
    </row>
    <row r="270">
      <c r="A270" s="19" t="inlineStr">
        <is>
          <t>REQ-0269</t>
        </is>
      </c>
      <c r="B270" s="20" t="n">
        <v>44867.82708333333</v>
      </c>
      <c r="C270" s="20">
        <f>B270+1</f>
        <v/>
      </c>
      <c r="D270" s="21">
        <f>(C270-NOW())*24</f>
        <v/>
      </c>
      <c r="E270" s="19">
        <f>IF('Ram - Digital ToDo'!Q270="Escalate to call","CALL NOW",IF('Ram - Digital ToDo'!N270="Bad contact","CALL NOW (digital failed)","Ram is handling - no action"))</f>
        <v/>
      </c>
      <c r="F270" s="19">
        <f>IF(E270="Ram is handling - no action","No action needed",IF(M270="","CALL 1: ring candidate, offer to book on call (Playbook C1)",IF(OR(M270="Scheduled on call",M270="Booked on their behalf"),"DONE: scheduled on call",IF(M270="Not interested/Declined","CLOSED: candidate declined (log + tell lead)",IF(N270="","CALL 2: final attempt (Playbook C2)",IF(OR(N270="Scheduled on call",N270="Booked on their behalf"),"DONE: scheduled on call",IF(N270="Escalate to AM","ESCALATED TO LEAD","Review")))))))</f>
        <v/>
      </c>
      <c r="G270" s="20">
        <f>IF(E270="Ram is handling - no action","",IF(M270="",B270+6/24,IF(AND(M270&lt;&gt;"Scheduled on call",M270&lt;&gt;"Booked on their behalf",M270&lt;&gt;"Not interested/Declined",N270=""),B270+20/24,"")))</f>
        <v/>
      </c>
      <c r="H270" s="19" t="inlineStr">
        <is>
          <t>Chetan</t>
        </is>
      </c>
      <c r="I270" s="19" t="inlineStr">
        <is>
          <t>Google</t>
        </is>
      </c>
      <c r="J270" s="19" t="inlineStr">
        <is>
          <t>Round1</t>
        </is>
      </c>
      <c r="K270" s="22" t="inlineStr">
        <is>
          <t>+91 9920264452</t>
        </is>
      </c>
      <c r="L270" s="19" t="inlineStr">
        <is>
          <t>&lt;calendly_link&gt;</t>
        </is>
      </c>
      <c r="M270" s="19" t="n"/>
      <c r="N270" s="19" t="n"/>
      <c r="O270" s="19">
        <f>IF(OR(M270="Scheduled on call",M270="Booked on their behalf",N270="Scheduled on call",N270="Booked on their behalf"),"SCHEDULED (call)",IF(OR(M270="Not interested/Declined",N270="Not interested/Declined"),"DECLINED",IF(N270="Escalate to AM","ESCALATED TO LEAD",IF(E270="Ram is handling - no action","N/A",IF(M270="","PENDING CALL 1","IN PROGRESS")))))</f>
        <v/>
      </c>
      <c r="P270" s="19">
        <f>IF(OR('Ram - Digital ToDo'!O270="Scheduled",'Ram - Digital ToDo'!Q270="Scheduled"),"Scheduled within SLA (self-serve)",IF(OR(M270="Scheduled on call",M270="Booked on their behalf",N270="Scheduled on call",N270="Booked on their behalf"),"Scheduled within SLA (call)",IF(OR(M270="Not interested/Declined",N270="Not interested/Declined"),"Declined",IF(N270="Escalate to AM","SLA breach - unresolved","In progress"))))</f>
        <v/>
      </c>
      <c r="Q270" s="19" t="n"/>
    </row>
    <row r="271">
      <c r="A271" s="19" t="inlineStr">
        <is>
          <t>REQ-0270</t>
        </is>
      </c>
      <c r="B271" s="20" t="n">
        <v>44867.82708333333</v>
      </c>
      <c r="C271" s="20">
        <f>B271+1</f>
        <v/>
      </c>
      <c r="D271" s="21">
        <f>(C271-NOW())*24</f>
        <v/>
      </c>
      <c r="E271" s="19">
        <f>IF('Ram - Digital ToDo'!Q271="Escalate to call","CALL NOW",IF('Ram - Digital ToDo'!N271="Bad contact","CALL NOW (digital failed)","Ram is handling - no action"))</f>
        <v/>
      </c>
      <c r="F271" s="19">
        <f>IF(E271="Ram is handling - no action","No action needed",IF(M271="","CALL 1: ring candidate, offer to book on call (Playbook C1)",IF(OR(M271="Scheduled on call",M271="Booked on their behalf"),"DONE: scheduled on call",IF(M271="Not interested/Declined","CLOSED: candidate declined (log + tell lead)",IF(N271="","CALL 2: final attempt (Playbook C2)",IF(OR(N271="Scheduled on call",N271="Booked on their behalf"),"DONE: scheduled on call",IF(N271="Escalate to AM","ESCALATED TO LEAD","Review")))))))</f>
        <v/>
      </c>
      <c r="G271" s="20">
        <f>IF(E271="Ram is handling - no action","",IF(M271="",B271+6/24,IF(AND(M271&lt;&gt;"Scheduled on call",M271&lt;&gt;"Booked on their behalf",M271&lt;&gt;"Not interested/Declined",N271=""),B271+20/24,"")))</f>
        <v/>
      </c>
      <c r="H271" s="19" t="inlineStr">
        <is>
          <t>Chetan</t>
        </is>
      </c>
      <c r="I271" s="19" t="inlineStr">
        <is>
          <t>Google</t>
        </is>
      </c>
      <c r="J271" s="19" t="inlineStr">
        <is>
          <t>Round1</t>
        </is>
      </c>
      <c r="K271" s="22" t="inlineStr">
        <is>
          <t>+91 9920264452</t>
        </is>
      </c>
      <c r="L271" s="19" t="inlineStr">
        <is>
          <t>&lt;calendly_link&gt;</t>
        </is>
      </c>
      <c r="M271" s="19" t="n"/>
      <c r="N271" s="19" t="n"/>
      <c r="O271" s="19">
        <f>IF(OR(M271="Scheduled on call",M271="Booked on their behalf",N271="Scheduled on call",N271="Booked on their behalf"),"SCHEDULED (call)",IF(OR(M271="Not interested/Declined",N271="Not interested/Declined"),"DECLINED",IF(N271="Escalate to AM","ESCALATED TO LEAD",IF(E271="Ram is handling - no action","N/A",IF(M271="","PENDING CALL 1","IN PROGRESS")))))</f>
        <v/>
      </c>
      <c r="P271" s="19">
        <f>IF(OR('Ram - Digital ToDo'!O271="Scheduled",'Ram - Digital ToDo'!Q271="Scheduled"),"Scheduled within SLA (self-serve)",IF(OR(M271="Scheduled on call",M271="Booked on their behalf",N271="Scheduled on call",N271="Booked on their behalf"),"Scheduled within SLA (call)",IF(OR(M271="Not interested/Declined",N271="Not interested/Declined"),"Declined",IF(N271="Escalate to AM","SLA breach - unresolved","In progress"))))</f>
        <v/>
      </c>
      <c r="Q271" s="19" t="n"/>
    </row>
    <row r="272">
      <c r="A272" s="19" t="inlineStr">
        <is>
          <t>REQ-0271</t>
        </is>
      </c>
      <c r="B272" s="20" t="n">
        <v>44867.82708333333</v>
      </c>
      <c r="C272" s="20">
        <f>B272+1</f>
        <v/>
      </c>
      <c r="D272" s="21">
        <f>(C272-NOW())*24</f>
        <v/>
      </c>
      <c r="E272" s="19">
        <f>IF('Ram - Digital ToDo'!Q272="Escalate to call","CALL NOW",IF('Ram - Digital ToDo'!N272="Bad contact","CALL NOW (digital failed)","Ram is handling - no action"))</f>
        <v/>
      </c>
      <c r="F272" s="19">
        <f>IF(E272="Ram is handling - no action","No action needed",IF(M272="","CALL 1: ring candidate, offer to book on call (Playbook C1)",IF(OR(M272="Scheduled on call",M272="Booked on their behalf"),"DONE: scheduled on call",IF(M272="Not interested/Declined","CLOSED: candidate declined (log + tell lead)",IF(N272="","CALL 2: final attempt (Playbook C2)",IF(OR(N272="Scheduled on call",N272="Booked on their behalf"),"DONE: scheduled on call",IF(N272="Escalate to AM","ESCALATED TO LEAD","Review")))))))</f>
        <v/>
      </c>
      <c r="G272" s="20">
        <f>IF(E272="Ram is handling - no action","",IF(M272="",B272+6/24,IF(AND(M272&lt;&gt;"Scheduled on call",M272&lt;&gt;"Booked on their behalf",M272&lt;&gt;"Not interested/Declined",N272=""),B272+20/24,"")))</f>
        <v/>
      </c>
      <c r="H272" s="19" t="inlineStr">
        <is>
          <t>Chetan</t>
        </is>
      </c>
      <c r="I272" s="19" t="inlineStr">
        <is>
          <t>Google</t>
        </is>
      </c>
      <c r="J272" s="19" t="inlineStr">
        <is>
          <t>Round1</t>
        </is>
      </c>
      <c r="K272" s="22" t="inlineStr">
        <is>
          <t>+91 9920264452</t>
        </is>
      </c>
      <c r="L272" s="19" t="inlineStr">
        <is>
          <t>&lt;calendly_link&gt;</t>
        </is>
      </c>
      <c r="M272" s="19" t="n"/>
      <c r="N272" s="19" t="n"/>
      <c r="O272" s="19">
        <f>IF(OR(M272="Scheduled on call",M272="Booked on their behalf",N272="Scheduled on call",N272="Booked on their behalf"),"SCHEDULED (call)",IF(OR(M272="Not interested/Declined",N272="Not interested/Declined"),"DECLINED",IF(N272="Escalate to AM","ESCALATED TO LEAD",IF(E272="Ram is handling - no action","N/A",IF(M272="","PENDING CALL 1","IN PROGRESS")))))</f>
        <v/>
      </c>
      <c r="P272" s="19">
        <f>IF(OR('Ram - Digital ToDo'!O272="Scheduled",'Ram - Digital ToDo'!Q272="Scheduled"),"Scheduled within SLA (self-serve)",IF(OR(M272="Scheduled on call",M272="Booked on their behalf",N272="Scheduled on call",N272="Booked on their behalf"),"Scheduled within SLA (call)",IF(OR(M272="Not interested/Declined",N272="Not interested/Declined"),"Declined",IF(N272="Escalate to AM","SLA breach - unresolved","In progress"))))</f>
        <v/>
      </c>
      <c r="Q272" s="19" t="n"/>
    </row>
    <row r="273">
      <c r="A273" s="19" t="inlineStr">
        <is>
          <t>REQ-0272</t>
        </is>
      </c>
      <c r="B273" s="20" t="n">
        <v>44867.82708333333</v>
      </c>
      <c r="C273" s="20">
        <f>B273+1</f>
        <v/>
      </c>
      <c r="D273" s="21">
        <f>(C273-NOW())*24</f>
        <v/>
      </c>
      <c r="E273" s="19">
        <f>IF('Ram - Digital ToDo'!Q273="Escalate to call","CALL NOW",IF('Ram - Digital ToDo'!N273="Bad contact","CALL NOW (digital failed)","Ram is handling - no action"))</f>
        <v/>
      </c>
      <c r="F273" s="19">
        <f>IF(E273="Ram is handling - no action","No action needed",IF(M273="","CALL 1: ring candidate, offer to book on call (Playbook C1)",IF(OR(M273="Scheduled on call",M273="Booked on their behalf"),"DONE: scheduled on call",IF(M273="Not interested/Declined","CLOSED: candidate declined (log + tell lead)",IF(N273="","CALL 2: final attempt (Playbook C2)",IF(OR(N273="Scheduled on call",N273="Booked on their behalf"),"DONE: scheduled on call",IF(N273="Escalate to AM","ESCALATED TO LEAD","Review")))))))</f>
        <v/>
      </c>
      <c r="G273" s="20">
        <f>IF(E273="Ram is handling - no action","",IF(M273="",B273+6/24,IF(AND(M273&lt;&gt;"Scheduled on call",M273&lt;&gt;"Booked on their behalf",M273&lt;&gt;"Not interested/Declined",N273=""),B273+20/24,"")))</f>
        <v/>
      </c>
      <c r="H273" s="19" t="inlineStr">
        <is>
          <t>Chetan</t>
        </is>
      </c>
      <c r="I273" s="19" t="inlineStr">
        <is>
          <t>Google</t>
        </is>
      </c>
      <c r="J273" s="19" t="inlineStr">
        <is>
          <t>Round1</t>
        </is>
      </c>
      <c r="K273" s="22" t="inlineStr">
        <is>
          <t>+91 9920264452</t>
        </is>
      </c>
      <c r="L273" s="19" t="inlineStr">
        <is>
          <t>&lt;calendly_link&gt;</t>
        </is>
      </c>
      <c r="M273" s="19" t="n"/>
      <c r="N273" s="19" t="n"/>
      <c r="O273" s="19">
        <f>IF(OR(M273="Scheduled on call",M273="Booked on their behalf",N273="Scheduled on call",N273="Booked on their behalf"),"SCHEDULED (call)",IF(OR(M273="Not interested/Declined",N273="Not interested/Declined"),"DECLINED",IF(N273="Escalate to AM","ESCALATED TO LEAD",IF(E273="Ram is handling - no action","N/A",IF(M273="","PENDING CALL 1","IN PROGRESS")))))</f>
        <v/>
      </c>
      <c r="P273" s="19">
        <f>IF(OR('Ram - Digital ToDo'!O273="Scheduled",'Ram - Digital ToDo'!Q273="Scheduled"),"Scheduled within SLA (self-serve)",IF(OR(M273="Scheduled on call",M273="Booked on their behalf",N273="Scheduled on call",N273="Booked on their behalf"),"Scheduled within SLA (call)",IF(OR(M273="Not interested/Declined",N273="Not interested/Declined"),"Declined",IF(N273="Escalate to AM","SLA breach - unresolved","In progress"))))</f>
        <v/>
      </c>
      <c r="Q273" s="19" t="n"/>
    </row>
    <row r="274">
      <c r="A274" s="19" t="inlineStr">
        <is>
          <t>REQ-0273</t>
        </is>
      </c>
      <c r="B274" s="20" t="n">
        <v>44867.82708333333</v>
      </c>
      <c r="C274" s="20">
        <f>B274+1</f>
        <v/>
      </c>
      <c r="D274" s="21">
        <f>(C274-NOW())*24</f>
        <v/>
      </c>
      <c r="E274" s="19">
        <f>IF('Ram - Digital ToDo'!Q274="Escalate to call","CALL NOW",IF('Ram - Digital ToDo'!N274="Bad contact","CALL NOW (digital failed)","Ram is handling - no action"))</f>
        <v/>
      </c>
      <c r="F274" s="19">
        <f>IF(E274="Ram is handling - no action","No action needed",IF(M274="","CALL 1: ring candidate, offer to book on call (Playbook C1)",IF(OR(M274="Scheduled on call",M274="Booked on their behalf"),"DONE: scheduled on call",IF(M274="Not interested/Declined","CLOSED: candidate declined (log + tell lead)",IF(N274="","CALL 2: final attempt (Playbook C2)",IF(OR(N274="Scheduled on call",N274="Booked on their behalf"),"DONE: scheduled on call",IF(N274="Escalate to AM","ESCALATED TO LEAD","Review")))))))</f>
        <v/>
      </c>
      <c r="G274" s="20">
        <f>IF(E274="Ram is handling - no action","",IF(M274="",B274+6/24,IF(AND(M274&lt;&gt;"Scheduled on call",M274&lt;&gt;"Booked on their behalf",M274&lt;&gt;"Not interested/Declined",N274=""),B274+20/24,"")))</f>
        <v/>
      </c>
      <c r="H274" s="19" t="inlineStr">
        <is>
          <t>Chetan</t>
        </is>
      </c>
      <c r="I274" s="19" t="inlineStr">
        <is>
          <t>Google</t>
        </is>
      </c>
      <c r="J274" s="19" t="inlineStr">
        <is>
          <t>Round1</t>
        </is>
      </c>
      <c r="K274" s="22" t="inlineStr">
        <is>
          <t>+91 9920264452</t>
        </is>
      </c>
      <c r="L274" s="19" t="inlineStr">
        <is>
          <t>&lt;calendly_link&gt;</t>
        </is>
      </c>
      <c r="M274" s="19" t="n"/>
      <c r="N274" s="19" t="n"/>
      <c r="O274" s="19">
        <f>IF(OR(M274="Scheduled on call",M274="Booked on their behalf",N274="Scheduled on call",N274="Booked on their behalf"),"SCHEDULED (call)",IF(OR(M274="Not interested/Declined",N274="Not interested/Declined"),"DECLINED",IF(N274="Escalate to AM","ESCALATED TO LEAD",IF(E274="Ram is handling - no action","N/A",IF(M274="","PENDING CALL 1","IN PROGRESS")))))</f>
        <v/>
      </c>
      <c r="P274" s="19">
        <f>IF(OR('Ram - Digital ToDo'!O274="Scheduled",'Ram - Digital ToDo'!Q274="Scheduled"),"Scheduled within SLA (self-serve)",IF(OR(M274="Scheduled on call",M274="Booked on their behalf",N274="Scheduled on call",N274="Booked on their behalf"),"Scheduled within SLA (call)",IF(OR(M274="Not interested/Declined",N274="Not interested/Declined"),"Declined",IF(N274="Escalate to AM","SLA breach - unresolved","In progress"))))</f>
        <v/>
      </c>
      <c r="Q274" s="19" t="n"/>
    </row>
    <row r="275">
      <c r="A275" s="19" t="inlineStr">
        <is>
          <t>REQ-0274</t>
        </is>
      </c>
      <c r="B275" s="20" t="n">
        <v>44867.82708333333</v>
      </c>
      <c r="C275" s="20">
        <f>B275+1</f>
        <v/>
      </c>
      <c r="D275" s="21">
        <f>(C275-NOW())*24</f>
        <v/>
      </c>
      <c r="E275" s="19">
        <f>IF('Ram - Digital ToDo'!Q275="Escalate to call","CALL NOW",IF('Ram - Digital ToDo'!N275="Bad contact","CALL NOW (digital failed)","Ram is handling - no action"))</f>
        <v/>
      </c>
      <c r="F275" s="19">
        <f>IF(E275="Ram is handling - no action","No action needed",IF(M275="","CALL 1: ring candidate, offer to book on call (Playbook C1)",IF(OR(M275="Scheduled on call",M275="Booked on their behalf"),"DONE: scheduled on call",IF(M275="Not interested/Declined","CLOSED: candidate declined (log + tell lead)",IF(N275="","CALL 2: final attempt (Playbook C2)",IF(OR(N275="Scheduled on call",N275="Booked on their behalf"),"DONE: scheduled on call",IF(N275="Escalate to AM","ESCALATED TO LEAD","Review")))))))</f>
        <v/>
      </c>
      <c r="G275" s="20">
        <f>IF(E275="Ram is handling - no action","",IF(M275="",B275+6/24,IF(AND(M275&lt;&gt;"Scheduled on call",M275&lt;&gt;"Booked on their behalf",M275&lt;&gt;"Not interested/Declined",N275=""),B275+20/24,"")))</f>
        <v/>
      </c>
      <c r="H275" s="19" t="inlineStr">
        <is>
          <t>Chetan</t>
        </is>
      </c>
      <c r="I275" s="19" t="inlineStr">
        <is>
          <t>Google</t>
        </is>
      </c>
      <c r="J275" s="19" t="inlineStr">
        <is>
          <t>Round1</t>
        </is>
      </c>
      <c r="K275" s="22" t="inlineStr">
        <is>
          <t>+91 9920264452</t>
        </is>
      </c>
      <c r="L275" s="19" t="inlineStr">
        <is>
          <t>&lt;calendly_link&gt;</t>
        </is>
      </c>
      <c r="M275" s="19" t="n"/>
      <c r="N275" s="19" t="n"/>
      <c r="O275" s="19">
        <f>IF(OR(M275="Scheduled on call",M275="Booked on their behalf",N275="Scheduled on call",N275="Booked on their behalf"),"SCHEDULED (call)",IF(OR(M275="Not interested/Declined",N275="Not interested/Declined"),"DECLINED",IF(N275="Escalate to AM","ESCALATED TO LEAD",IF(E275="Ram is handling - no action","N/A",IF(M275="","PENDING CALL 1","IN PROGRESS")))))</f>
        <v/>
      </c>
      <c r="P275" s="19">
        <f>IF(OR('Ram - Digital ToDo'!O275="Scheduled",'Ram - Digital ToDo'!Q275="Scheduled"),"Scheduled within SLA (self-serve)",IF(OR(M275="Scheduled on call",M275="Booked on their behalf",N275="Scheduled on call",N275="Booked on their behalf"),"Scheduled within SLA (call)",IF(OR(M275="Not interested/Declined",N275="Not interested/Declined"),"Declined",IF(N275="Escalate to AM","SLA breach - unresolved","In progress"))))</f>
        <v/>
      </c>
      <c r="Q275" s="19" t="n"/>
    </row>
    <row r="276">
      <c r="A276" s="19" t="inlineStr">
        <is>
          <t>REQ-0275</t>
        </is>
      </c>
      <c r="B276" s="20" t="n">
        <v>44867.82708333333</v>
      </c>
      <c r="C276" s="20">
        <f>B276+1</f>
        <v/>
      </c>
      <c r="D276" s="21">
        <f>(C276-NOW())*24</f>
        <v/>
      </c>
      <c r="E276" s="19">
        <f>IF('Ram - Digital ToDo'!Q276="Escalate to call","CALL NOW",IF('Ram - Digital ToDo'!N276="Bad contact","CALL NOW (digital failed)","Ram is handling - no action"))</f>
        <v/>
      </c>
      <c r="F276" s="19">
        <f>IF(E276="Ram is handling - no action","No action needed",IF(M276="","CALL 1: ring candidate, offer to book on call (Playbook C1)",IF(OR(M276="Scheduled on call",M276="Booked on their behalf"),"DONE: scheduled on call",IF(M276="Not interested/Declined","CLOSED: candidate declined (log + tell lead)",IF(N276="","CALL 2: final attempt (Playbook C2)",IF(OR(N276="Scheduled on call",N276="Booked on their behalf"),"DONE: scheduled on call",IF(N276="Escalate to AM","ESCALATED TO LEAD","Review")))))))</f>
        <v/>
      </c>
      <c r="G276" s="20">
        <f>IF(E276="Ram is handling - no action","",IF(M276="",B276+6/24,IF(AND(M276&lt;&gt;"Scheduled on call",M276&lt;&gt;"Booked on their behalf",M276&lt;&gt;"Not interested/Declined",N276=""),B276+20/24,"")))</f>
        <v/>
      </c>
      <c r="H276" s="19" t="inlineStr">
        <is>
          <t>Chetan</t>
        </is>
      </c>
      <c r="I276" s="19" t="inlineStr">
        <is>
          <t>Google</t>
        </is>
      </c>
      <c r="J276" s="19" t="inlineStr">
        <is>
          <t>Round1</t>
        </is>
      </c>
      <c r="K276" s="22" t="inlineStr">
        <is>
          <t>+91 9920264452</t>
        </is>
      </c>
      <c r="L276" s="19" t="inlineStr">
        <is>
          <t>&lt;calendly_link&gt;</t>
        </is>
      </c>
      <c r="M276" s="19" t="n"/>
      <c r="N276" s="19" t="n"/>
      <c r="O276" s="19">
        <f>IF(OR(M276="Scheduled on call",M276="Booked on their behalf",N276="Scheduled on call",N276="Booked on their behalf"),"SCHEDULED (call)",IF(OR(M276="Not interested/Declined",N276="Not interested/Declined"),"DECLINED",IF(N276="Escalate to AM","ESCALATED TO LEAD",IF(E276="Ram is handling - no action","N/A",IF(M276="","PENDING CALL 1","IN PROGRESS")))))</f>
        <v/>
      </c>
      <c r="P276" s="19">
        <f>IF(OR('Ram - Digital ToDo'!O276="Scheduled",'Ram - Digital ToDo'!Q276="Scheduled"),"Scheduled within SLA (self-serve)",IF(OR(M276="Scheduled on call",M276="Booked on their behalf",N276="Scheduled on call",N276="Booked on their behalf"),"Scheduled within SLA (call)",IF(OR(M276="Not interested/Declined",N276="Not interested/Declined"),"Declined",IF(N276="Escalate to AM","SLA breach - unresolved","In progress"))))</f>
        <v/>
      </c>
      <c r="Q276" s="19" t="n"/>
    </row>
    <row r="277">
      <c r="A277" s="19" t="inlineStr">
        <is>
          <t>REQ-0276</t>
        </is>
      </c>
      <c r="B277" s="20" t="n">
        <v>44867.82708333333</v>
      </c>
      <c r="C277" s="20">
        <f>B277+1</f>
        <v/>
      </c>
      <c r="D277" s="21">
        <f>(C277-NOW())*24</f>
        <v/>
      </c>
      <c r="E277" s="19">
        <f>IF('Ram - Digital ToDo'!Q277="Escalate to call","CALL NOW",IF('Ram - Digital ToDo'!N277="Bad contact","CALL NOW (digital failed)","Ram is handling - no action"))</f>
        <v/>
      </c>
      <c r="F277" s="19">
        <f>IF(E277="Ram is handling - no action","No action needed",IF(M277="","CALL 1: ring candidate, offer to book on call (Playbook C1)",IF(OR(M277="Scheduled on call",M277="Booked on their behalf"),"DONE: scheduled on call",IF(M277="Not interested/Declined","CLOSED: candidate declined (log + tell lead)",IF(N277="","CALL 2: final attempt (Playbook C2)",IF(OR(N277="Scheduled on call",N277="Booked on their behalf"),"DONE: scheduled on call",IF(N277="Escalate to AM","ESCALATED TO LEAD","Review")))))))</f>
        <v/>
      </c>
      <c r="G277" s="20">
        <f>IF(E277="Ram is handling - no action","",IF(M277="",B277+6/24,IF(AND(M277&lt;&gt;"Scheduled on call",M277&lt;&gt;"Booked on their behalf",M277&lt;&gt;"Not interested/Declined",N277=""),B277+20/24,"")))</f>
        <v/>
      </c>
      <c r="H277" s="19" t="inlineStr">
        <is>
          <t>Chetan</t>
        </is>
      </c>
      <c r="I277" s="19" t="inlineStr">
        <is>
          <t>Google</t>
        </is>
      </c>
      <c r="J277" s="19" t="inlineStr">
        <is>
          <t>Round1</t>
        </is>
      </c>
      <c r="K277" s="22" t="inlineStr">
        <is>
          <t>+91 9920264452</t>
        </is>
      </c>
      <c r="L277" s="19" t="inlineStr">
        <is>
          <t>&lt;calendly_link&gt;</t>
        </is>
      </c>
      <c r="M277" s="19" t="n"/>
      <c r="N277" s="19" t="n"/>
      <c r="O277" s="19">
        <f>IF(OR(M277="Scheduled on call",M277="Booked on their behalf",N277="Scheduled on call",N277="Booked on their behalf"),"SCHEDULED (call)",IF(OR(M277="Not interested/Declined",N277="Not interested/Declined"),"DECLINED",IF(N277="Escalate to AM","ESCALATED TO LEAD",IF(E277="Ram is handling - no action","N/A",IF(M277="","PENDING CALL 1","IN PROGRESS")))))</f>
        <v/>
      </c>
      <c r="P277" s="19">
        <f>IF(OR('Ram - Digital ToDo'!O277="Scheduled",'Ram - Digital ToDo'!Q277="Scheduled"),"Scheduled within SLA (self-serve)",IF(OR(M277="Scheduled on call",M277="Booked on their behalf",N277="Scheduled on call",N277="Booked on their behalf"),"Scheduled within SLA (call)",IF(OR(M277="Not interested/Declined",N277="Not interested/Declined"),"Declined",IF(N277="Escalate to AM","SLA breach - unresolved","In progress"))))</f>
        <v/>
      </c>
      <c r="Q277" s="19" t="n"/>
    </row>
    <row r="278">
      <c r="A278" s="19" t="inlineStr">
        <is>
          <t>REQ-0277</t>
        </is>
      </c>
      <c r="B278" s="20" t="n">
        <v>44867.82708333333</v>
      </c>
      <c r="C278" s="20">
        <f>B278+1</f>
        <v/>
      </c>
      <c r="D278" s="21">
        <f>(C278-NOW())*24</f>
        <v/>
      </c>
      <c r="E278" s="19">
        <f>IF('Ram - Digital ToDo'!Q278="Escalate to call","CALL NOW",IF('Ram - Digital ToDo'!N278="Bad contact","CALL NOW (digital failed)","Ram is handling - no action"))</f>
        <v/>
      </c>
      <c r="F278" s="19">
        <f>IF(E278="Ram is handling - no action","No action needed",IF(M278="","CALL 1: ring candidate, offer to book on call (Playbook C1)",IF(OR(M278="Scheduled on call",M278="Booked on their behalf"),"DONE: scheduled on call",IF(M278="Not interested/Declined","CLOSED: candidate declined (log + tell lead)",IF(N278="","CALL 2: final attempt (Playbook C2)",IF(OR(N278="Scheduled on call",N278="Booked on their behalf"),"DONE: scheduled on call",IF(N278="Escalate to AM","ESCALATED TO LEAD","Review")))))))</f>
        <v/>
      </c>
      <c r="G278" s="20">
        <f>IF(E278="Ram is handling - no action","",IF(M278="",B278+6/24,IF(AND(M278&lt;&gt;"Scheduled on call",M278&lt;&gt;"Booked on their behalf",M278&lt;&gt;"Not interested/Declined",N278=""),B278+20/24,"")))</f>
        <v/>
      </c>
      <c r="H278" s="19" t="inlineStr">
        <is>
          <t>Chetan</t>
        </is>
      </c>
      <c r="I278" s="19" t="inlineStr">
        <is>
          <t>Google</t>
        </is>
      </c>
      <c r="J278" s="19" t="inlineStr">
        <is>
          <t>Round1</t>
        </is>
      </c>
      <c r="K278" s="22" t="inlineStr">
        <is>
          <t>+91 9920264452</t>
        </is>
      </c>
      <c r="L278" s="19" t="inlineStr">
        <is>
          <t>&lt;calendly_link&gt;</t>
        </is>
      </c>
      <c r="M278" s="19" t="n"/>
      <c r="N278" s="19" t="n"/>
      <c r="O278" s="19">
        <f>IF(OR(M278="Scheduled on call",M278="Booked on their behalf",N278="Scheduled on call",N278="Booked on their behalf"),"SCHEDULED (call)",IF(OR(M278="Not interested/Declined",N278="Not interested/Declined"),"DECLINED",IF(N278="Escalate to AM","ESCALATED TO LEAD",IF(E278="Ram is handling - no action","N/A",IF(M278="","PENDING CALL 1","IN PROGRESS")))))</f>
        <v/>
      </c>
      <c r="P278" s="19">
        <f>IF(OR('Ram - Digital ToDo'!O278="Scheduled",'Ram - Digital ToDo'!Q278="Scheduled"),"Scheduled within SLA (self-serve)",IF(OR(M278="Scheduled on call",M278="Booked on their behalf",N278="Scheduled on call",N278="Booked on their behalf"),"Scheduled within SLA (call)",IF(OR(M278="Not interested/Declined",N278="Not interested/Declined"),"Declined",IF(N278="Escalate to AM","SLA breach - unresolved","In progress"))))</f>
        <v/>
      </c>
      <c r="Q278" s="19" t="n"/>
    </row>
    <row r="279">
      <c r="A279" s="19" t="inlineStr">
        <is>
          <t>REQ-0278</t>
        </is>
      </c>
      <c r="B279" s="20" t="n">
        <v>44867.82708333333</v>
      </c>
      <c r="C279" s="20">
        <f>B279+1</f>
        <v/>
      </c>
      <c r="D279" s="21">
        <f>(C279-NOW())*24</f>
        <v/>
      </c>
      <c r="E279" s="19">
        <f>IF('Ram - Digital ToDo'!Q279="Escalate to call","CALL NOW",IF('Ram - Digital ToDo'!N279="Bad contact","CALL NOW (digital failed)","Ram is handling - no action"))</f>
        <v/>
      </c>
      <c r="F279" s="19">
        <f>IF(E279="Ram is handling - no action","No action needed",IF(M279="","CALL 1: ring candidate, offer to book on call (Playbook C1)",IF(OR(M279="Scheduled on call",M279="Booked on their behalf"),"DONE: scheduled on call",IF(M279="Not interested/Declined","CLOSED: candidate declined (log + tell lead)",IF(N279="","CALL 2: final attempt (Playbook C2)",IF(OR(N279="Scheduled on call",N279="Booked on their behalf"),"DONE: scheduled on call",IF(N279="Escalate to AM","ESCALATED TO LEAD","Review")))))))</f>
        <v/>
      </c>
      <c r="G279" s="20">
        <f>IF(E279="Ram is handling - no action","",IF(M279="",B279+6/24,IF(AND(M279&lt;&gt;"Scheduled on call",M279&lt;&gt;"Booked on their behalf",M279&lt;&gt;"Not interested/Declined",N279=""),B279+20/24,"")))</f>
        <v/>
      </c>
      <c r="H279" s="19" t="inlineStr">
        <is>
          <t>Chetan</t>
        </is>
      </c>
      <c r="I279" s="19" t="inlineStr">
        <is>
          <t>Google</t>
        </is>
      </c>
      <c r="J279" s="19" t="inlineStr">
        <is>
          <t>Round1</t>
        </is>
      </c>
      <c r="K279" s="22" t="inlineStr">
        <is>
          <t>+91 9920264452</t>
        </is>
      </c>
      <c r="L279" s="19" t="inlineStr">
        <is>
          <t>&lt;calendly_link&gt;</t>
        </is>
      </c>
      <c r="M279" s="19" t="n"/>
      <c r="N279" s="19" t="n"/>
      <c r="O279" s="19">
        <f>IF(OR(M279="Scheduled on call",M279="Booked on their behalf",N279="Scheduled on call",N279="Booked on their behalf"),"SCHEDULED (call)",IF(OR(M279="Not interested/Declined",N279="Not interested/Declined"),"DECLINED",IF(N279="Escalate to AM","ESCALATED TO LEAD",IF(E279="Ram is handling - no action","N/A",IF(M279="","PENDING CALL 1","IN PROGRESS")))))</f>
        <v/>
      </c>
      <c r="P279" s="19">
        <f>IF(OR('Ram - Digital ToDo'!O279="Scheduled",'Ram - Digital ToDo'!Q279="Scheduled"),"Scheduled within SLA (self-serve)",IF(OR(M279="Scheduled on call",M279="Booked on their behalf",N279="Scheduled on call",N279="Booked on their behalf"),"Scheduled within SLA (call)",IF(OR(M279="Not interested/Declined",N279="Not interested/Declined"),"Declined",IF(N279="Escalate to AM","SLA breach - unresolved","In progress"))))</f>
        <v/>
      </c>
      <c r="Q279" s="19" t="n"/>
    </row>
    <row r="280">
      <c r="A280" s="19" t="inlineStr">
        <is>
          <t>REQ-0279</t>
        </is>
      </c>
      <c r="B280" s="20" t="n">
        <v>44867.82708333333</v>
      </c>
      <c r="C280" s="20">
        <f>B280+1</f>
        <v/>
      </c>
      <c r="D280" s="21">
        <f>(C280-NOW())*24</f>
        <v/>
      </c>
      <c r="E280" s="19">
        <f>IF('Ram - Digital ToDo'!Q280="Escalate to call","CALL NOW",IF('Ram - Digital ToDo'!N280="Bad contact","CALL NOW (digital failed)","Ram is handling - no action"))</f>
        <v/>
      </c>
      <c r="F280" s="19">
        <f>IF(E280="Ram is handling - no action","No action needed",IF(M280="","CALL 1: ring candidate, offer to book on call (Playbook C1)",IF(OR(M280="Scheduled on call",M280="Booked on their behalf"),"DONE: scheduled on call",IF(M280="Not interested/Declined","CLOSED: candidate declined (log + tell lead)",IF(N280="","CALL 2: final attempt (Playbook C2)",IF(OR(N280="Scheduled on call",N280="Booked on their behalf"),"DONE: scheduled on call",IF(N280="Escalate to AM","ESCALATED TO LEAD","Review")))))))</f>
        <v/>
      </c>
      <c r="G280" s="20">
        <f>IF(E280="Ram is handling - no action","",IF(M280="",B280+6/24,IF(AND(M280&lt;&gt;"Scheduled on call",M280&lt;&gt;"Booked on their behalf",M280&lt;&gt;"Not interested/Declined",N280=""),B280+20/24,"")))</f>
        <v/>
      </c>
      <c r="H280" s="19" t="inlineStr">
        <is>
          <t>Chetan</t>
        </is>
      </c>
      <c r="I280" s="19" t="inlineStr">
        <is>
          <t>Google</t>
        </is>
      </c>
      <c r="J280" s="19" t="inlineStr">
        <is>
          <t>Round1</t>
        </is>
      </c>
      <c r="K280" s="22" t="inlineStr">
        <is>
          <t>+91 9920264452</t>
        </is>
      </c>
      <c r="L280" s="19" t="inlineStr">
        <is>
          <t>&lt;calendly_link&gt;</t>
        </is>
      </c>
      <c r="M280" s="19" t="n"/>
      <c r="N280" s="19" t="n"/>
      <c r="O280" s="19">
        <f>IF(OR(M280="Scheduled on call",M280="Booked on their behalf",N280="Scheduled on call",N280="Booked on their behalf"),"SCHEDULED (call)",IF(OR(M280="Not interested/Declined",N280="Not interested/Declined"),"DECLINED",IF(N280="Escalate to AM","ESCALATED TO LEAD",IF(E280="Ram is handling - no action","N/A",IF(M280="","PENDING CALL 1","IN PROGRESS")))))</f>
        <v/>
      </c>
      <c r="P280" s="19">
        <f>IF(OR('Ram - Digital ToDo'!O280="Scheduled",'Ram - Digital ToDo'!Q280="Scheduled"),"Scheduled within SLA (self-serve)",IF(OR(M280="Scheduled on call",M280="Booked on their behalf",N280="Scheduled on call",N280="Booked on their behalf"),"Scheduled within SLA (call)",IF(OR(M280="Not interested/Declined",N280="Not interested/Declined"),"Declined",IF(N280="Escalate to AM","SLA breach - unresolved","In progress"))))</f>
        <v/>
      </c>
      <c r="Q280" s="19" t="n"/>
    </row>
    <row r="281">
      <c r="A281" s="19" t="inlineStr">
        <is>
          <t>REQ-0280</t>
        </is>
      </c>
      <c r="B281" s="20" t="n">
        <v>44867.82708333333</v>
      </c>
      <c r="C281" s="20">
        <f>B281+1</f>
        <v/>
      </c>
      <c r="D281" s="21">
        <f>(C281-NOW())*24</f>
        <v/>
      </c>
      <c r="E281" s="19">
        <f>IF('Ram - Digital ToDo'!Q281="Escalate to call","CALL NOW",IF('Ram - Digital ToDo'!N281="Bad contact","CALL NOW (digital failed)","Ram is handling - no action"))</f>
        <v/>
      </c>
      <c r="F281" s="19">
        <f>IF(E281="Ram is handling - no action","No action needed",IF(M281="","CALL 1: ring candidate, offer to book on call (Playbook C1)",IF(OR(M281="Scheduled on call",M281="Booked on their behalf"),"DONE: scheduled on call",IF(M281="Not interested/Declined","CLOSED: candidate declined (log + tell lead)",IF(N281="","CALL 2: final attempt (Playbook C2)",IF(OR(N281="Scheduled on call",N281="Booked on their behalf"),"DONE: scheduled on call",IF(N281="Escalate to AM","ESCALATED TO LEAD","Review")))))))</f>
        <v/>
      </c>
      <c r="G281" s="20">
        <f>IF(E281="Ram is handling - no action","",IF(M281="",B281+6/24,IF(AND(M281&lt;&gt;"Scheduled on call",M281&lt;&gt;"Booked on their behalf",M281&lt;&gt;"Not interested/Declined",N281=""),B281+20/24,"")))</f>
        <v/>
      </c>
      <c r="H281" s="19" t="inlineStr">
        <is>
          <t>Chetan</t>
        </is>
      </c>
      <c r="I281" s="19" t="inlineStr">
        <is>
          <t>Google</t>
        </is>
      </c>
      <c r="J281" s="19" t="inlineStr">
        <is>
          <t>Round1</t>
        </is>
      </c>
      <c r="K281" s="22" t="inlineStr">
        <is>
          <t>+91 9920264452</t>
        </is>
      </c>
      <c r="L281" s="19" t="inlineStr">
        <is>
          <t>&lt;calendly_link&gt;</t>
        </is>
      </c>
      <c r="M281" s="19" t="n"/>
      <c r="N281" s="19" t="n"/>
      <c r="O281" s="19">
        <f>IF(OR(M281="Scheduled on call",M281="Booked on their behalf",N281="Scheduled on call",N281="Booked on their behalf"),"SCHEDULED (call)",IF(OR(M281="Not interested/Declined",N281="Not interested/Declined"),"DECLINED",IF(N281="Escalate to AM","ESCALATED TO LEAD",IF(E281="Ram is handling - no action","N/A",IF(M281="","PENDING CALL 1","IN PROGRESS")))))</f>
        <v/>
      </c>
      <c r="P281" s="19">
        <f>IF(OR('Ram - Digital ToDo'!O281="Scheduled",'Ram - Digital ToDo'!Q281="Scheduled"),"Scheduled within SLA (self-serve)",IF(OR(M281="Scheduled on call",M281="Booked on their behalf",N281="Scheduled on call",N281="Booked on their behalf"),"Scheduled within SLA (call)",IF(OR(M281="Not interested/Declined",N281="Not interested/Declined"),"Declined",IF(N281="Escalate to AM","SLA breach - unresolved","In progress"))))</f>
        <v/>
      </c>
      <c r="Q281" s="19" t="n"/>
    </row>
    <row r="282">
      <c r="A282" s="19" t="inlineStr">
        <is>
          <t>REQ-0281</t>
        </is>
      </c>
      <c r="B282" s="20" t="n">
        <v>44867.82708333333</v>
      </c>
      <c r="C282" s="20">
        <f>B282+1</f>
        <v/>
      </c>
      <c r="D282" s="21">
        <f>(C282-NOW())*24</f>
        <v/>
      </c>
      <c r="E282" s="19">
        <f>IF('Ram - Digital ToDo'!Q282="Escalate to call","CALL NOW",IF('Ram - Digital ToDo'!N282="Bad contact","CALL NOW (digital failed)","Ram is handling - no action"))</f>
        <v/>
      </c>
      <c r="F282" s="19">
        <f>IF(E282="Ram is handling - no action","No action needed",IF(M282="","CALL 1: ring candidate, offer to book on call (Playbook C1)",IF(OR(M282="Scheduled on call",M282="Booked on their behalf"),"DONE: scheduled on call",IF(M282="Not interested/Declined","CLOSED: candidate declined (log + tell lead)",IF(N282="","CALL 2: final attempt (Playbook C2)",IF(OR(N282="Scheduled on call",N282="Booked on their behalf"),"DONE: scheduled on call",IF(N282="Escalate to AM","ESCALATED TO LEAD","Review")))))))</f>
        <v/>
      </c>
      <c r="G282" s="20">
        <f>IF(E282="Ram is handling - no action","",IF(M282="",B282+6/24,IF(AND(M282&lt;&gt;"Scheduled on call",M282&lt;&gt;"Booked on their behalf",M282&lt;&gt;"Not interested/Declined",N282=""),B282+20/24,"")))</f>
        <v/>
      </c>
      <c r="H282" s="19" t="inlineStr">
        <is>
          <t>Chetan</t>
        </is>
      </c>
      <c r="I282" s="19" t="inlineStr">
        <is>
          <t>Google</t>
        </is>
      </c>
      <c r="J282" s="19" t="inlineStr">
        <is>
          <t>Round1</t>
        </is>
      </c>
      <c r="K282" s="22" t="inlineStr">
        <is>
          <t>+91 9920264452</t>
        </is>
      </c>
      <c r="L282" s="19" t="inlineStr">
        <is>
          <t>&lt;calendly_link&gt;</t>
        </is>
      </c>
      <c r="M282" s="19" t="n"/>
      <c r="N282" s="19" t="n"/>
      <c r="O282" s="19">
        <f>IF(OR(M282="Scheduled on call",M282="Booked on their behalf",N282="Scheduled on call",N282="Booked on their behalf"),"SCHEDULED (call)",IF(OR(M282="Not interested/Declined",N282="Not interested/Declined"),"DECLINED",IF(N282="Escalate to AM","ESCALATED TO LEAD",IF(E282="Ram is handling - no action","N/A",IF(M282="","PENDING CALL 1","IN PROGRESS")))))</f>
        <v/>
      </c>
      <c r="P282" s="19">
        <f>IF(OR('Ram - Digital ToDo'!O282="Scheduled",'Ram - Digital ToDo'!Q282="Scheduled"),"Scheduled within SLA (self-serve)",IF(OR(M282="Scheduled on call",M282="Booked on their behalf",N282="Scheduled on call",N282="Booked on their behalf"),"Scheduled within SLA (call)",IF(OR(M282="Not interested/Declined",N282="Not interested/Declined"),"Declined",IF(N282="Escalate to AM","SLA breach - unresolved","In progress"))))</f>
        <v/>
      </c>
      <c r="Q282" s="19" t="n"/>
    </row>
    <row r="283">
      <c r="A283" s="19" t="inlineStr">
        <is>
          <t>REQ-0282</t>
        </is>
      </c>
      <c r="B283" s="20" t="n">
        <v>44867.82708333333</v>
      </c>
      <c r="C283" s="20">
        <f>B283+1</f>
        <v/>
      </c>
      <c r="D283" s="21">
        <f>(C283-NOW())*24</f>
        <v/>
      </c>
      <c r="E283" s="19">
        <f>IF('Ram - Digital ToDo'!Q283="Escalate to call","CALL NOW",IF('Ram - Digital ToDo'!N283="Bad contact","CALL NOW (digital failed)","Ram is handling - no action"))</f>
        <v/>
      </c>
      <c r="F283" s="19">
        <f>IF(E283="Ram is handling - no action","No action needed",IF(M283="","CALL 1: ring candidate, offer to book on call (Playbook C1)",IF(OR(M283="Scheduled on call",M283="Booked on their behalf"),"DONE: scheduled on call",IF(M283="Not interested/Declined","CLOSED: candidate declined (log + tell lead)",IF(N283="","CALL 2: final attempt (Playbook C2)",IF(OR(N283="Scheduled on call",N283="Booked on their behalf"),"DONE: scheduled on call",IF(N283="Escalate to AM","ESCALATED TO LEAD","Review")))))))</f>
        <v/>
      </c>
      <c r="G283" s="20">
        <f>IF(E283="Ram is handling - no action","",IF(M283="",B283+6/24,IF(AND(M283&lt;&gt;"Scheduled on call",M283&lt;&gt;"Booked on their behalf",M283&lt;&gt;"Not interested/Declined",N283=""),B283+20/24,"")))</f>
        <v/>
      </c>
      <c r="H283" s="19" t="inlineStr">
        <is>
          <t>Chetan</t>
        </is>
      </c>
      <c r="I283" s="19" t="inlineStr">
        <is>
          <t>Google</t>
        </is>
      </c>
      <c r="J283" s="19" t="inlineStr">
        <is>
          <t>Round1</t>
        </is>
      </c>
      <c r="K283" s="22" t="inlineStr">
        <is>
          <t>+91 9920264452</t>
        </is>
      </c>
      <c r="L283" s="19" t="inlineStr">
        <is>
          <t>&lt;calendly_link&gt;</t>
        </is>
      </c>
      <c r="M283" s="19" t="n"/>
      <c r="N283" s="19" t="n"/>
      <c r="O283" s="19">
        <f>IF(OR(M283="Scheduled on call",M283="Booked on their behalf",N283="Scheduled on call",N283="Booked on their behalf"),"SCHEDULED (call)",IF(OR(M283="Not interested/Declined",N283="Not interested/Declined"),"DECLINED",IF(N283="Escalate to AM","ESCALATED TO LEAD",IF(E283="Ram is handling - no action","N/A",IF(M283="","PENDING CALL 1","IN PROGRESS")))))</f>
        <v/>
      </c>
      <c r="P283" s="19">
        <f>IF(OR('Ram - Digital ToDo'!O283="Scheduled",'Ram - Digital ToDo'!Q283="Scheduled"),"Scheduled within SLA (self-serve)",IF(OR(M283="Scheduled on call",M283="Booked on their behalf",N283="Scheduled on call",N283="Booked on their behalf"),"Scheduled within SLA (call)",IF(OR(M283="Not interested/Declined",N283="Not interested/Declined"),"Declined",IF(N283="Escalate to AM","SLA breach - unresolved","In progress"))))</f>
        <v/>
      </c>
      <c r="Q283" s="19" t="n"/>
    </row>
    <row r="284">
      <c r="A284" s="19" t="inlineStr">
        <is>
          <t>REQ-0283</t>
        </is>
      </c>
      <c r="B284" s="20" t="n">
        <v>44867.82708333333</v>
      </c>
      <c r="C284" s="20">
        <f>B284+1</f>
        <v/>
      </c>
      <c r="D284" s="21">
        <f>(C284-NOW())*24</f>
        <v/>
      </c>
      <c r="E284" s="19">
        <f>IF('Ram - Digital ToDo'!Q284="Escalate to call","CALL NOW",IF('Ram - Digital ToDo'!N284="Bad contact","CALL NOW (digital failed)","Ram is handling - no action"))</f>
        <v/>
      </c>
      <c r="F284" s="19">
        <f>IF(E284="Ram is handling - no action","No action needed",IF(M284="","CALL 1: ring candidate, offer to book on call (Playbook C1)",IF(OR(M284="Scheduled on call",M284="Booked on their behalf"),"DONE: scheduled on call",IF(M284="Not interested/Declined","CLOSED: candidate declined (log + tell lead)",IF(N284="","CALL 2: final attempt (Playbook C2)",IF(OR(N284="Scheduled on call",N284="Booked on their behalf"),"DONE: scheduled on call",IF(N284="Escalate to AM","ESCALATED TO LEAD","Review")))))))</f>
        <v/>
      </c>
      <c r="G284" s="20">
        <f>IF(E284="Ram is handling - no action","",IF(M284="",B284+6/24,IF(AND(M284&lt;&gt;"Scheduled on call",M284&lt;&gt;"Booked on their behalf",M284&lt;&gt;"Not interested/Declined",N284=""),B284+20/24,"")))</f>
        <v/>
      </c>
      <c r="H284" s="19" t="inlineStr">
        <is>
          <t>Chetan</t>
        </is>
      </c>
      <c r="I284" s="19" t="inlineStr">
        <is>
          <t>Google</t>
        </is>
      </c>
      <c r="J284" s="19" t="inlineStr">
        <is>
          <t>Round1</t>
        </is>
      </c>
      <c r="K284" s="22" t="inlineStr">
        <is>
          <t>+91 9920264452</t>
        </is>
      </c>
      <c r="L284" s="19" t="inlineStr">
        <is>
          <t>&lt;calendly_link&gt;</t>
        </is>
      </c>
      <c r="M284" s="19" t="n"/>
      <c r="N284" s="19" t="n"/>
      <c r="O284" s="19">
        <f>IF(OR(M284="Scheduled on call",M284="Booked on their behalf",N284="Scheduled on call",N284="Booked on their behalf"),"SCHEDULED (call)",IF(OR(M284="Not interested/Declined",N284="Not interested/Declined"),"DECLINED",IF(N284="Escalate to AM","ESCALATED TO LEAD",IF(E284="Ram is handling - no action","N/A",IF(M284="","PENDING CALL 1","IN PROGRESS")))))</f>
        <v/>
      </c>
      <c r="P284" s="19">
        <f>IF(OR('Ram - Digital ToDo'!O284="Scheduled",'Ram - Digital ToDo'!Q284="Scheduled"),"Scheduled within SLA (self-serve)",IF(OR(M284="Scheduled on call",M284="Booked on their behalf",N284="Scheduled on call",N284="Booked on their behalf"),"Scheduled within SLA (call)",IF(OR(M284="Not interested/Declined",N284="Not interested/Declined"),"Declined",IF(N284="Escalate to AM","SLA breach - unresolved","In progress"))))</f>
        <v/>
      </c>
      <c r="Q284" s="19" t="n"/>
    </row>
    <row r="285">
      <c r="A285" s="19" t="inlineStr">
        <is>
          <t>REQ-0284</t>
        </is>
      </c>
      <c r="B285" s="20" t="n">
        <v>44867.82708333333</v>
      </c>
      <c r="C285" s="20">
        <f>B285+1</f>
        <v/>
      </c>
      <c r="D285" s="21">
        <f>(C285-NOW())*24</f>
        <v/>
      </c>
      <c r="E285" s="19">
        <f>IF('Ram - Digital ToDo'!Q285="Escalate to call","CALL NOW",IF('Ram - Digital ToDo'!N285="Bad contact","CALL NOW (digital failed)","Ram is handling - no action"))</f>
        <v/>
      </c>
      <c r="F285" s="19">
        <f>IF(E285="Ram is handling - no action","No action needed",IF(M285="","CALL 1: ring candidate, offer to book on call (Playbook C1)",IF(OR(M285="Scheduled on call",M285="Booked on their behalf"),"DONE: scheduled on call",IF(M285="Not interested/Declined","CLOSED: candidate declined (log + tell lead)",IF(N285="","CALL 2: final attempt (Playbook C2)",IF(OR(N285="Scheduled on call",N285="Booked on their behalf"),"DONE: scheduled on call",IF(N285="Escalate to AM","ESCALATED TO LEAD","Review")))))))</f>
        <v/>
      </c>
      <c r="G285" s="20">
        <f>IF(E285="Ram is handling - no action","",IF(M285="",B285+6/24,IF(AND(M285&lt;&gt;"Scheduled on call",M285&lt;&gt;"Booked on their behalf",M285&lt;&gt;"Not interested/Declined",N285=""),B285+20/24,"")))</f>
        <v/>
      </c>
      <c r="H285" s="19" t="inlineStr">
        <is>
          <t>Chetan</t>
        </is>
      </c>
      <c r="I285" s="19" t="inlineStr">
        <is>
          <t>Google</t>
        </is>
      </c>
      <c r="J285" s="19" t="inlineStr">
        <is>
          <t>Round1</t>
        </is>
      </c>
      <c r="K285" s="22" t="inlineStr">
        <is>
          <t>+91 9920264452</t>
        </is>
      </c>
      <c r="L285" s="19" t="inlineStr">
        <is>
          <t>&lt;calendly_link&gt;</t>
        </is>
      </c>
      <c r="M285" s="19" t="n"/>
      <c r="N285" s="19" t="n"/>
      <c r="O285" s="19">
        <f>IF(OR(M285="Scheduled on call",M285="Booked on their behalf",N285="Scheduled on call",N285="Booked on their behalf"),"SCHEDULED (call)",IF(OR(M285="Not interested/Declined",N285="Not interested/Declined"),"DECLINED",IF(N285="Escalate to AM","ESCALATED TO LEAD",IF(E285="Ram is handling - no action","N/A",IF(M285="","PENDING CALL 1","IN PROGRESS")))))</f>
        <v/>
      </c>
      <c r="P285" s="19">
        <f>IF(OR('Ram - Digital ToDo'!O285="Scheduled",'Ram - Digital ToDo'!Q285="Scheduled"),"Scheduled within SLA (self-serve)",IF(OR(M285="Scheduled on call",M285="Booked on their behalf",N285="Scheduled on call",N285="Booked on their behalf"),"Scheduled within SLA (call)",IF(OR(M285="Not interested/Declined",N285="Not interested/Declined"),"Declined",IF(N285="Escalate to AM","SLA breach - unresolved","In progress"))))</f>
        <v/>
      </c>
      <c r="Q285" s="19" t="n"/>
    </row>
    <row r="286">
      <c r="A286" s="19" t="inlineStr">
        <is>
          <t>REQ-0285</t>
        </is>
      </c>
      <c r="B286" s="20" t="n">
        <v>44867.82708333333</v>
      </c>
      <c r="C286" s="20">
        <f>B286+1</f>
        <v/>
      </c>
      <c r="D286" s="21">
        <f>(C286-NOW())*24</f>
        <v/>
      </c>
      <c r="E286" s="19">
        <f>IF('Ram - Digital ToDo'!Q286="Escalate to call","CALL NOW",IF('Ram - Digital ToDo'!N286="Bad contact","CALL NOW (digital failed)","Ram is handling - no action"))</f>
        <v/>
      </c>
      <c r="F286" s="19">
        <f>IF(E286="Ram is handling - no action","No action needed",IF(M286="","CALL 1: ring candidate, offer to book on call (Playbook C1)",IF(OR(M286="Scheduled on call",M286="Booked on their behalf"),"DONE: scheduled on call",IF(M286="Not interested/Declined","CLOSED: candidate declined (log + tell lead)",IF(N286="","CALL 2: final attempt (Playbook C2)",IF(OR(N286="Scheduled on call",N286="Booked on their behalf"),"DONE: scheduled on call",IF(N286="Escalate to AM","ESCALATED TO LEAD","Review")))))))</f>
        <v/>
      </c>
      <c r="G286" s="20">
        <f>IF(E286="Ram is handling - no action","",IF(M286="",B286+6/24,IF(AND(M286&lt;&gt;"Scheduled on call",M286&lt;&gt;"Booked on their behalf",M286&lt;&gt;"Not interested/Declined",N286=""),B286+20/24,"")))</f>
        <v/>
      </c>
      <c r="H286" s="19" t="inlineStr">
        <is>
          <t>Chetan</t>
        </is>
      </c>
      <c r="I286" s="19" t="inlineStr">
        <is>
          <t>Google</t>
        </is>
      </c>
      <c r="J286" s="19" t="inlineStr">
        <is>
          <t>Round1</t>
        </is>
      </c>
      <c r="K286" s="22" t="inlineStr">
        <is>
          <t>+91 9920264452</t>
        </is>
      </c>
      <c r="L286" s="19" t="inlineStr">
        <is>
          <t>&lt;calendly_link&gt;</t>
        </is>
      </c>
      <c r="M286" s="19" t="n"/>
      <c r="N286" s="19" t="n"/>
      <c r="O286" s="19">
        <f>IF(OR(M286="Scheduled on call",M286="Booked on their behalf",N286="Scheduled on call",N286="Booked on their behalf"),"SCHEDULED (call)",IF(OR(M286="Not interested/Declined",N286="Not interested/Declined"),"DECLINED",IF(N286="Escalate to AM","ESCALATED TO LEAD",IF(E286="Ram is handling - no action","N/A",IF(M286="","PENDING CALL 1","IN PROGRESS")))))</f>
        <v/>
      </c>
      <c r="P286" s="19">
        <f>IF(OR('Ram - Digital ToDo'!O286="Scheduled",'Ram - Digital ToDo'!Q286="Scheduled"),"Scheduled within SLA (self-serve)",IF(OR(M286="Scheduled on call",M286="Booked on their behalf",N286="Scheduled on call",N286="Booked on their behalf"),"Scheduled within SLA (call)",IF(OR(M286="Not interested/Declined",N286="Not interested/Declined"),"Declined",IF(N286="Escalate to AM","SLA breach - unresolved","In progress"))))</f>
        <v/>
      </c>
      <c r="Q286" s="19" t="n"/>
    </row>
    <row r="287">
      <c r="A287" s="19" t="inlineStr">
        <is>
          <t>REQ-0286</t>
        </is>
      </c>
      <c r="B287" s="20" t="n">
        <v>44867.82708333333</v>
      </c>
      <c r="C287" s="20">
        <f>B287+1</f>
        <v/>
      </c>
      <c r="D287" s="21">
        <f>(C287-NOW())*24</f>
        <v/>
      </c>
      <c r="E287" s="19">
        <f>IF('Ram - Digital ToDo'!Q287="Escalate to call","CALL NOW",IF('Ram - Digital ToDo'!N287="Bad contact","CALL NOW (digital failed)","Ram is handling - no action"))</f>
        <v/>
      </c>
      <c r="F287" s="19">
        <f>IF(E287="Ram is handling - no action","No action needed",IF(M287="","CALL 1: ring candidate, offer to book on call (Playbook C1)",IF(OR(M287="Scheduled on call",M287="Booked on their behalf"),"DONE: scheduled on call",IF(M287="Not interested/Declined","CLOSED: candidate declined (log + tell lead)",IF(N287="","CALL 2: final attempt (Playbook C2)",IF(OR(N287="Scheduled on call",N287="Booked on their behalf"),"DONE: scheduled on call",IF(N287="Escalate to AM","ESCALATED TO LEAD","Review")))))))</f>
        <v/>
      </c>
      <c r="G287" s="20">
        <f>IF(E287="Ram is handling - no action","",IF(M287="",B287+6/24,IF(AND(M287&lt;&gt;"Scheduled on call",M287&lt;&gt;"Booked on their behalf",M287&lt;&gt;"Not interested/Declined",N287=""),B287+20/24,"")))</f>
        <v/>
      </c>
      <c r="H287" s="19" t="inlineStr">
        <is>
          <t>Chetan</t>
        </is>
      </c>
      <c r="I287" s="19" t="inlineStr">
        <is>
          <t>Google</t>
        </is>
      </c>
      <c r="J287" s="19" t="inlineStr">
        <is>
          <t>Round1</t>
        </is>
      </c>
      <c r="K287" s="22" t="inlineStr">
        <is>
          <t>+91 9920264452</t>
        </is>
      </c>
      <c r="L287" s="19" t="inlineStr">
        <is>
          <t>&lt;calendly_link&gt;</t>
        </is>
      </c>
      <c r="M287" s="19" t="n"/>
      <c r="N287" s="19" t="n"/>
      <c r="O287" s="19">
        <f>IF(OR(M287="Scheduled on call",M287="Booked on their behalf",N287="Scheduled on call",N287="Booked on their behalf"),"SCHEDULED (call)",IF(OR(M287="Not interested/Declined",N287="Not interested/Declined"),"DECLINED",IF(N287="Escalate to AM","ESCALATED TO LEAD",IF(E287="Ram is handling - no action","N/A",IF(M287="","PENDING CALL 1","IN PROGRESS")))))</f>
        <v/>
      </c>
      <c r="P287" s="19">
        <f>IF(OR('Ram - Digital ToDo'!O287="Scheduled",'Ram - Digital ToDo'!Q287="Scheduled"),"Scheduled within SLA (self-serve)",IF(OR(M287="Scheduled on call",M287="Booked on their behalf",N287="Scheduled on call",N287="Booked on their behalf"),"Scheduled within SLA (call)",IF(OR(M287="Not interested/Declined",N287="Not interested/Declined"),"Declined",IF(N287="Escalate to AM","SLA breach - unresolved","In progress"))))</f>
        <v/>
      </c>
      <c r="Q287" s="19" t="n"/>
    </row>
    <row r="288">
      <c r="A288" s="19" t="inlineStr">
        <is>
          <t>REQ-0287</t>
        </is>
      </c>
      <c r="B288" s="20" t="n">
        <v>44867.82708333333</v>
      </c>
      <c r="C288" s="20">
        <f>B288+1</f>
        <v/>
      </c>
      <c r="D288" s="21">
        <f>(C288-NOW())*24</f>
        <v/>
      </c>
      <c r="E288" s="19">
        <f>IF('Ram - Digital ToDo'!Q288="Escalate to call","CALL NOW",IF('Ram - Digital ToDo'!N288="Bad contact","CALL NOW (digital failed)","Ram is handling - no action"))</f>
        <v/>
      </c>
      <c r="F288" s="19">
        <f>IF(E288="Ram is handling - no action","No action needed",IF(M288="","CALL 1: ring candidate, offer to book on call (Playbook C1)",IF(OR(M288="Scheduled on call",M288="Booked on their behalf"),"DONE: scheduled on call",IF(M288="Not interested/Declined","CLOSED: candidate declined (log + tell lead)",IF(N288="","CALL 2: final attempt (Playbook C2)",IF(OR(N288="Scheduled on call",N288="Booked on their behalf"),"DONE: scheduled on call",IF(N288="Escalate to AM","ESCALATED TO LEAD","Review")))))))</f>
        <v/>
      </c>
      <c r="G288" s="20">
        <f>IF(E288="Ram is handling - no action","",IF(M288="",B288+6/24,IF(AND(M288&lt;&gt;"Scheduled on call",M288&lt;&gt;"Booked on their behalf",M288&lt;&gt;"Not interested/Declined",N288=""),B288+20/24,"")))</f>
        <v/>
      </c>
      <c r="H288" s="19" t="inlineStr">
        <is>
          <t>Chetan</t>
        </is>
      </c>
      <c r="I288" s="19" t="inlineStr">
        <is>
          <t>Google</t>
        </is>
      </c>
      <c r="J288" s="19" t="inlineStr">
        <is>
          <t>Round1</t>
        </is>
      </c>
      <c r="K288" s="22" t="inlineStr">
        <is>
          <t>+91 9920264452</t>
        </is>
      </c>
      <c r="L288" s="19" t="inlineStr">
        <is>
          <t>&lt;calendly_link&gt;</t>
        </is>
      </c>
      <c r="M288" s="19" t="n"/>
      <c r="N288" s="19" t="n"/>
      <c r="O288" s="19">
        <f>IF(OR(M288="Scheduled on call",M288="Booked on their behalf",N288="Scheduled on call",N288="Booked on their behalf"),"SCHEDULED (call)",IF(OR(M288="Not interested/Declined",N288="Not interested/Declined"),"DECLINED",IF(N288="Escalate to AM","ESCALATED TO LEAD",IF(E288="Ram is handling - no action","N/A",IF(M288="","PENDING CALL 1","IN PROGRESS")))))</f>
        <v/>
      </c>
      <c r="P288" s="19">
        <f>IF(OR('Ram - Digital ToDo'!O288="Scheduled",'Ram - Digital ToDo'!Q288="Scheduled"),"Scheduled within SLA (self-serve)",IF(OR(M288="Scheduled on call",M288="Booked on their behalf",N288="Scheduled on call",N288="Booked on their behalf"),"Scheduled within SLA (call)",IF(OR(M288="Not interested/Declined",N288="Not interested/Declined"),"Declined",IF(N288="Escalate to AM","SLA breach - unresolved","In progress"))))</f>
        <v/>
      </c>
      <c r="Q288" s="19" t="n"/>
    </row>
    <row r="289">
      <c r="A289" s="19" t="inlineStr">
        <is>
          <t>REQ-0288</t>
        </is>
      </c>
      <c r="B289" s="20" t="n">
        <v>44867.82708333333</v>
      </c>
      <c r="C289" s="20">
        <f>B289+1</f>
        <v/>
      </c>
      <c r="D289" s="21">
        <f>(C289-NOW())*24</f>
        <v/>
      </c>
      <c r="E289" s="19">
        <f>IF('Ram - Digital ToDo'!Q289="Escalate to call","CALL NOW",IF('Ram - Digital ToDo'!N289="Bad contact","CALL NOW (digital failed)","Ram is handling - no action"))</f>
        <v/>
      </c>
      <c r="F289" s="19">
        <f>IF(E289="Ram is handling - no action","No action needed",IF(M289="","CALL 1: ring candidate, offer to book on call (Playbook C1)",IF(OR(M289="Scheduled on call",M289="Booked on their behalf"),"DONE: scheduled on call",IF(M289="Not interested/Declined","CLOSED: candidate declined (log + tell lead)",IF(N289="","CALL 2: final attempt (Playbook C2)",IF(OR(N289="Scheduled on call",N289="Booked on their behalf"),"DONE: scheduled on call",IF(N289="Escalate to AM","ESCALATED TO LEAD","Review")))))))</f>
        <v/>
      </c>
      <c r="G289" s="20">
        <f>IF(E289="Ram is handling - no action","",IF(M289="",B289+6/24,IF(AND(M289&lt;&gt;"Scheduled on call",M289&lt;&gt;"Booked on their behalf",M289&lt;&gt;"Not interested/Declined",N289=""),B289+20/24,"")))</f>
        <v/>
      </c>
      <c r="H289" s="19" t="inlineStr">
        <is>
          <t>Chetan</t>
        </is>
      </c>
      <c r="I289" s="19" t="inlineStr">
        <is>
          <t>Google</t>
        </is>
      </c>
      <c r="J289" s="19" t="inlineStr">
        <is>
          <t>Round1</t>
        </is>
      </c>
      <c r="K289" s="22" t="inlineStr">
        <is>
          <t>+91 9920264452</t>
        </is>
      </c>
      <c r="L289" s="19" t="inlineStr">
        <is>
          <t>&lt;calendly_link&gt;</t>
        </is>
      </c>
      <c r="M289" s="19" t="n"/>
      <c r="N289" s="19" t="n"/>
      <c r="O289" s="19">
        <f>IF(OR(M289="Scheduled on call",M289="Booked on their behalf",N289="Scheduled on call",N289="Booked on their behalf"),"SCHEDULED (call)",IF(OR(M289="Not interested/Declined",N289="Not interested/Declined"),"DECLINED",IF(N289="Escalate to AM","ESCALATED TO LEAD",IF(E289="Ram is handling - no action","N/A",IF(M289="","PENDING CALL 1","IN PROGRESS")))))</f>
        <v/>
      </c>
      <c r="P289" s="19">
        <f>IF(OR('Ram - Digital ToDo'!O289="Scheduled",'Ram - Digital ToDo'!Q289="Scheduled"),"Scheduled within SLA (self-serve)",IF(OR(M289="Scheduled on call",M289="Booked on their behalf",N289="Scheduled on call",N289="Booked on their behalf"),"Scheduled within SLA (call)",IF(OR(M289="Not interested/Declined",N289="Not interested/Declined"),"Declined",IF(N289="Escalate to AM","SLA breach - unresolved","In progress"))))</f>
        <v/>
      </c>
      <c r="Q289" s="19" t="n"/>
    </row>
    <row r="290">
      <c r="A290" s="19" t="inlineStr">
        <is>
          <t>REQ-0289</t>
        </is>
      </c>
      <c r="B290" s="20" t="n">
        <v>44867.82708333333</v>
      </c>
      <c r="C290" s="20">
        <f>B290+1</f>
        <v/>
      </c>
      <c r="D290" s="21">
        <f>(C290-NOW())*24</f>
        <v/>
      </c>
      <c r="E290" s="19">
        <f>IF('Ram - Digital ToDo'!Q290="Escalate to call","CALL NOW",IF('Ram - Digital ToDo'!N290="Bad contact","CALL NOW (digital failed)","Ram is handling - no action"))</f>
        <v/>
      </c>
      <c r="F290" s="19">
        <f>IF(E290="Ram is handling - no action","No action needed",IF(M290="","CALL 1: ring candidate, offer to book on call (Playbook C1)",IF(OR(M290="Scheduled on call",M290="Booked on their behalf"),"DONE: scheduled on call",IF(M290="Not interested/Declined","CLOSED: candidate declined (log + tell lead)",IF(N290="","CALL 2: final attempt (Playbook C2)",IF(OR(N290="Scheduled on call",N290="Booked on their behalf"),"DONE: scheduled on call",IF(N290="Escalate to AM","ESCALATED TO LEAD","Review")))))))</f>
        <v/>
      </c>
      <c r="G290" s="20">
        <f>IF(E290="Ram is handling - no action","",IF(M290="",B290+6/24,IF(AND(M290&lt;&gt;"Scheduled on call",M290&lt;&gt;"Booked on their behalf",M290&lt;&gt;"Not interested/Declined",N290=""),B290+20/24,"")))</f>
        <v/>
      </c>
      <c r="H290" s="19" t="inlineStr">
        <is>
          <t>Chetan</t>
        </is>
      </c>
      <c r="I290" s="19" t="inlineStr">
        <is>
          <t>Google</t>
        </is>
      </c>
      <c r="J290" s="19" t="inlineStr">
        <is>
          <t>Round1</t>
        </is>
      </c>
      <c r="K290" s="22" t="inlineStr">
        <is>
          <t>+91 9920264452</t>
        </is>
      </c>
      <c r="L290" s="19" t="inlineStr">
        <is>
          <t>&lt;calendly_link&gt;</t>
        </is>
      </c>
      <c r="M290" s="19" t="n"/>
      <c r="N290" s="19" t="n"/>
      <c r="O290" s="19">
        <f>IF(OR(M290="Scheduled on call",M290="Booked on their behalf",N290="Scheduled on call",N290="Booked on their behalf"),"SCHEDULED (call)",IF(OR(M290="Not interested/Declined",N290="Not interested/Declined"),"DECLINED",IF(N290="Escalate to AM","ESCALATED TO LEAD",IF(E290="Ram is handling - no action","N/A",IF(M290="","PENDING CALL 1","IN PROGRESS")))))</f>
        <v/>
      </c>
      <c r="P290" s="19">
        <f>IF(OR('Ram - Digital ToDo'!O290="Scheduled",'Ram - Digital ToDo'!Q290="Scheduled"),"Scheduled within SLA (self-serve)",IF(OR(M290="Scheduled on call",M290="Booked on their behalf",N290="Scheduled on call",N290="Booked on their behalf"),"Scheduled within SLA (call)",IF(OR(M290="Not interested/Declined",N290="Not interested/Declined"),"Declined",IF(N290="Escalate to AM","SLA breach - unresolved","In progress"))))</f>
        <v/>
      </c>
      <c r="Q290" s="19" t="n"/>
    </row>
    <row r="291">
      <c r="A291" s="19" t="inlineStr">
        <is>
          <t>REQ-0290</t>
        </is>
      </c>
      <c r="B291" s="20" t="n">
        <v>44867.82708333333</v>
      </c>
      <c r="C291" s="20">
        <f>B291+1</f>
        <v/>
      </c>
      <c r="D291" s="21">
        <f>(C291-NOW())*24</f>
        <v/>
      </c>
      <c r="E291" s="19">
        <f>IF('Ram - Digital ToDo'!Q291="Escalate to call","CALL NOW",IF('Ram - Digital ToDo'!N291="Bad contact","CALL NOW (digital failed)","Ram is handling - no action"))</f>
        <v/>
      </c>
      <c r="F291" s="19">
        <f>IF(E291="Ram is handling - no action","No action needed",IF(M291="","CALL 1: ring candidate, offer to book on call (Playbook C1)",IF(OR(M291="Scheduled on call",M291="Booked on their behalf"),"DONE: scheduled on call",IF(M291="Not interested/Declined","CLOSED: candidate declined (log + tell lead)",IF(N291="","CALL 2: final attempt (Playbook C2)",IF(OR(N291="Scheduled on call",N291="Booked on their behalf"),"DONE: scheduled on call",IF(N291="Escalate to AM","ESCALATED TO LEAD","Review")))))))</f>
        <v/>
      </c>
      <c r="G291" s="20">
        <f>IF(E291="Ram is handling - no action","",IF(M291="",B291+6/24,IF(AND(M291&lt;&gt;"Scheduled on call",M291&lt;&gt;"Booked on their behalf",M291&lt;&gt;"Not interested/Declined",N291=""),B291+20/24,"")))</f>
        <v/>
      </c>
      <c r="H291" s="19" t="inlineStr">
        <is>
          <t>Chetan</t>
        </is>
      </c>
      <c r="I291" s="19" t="inlineStr">
        <is>
          <t>Google</t>
        </is>
      </c>
      <c r="J291" s="19" t="inlineStr">
        <is>
          <t>Round1</t>
        </is>
      </c>
      <c r="K291" s="22" t="inlineStr">
        <is>
          <t>+91 9920264452</t>
        </is>
      </c>
      <c r="L291" s="19" t="inlineStr">
        <is>
          <t>&lt;calendly_link&gt;</t>
        </is>
      </c>
      <c r="M291" s="19" t="n"/>
      <c r="N291" s="19" t="n"/>
      <c r="O291" s="19">
        <f>IF(OR(M291="Scheduled on call",M291="Booked on their behalf",N291="Scheduled on call",N291="Booked on their behalf"),"SCHEDULED (call)",IF(OR(M291="Not interested/Declined",N291="Not interested/Declined"),"DECLINED",IF(N291="Escalate to AM","ESCALATED TO LEAD",IF(E291="Ram is handling - no action","N/A",IF(M291="","PENDING CALL 1","IN PROGRESS")))))</f>
        <v/>
      </c>
      <c r="P291" s="19">
        <f>IF(OR('Ram - Digital ToDo'!O291="Scheduled",'Ram - Digital ToDo'!Q291="Scheduled"),"Scheduled within SLA (self-serve)",IF(OR(M291="Scheduled on call",M291="Booked on their behalf",N291="Scheduled on call",N291="Booked on their behalf"),"Scheduled within SLA (call)",IF(OR(M291="Not interested/Declined",N291="Not interested/Declined"),"Declined",IF(N291="Escalate to AM","SLA breach - unresolved","In progress"))))</f>
        <v/>
      </c>
      <c r="Q291" s="19" t="n"/>
    </row>
    <row r="292">
      <c r="A292" s="19" t="inlineStr">
        <is>
          <t>REQ-0291</t>
        </is>
      </c>
      <c r="B292" s="20" t="n">
        <v>44867.82708333333</v>
      </c>
      <c r="C292" s="20">
        <f>B292+1</f>
        <v/>
      </c>
      <c r="D292" s="21">
        <f>(C292-NOW())*24</f>
        <v/>
      </c>
      <c r="E292" s="19">
        <f>IF('Ram - Digital ToDo'!Q292="Escalate to call","CALL NOW",IF('Ram - Digital ToDo'!N292="Bad contact","CALL NOW (digital failed)","Ram is handling - no action"))</f>
        <v/>
      </c>
      <c r="F292" s="19">
        <f>IF(E292="Ram is handling - no action","No action needed",IF(M292="","CALL 1: ring candidate, offer to book on call (Playbook C1)",IF(OR(M292="Scheduled on call",M292="Booked on their behalf"),"DONE: scheduled on call",IF(M292="Not interested/Declined","CLOSED: candidate declined (log + tell lead)",IF(N292="","CALL 2: final attempt (Playbook C2)",IF(OR(N292="Scheduled on call",N292="Booked on their behalf"),"DONE: scheduled on call",IF(N292="Escalate to AM","ESCALATED TO LEAD","Review")))))))</f>
        <v/>
      </c>
      <c r="G292" s="20">
        <f>IF(E292="Ram is handling - no action","",IF(M292="",B292+6/24,IF(AND(M292&lt;&gt;"Scheduled on call",M292&lt;&gt;"Booked on their behalf",M292&lt;&gt;"Not interested/Declined",N292=""),B292+20/24,"")))</f>
        <v/>
      </c>
      <c r="H292" s="19" t="inlineStr">
        <is>
          <t>Chetan</t>
        </is>
      </c>
      <c r="I292" s="19" t="inlineStr">
        <is>
          <t>Google</t>
        </is>
      </c>
      <c r="J292" s="19" t="inlineStr">
        <is>
          <t>Round1</t>
        </is>
      </c>
      <c r="K292" s="22" t="inlineStr">
        <is>
          <t>+91 9920264452</t>
        </is>
      </c>
      <c r="L292" s="19" t="inlineStr">
        <is>
          <t>&lt;calendly_link&gt;</t>
        </is>
      </c>
      <c r="M292" s="19" t="n"/>
      <c r="N292" s="19" t="n"/>
      <c r="O292" s="19">
        <f>IF(OR(M292="Scheduled on call",M292="Booked on their behalf",N292="Scheduled on call",N292="Booked on their behalf"),"SCHEDULED (call)",IF(OR(M292="Not interested/Declined",N292="Not interested/Declined"),"DECLINED",IF(N292="Escalate to AM","ESCALATED TO LEAD",IF(E292="Ram is handling - no action","N/A",IF(M292="","PENDING CALL 1","IN PROGRESS")))))</f>
        <v/>
      </c>
      <c r="P292" s="19">
        <f>IF(OR('Ram - Digital ToDo'!O292="Scheduled",'Ram - Digital ToDo'!Q292="Scheduled"),"Scheduled within SLA (self-serve)",IF(OR(M292="Scheduled on call",M292="Booked on their behalf",N292="Scheduled on call",N292="Booked on their behalf"),"Scheduled within SLA (call)",IF(OR(M292="Not interested/Declined",N292="Not interested/Declined"),"Declined",IF(N292="Escalate to AM","SLA breach - unresolved","In progress"))))</f>
        <v/>
      </c>
      <c r="Q292" s="19" t="n"/>
    </row>
    <row r="293">
      <c r="A293" s="19" t="inlineStr">
        <is>
          <t>REQ-0292</t>
        </is>
      </c>
      <c r="B293" s="20" t="n">
        <v>44867.82708333333</v>
      </c>
      <c r="C293" s="20">
        <f>B293+1</f>
        <v/>
      </c>
      <c r="D293" s="21">
        <f>(C293-NOW())*24</f>
        <v/>
      </c>
      <c r="E293" s="19">
        <f>IF('Ram - Digital ToDo'!Q293="Escalate to call","CALL NOW",IF('Ram - Digital ToDo'!N293="Bad contact","CALL NOW (digital failed)","Ram is handling - no action"))</f>
        <v/>
      </c>
      <c r="F293" s="19">
        <f>IF(E293="Ram is handling - no action","No action needed",IF(M293="","CALL 1: ring candidate, offer to book on call (Playbook C1)",IF(OR(M293="Scheduled on call",M293="Booked on their behalf"),"DONE: scheduled on call",IF(M293="Not interested/Declined","CLOSED: candidate declined (log + tell lead)",IF(N293="","CALL 2: final attempt (Playbook C2)",IF(OR(N293="Scheduled on call",N293="Booked on their behalf"),"DONE: scheduled on call",IF(N293="Escalate to AM","ESCALATED TO LEAD","Review")))))))</f>
        <v/>
      </c>
      <c r="G293" s="20">
        <f>IF(E293="Ram is handling - no action","",IF(M293="",B293+6/24,IF(AND(M293&lt;&gt;"Scheduled on call",M293&lt;&gt;"Booked on their behalf",M293&lt;&gt;"Not interested/Declined",N293=""),B293+20/24,"")))</f>
        <v/>
      </c>
      <c r="H293" s="19" t="inlineStr">
        <is>
          <t>Chetan</t>
        </is>
      </c>
      <c r="I293" s="19" t="inlineStr">
        <is>
          <t>Google</t>
        </is>
      </c>
      <c r="J293" s="19" t="inlineStr">
        <is>
          <t>Round1</t>
        </is>
      </c>
      <c r="K293" s="22" t="inlineStr">
        <is>
          <t>+91 9920264452</t>
        </is>
      </c>
      <c r="L293" s="19" t="inlineStr">
        <is>
          <t>&lt;calendly_link&gt;</t>
        </is>
      </c>
      <c r="M293" s="19" t="n"/>
      <c r="N293" s="19" t="n"/>
      <c r="O293" s="19">
        <f>IF(OR(M293="Scheduled on call",M293="Booked on their behalf",N293="Scheduled on call",N293="Booked on their behalf"),"SCHEDULED (call)",IF(OR(M293="Not interested/Declined",N293="Not interested/Declined"),"DECLINED",IF(N293="Escalate to AM","ESCALATED TO LEAD",IF(E293="Ram is handling - no action","N/A",IF(M293="","PENDING CALL 1","IN PROGRESS")))))</f>
        <v/>
      </c>
      <c r="P293" s="19">
        <f>IF(OR('Ram - Digital ToDo'!O293="Scheduled",'Ram - Digital ToDo'!Q293="Scheduled"),"Scheduled within SLA (self-serve)",IF(OR(M293="Scheduled on call",M293="Booked on their behalf",N293="Scheduled on call",N293="Booked on their behalf"),"Scheduled within SLA (call)",IF(OR(M293="Not interested/Declined",N293="Not interested/Declined"),"Declined",IF(N293="Escalate to AM","SLA breach - unresolved","In progress"))))</f>
        <v/>
      </c>
      <c r="Q293" s="19" t="n"/>
    </row>
    <row r="294">
      <c r="A294" s="19" t="inlineStr">
        <is>
          <t>REQ-0293</t>
        </is>
      </c>
      <c r="B294" s="20" t="n">
        <v>44867.82708333333</v>
      </c>
      <c r="C294" s="20">
        <f>B294+1</f>
        <v/>
      </c>
      <c r="D294" s="21">
        <f>(C294-NOW())*24</f>
        <v/>
      </c>
      <c r="E294" s="19">
        <f>IF('Ram - Digital ToDo'!Q294="Escalate to call","CALL NOW",IF('Ram - Digital ToDo'!N294="Bad contact","CALL NOW (digital failed)","Ram is handling - no action"))</f>
        <v/>
      </c>
      <c r="F294" s="19">
        <f>IF(E294="Ram is handling - no action","No action needed",IF(M294="","CALL 1: ring candidate, offer to book on call (Playbook C1)",IF(OR(M294="Scheduled on call",M294="Booked on their behalf"),"DONE: scheduled on call",IF(M294="Not interested/Declined","CLOSED: candidate declined (log + tell lead)",IF(N294="","CALL 2: final attempt (Playbook C2)",IF(OR(N294="Scheduled on call",N294="Booked on their behalf"),"DONE: scheduled on call",IF(N294="Escalate to AM","ESCALATED TO LEAD","Review")))))))</f>
        <v/>
      </c>
      <c r="G294" s="20">
        <f>IF(E294="Ram is handling - no action","",IF(M294="",B294+6/24,IF(AND(M294&lt;&gt;"Scheduled on call",M294&lt;&gt;"Booked on their behalf",M294&lt;&gt;"Not interested/Declined",N294=""),B294+20/24,"")))</f>
        <v/>
      </c>
      <c r="H294" s="19" t="inlineStr">
        <is>
          <t>Chetan</t>
        </is>
      </c>
      <c r="I294" s="19" t="inlineStr">
        <is>
          <t>Google</t>
        </is>
      </c>
      <c r="J294" s="19" t="inlineStr">
        <is>
          <t>Round1</t>
        </is>
      </c>
      <c r="K294" s="22" t="inlineStr">
        <is>
          <t>+91 9920264452</t>
        </is>
      </c>
      <c r="L294" s="19" t="inlineStr">
        <is>
          <t>&lt;calendly_link&gt;</t>
        </is>
      </c>
      <c r="M294" s="19" t="n"/>
      <c r="N294" s="19" t="n"/>
      <c r="O294" s="19">
        <f>IF(OR(M294="Scheduled on call",M294="Booked on their behalf",N294="Scheduled on call",N294="Booked on their behalf"),"SCHEDULED (call)",IF(OR(M294="Not interested/Declined",N294="Not interested/Declined"),"DECLINED",IF(N294="Escalate to AM","ESCALATED TO LEAD",IF(E294="Ram is handling - no action","N/A",IF(M294="","PENDING CALL 1","IN PROGRESS")))))</f>
        <v/>
      </c>
      <c r="P294" s="19">
        <f>IF(OR('Ram - Digital ToDo'!O294="Scheduled",'Ram - Digital ToDo'!Q294="Scheduled"),"Scheduled within SLA (self-serve)",IF(OR(M294="Scheduled on call",M294="Booked on their behalf",N294="Scheduled on call",N294="Booked on their behalf"),"Scheduled within SLA (call)",IF(OR(M294="Not interested/Declined",N294="Not interested/Declined"),"Declined",IF(N294="Escalate to AM","SLA breach - unresolved","In progress"))))</f>
        <v/>
      </c>
      <c r="Q294" s="19" t="n"/>
    </row>
    <row r="295">
      <c r="A295" s="19" t="inlineStr">
        <is>
          <t>REQ-0294</t>
        </is>
      </c>
      <c r="B295" s="20" t="n">
        <v>44867.82708333333</v>
      </c>
      <c r="C295" s="20">
        <f>B295+1</f>
        <v/>
      </c>
      <c r="D295" s="21">
        <f>(C295-NOW())*24</f>
        <v/>
      </c>
      <c r="E295" s="19">
        <f>IF('Ram - Digital ToDo'!Q295="Escalate to call","CALL NOW",IF('Ram - Digital ToDo'!N295="Bad contact","CALL NOW (digital failed)","Ram is handling - no action"))</f>
        <v/>
      </c>
      <c r="F295" s="19">
        <f>IF(E295="Ram is handling - no action","No action needed",IF(M295="","CALL 1: ring candidate, offer to book on call (Playbook C1)",IF(OR(M295="Scheduled on call",M295="Booked on their behalf"),"DONE: scheduled on call",IF(M295="Not interested/Declined","CLOSED: candidate declined (log + tell lead)",IF(N295="","CALL 2: final attempt (Playbook C2)",IF(OR(N295="Scheduled on call",N295="Booked on their behalf"),"DONE: scheduled on call",IF(N295="Escalate to AM","ESCALATED TO LEAD","Review")))))))</f>
        <v/>
      </c>
      <c r="G295" s="20">
        <f>IF(E295="Ram is handling - no action","",IF(M295="",B295+6/24,IF(AND(M295&lt;&gt;"Scheduled on call",M295&lt;&gt;"Booked on their behalf",M295&lt;&gt;"Not interested/Declined",N295=""),B295+20/24,"")))</f>
        <v/>
      </c>
      <c r="H295" s="19" t="inlineStr">
        <is>
          <t>Chetan</t>
        </is>
      </c>
      <c r="I295" s="19" t="inlineStr">
        <is>
          <t>Google</t>
        </is>
      </c>
      <c r="J295" s="19" t="inlineStr">
        <is>
          <t>Round1</t>
        </is>
      </c>
      <c r="K295" s="22" t="inlineStr">
        <is>
          <t>+91 9920264452</t>
        </is>
      </c>
      <c r="L295" s="19" t="inlineStr">
        <is>
          <t>&lt;calendly_link&gt;</t>
        </is>
      </c>
      <c r="M295" s="19" t="n"/>
      <c r="N295" s="19" t="n"/>
      <c r="O295" s="19">
        <f>IF(OR(M295="Scheduled on call",M295="Booked on their behalf",N295="Scheduled on call",N295="Booked on their behalf"),"SCHEDULED (call)",IF(OR(M295="Not interested/Declined",N295="Not interested/Declined"),"DECLINED",IF(N295="Escalate to AM","ESCALATED TO LEAD",IF(E295="Ram is handling - no action","N/A",IF(M295="","PENDING CALL 1","IN PROGRESS")))))</f>
        <v/>
      </c>
      <c r="P295" s="19">
        <f>IF(OR('Ram - Digital ToDo'!O295="Scheduled",'Ram - Digital ToDo'!Q295="Scheduled"),"Scheduled within SLA (self-serve)",IF(OR(M295="Scheduled on call",M295="Booked on their behalf",N295="Scheduled on call",N295="Booked on their behalf"),"Scheduled within SLA (call)",IF(OR(M295="Not interested/Declined",N295="Not interested/Declined"),"Declined",IF(N295="Escalate to AM","SLA breach - unresolved","In progress"))))</f>
        <v/>
      </c>
      <c r="Q295" s="19" t="n"/>
    </row>
    <row r="296">
      <c r="A296" s="19" t="inlineStr">
        <is>
          <t>REQ-0295</t>
        </is>
      </c>
      <c r="B296" s="20" t="n">
        <v>44867.82708333333</v>
      </c>
      <c r="C296" s="20">
        <f>B296+1</f>
        <v/>
      </c>
      <c r="D296" s="21">
        <f>(C296-NOW())*24</f>
        <v/>
      </c>
      <c r="E296" s="19">
        <f>IF('Ram - Digital ToDo'!Q296="Escalate to call","CALL NOW",IF('Ram - Digital ToDo'!N296="Bad contact","CALL NOW (digital failed)","Ram is handling - no action"))</f>
        <v/>
      </c>
      <c r="F296" s="19">
        <f>IF(E296="Ram is handling - no action","No action needed",IF(M296="","CALL 1: ring candidate, offer to book on call (Playbook C1)",IF(OR(M296="Scheduled on call",M296="Booked on their behalf"),"DONE: scheduled on call",IF(M296="Not interested/Declined","CLOSED: candidate declined (log + tell lead)",IF(N296="","CALL 2: final attempt (Playbook C2)",IF(OR(N296="Scheduled on call",N296="Booked on their behalf"),"DONE: scheduled on call",IF(N296="Escalate to AM","ESCALATED TO LEAD","Review")))))))</f>
        <v/>
      </c>
      <c r="G296" s="20">
        <f>IF(E296="Ram is handling - no action","",IF(M296="",B296+6/24,IF(AND(M296&lt;&gt;"Scheduled on call",M296&lt;&gt;"Booked on their behalf",M296&lt;&gt;"Not interested/Declined",N296=""),B296+20/24,"")))</f>
        <v/>
      </c>
      <c r="H296" s="19" t="inlineStr">
        <is>
          <t>Chetan</t>
        </is>
      </c>
      <c r="I296" s="19" t="inlineStr">
        <is>
          <t>Google</t>
        </is>
      </c>
      <c r="J296" s="19" t="inlineStr">
        <is>
          <t>Round1</t>
        </is>
      </c>
      <c r="K296" s="22" t="inlineStr">
        <is>
          <t>+91 9920264452</t>
        </is>
      </c>
      <c r="L296" s="19" t="inlineStr">
        <is>
          <t>&lt;calendly_link&gt;</t>
        </is>
      </c>
      <c r="M296" s="19" t="n"/>
      <c r="N296" s="19" t="n"/>
      <c r="O296" s="19">
        <f>IF(OR(M296="Scheduled on call",M296="Booked on their behalf",N296="Scheduled on call",N296="Booked on their behalf"),"SCHEDULED (call)",IF(OR(M296="Not interested/Declined",N296="Not interested/Declined"),"DECLINED",IF(N296="Escalate to AM","ESCALATED TO LEAD",IF(E296="Ram is handling - no action","N/A",IF(M296="","PENDING CALL 1","IN PROGRESS")))))</f>
        <v/>
      </c>
      <c r="P296" s="19">
        <f>IF(OR('Ram - Digital ToDo'!O296="Scheduled",'Ram - Digital ToDo'!Q296="Scheduled"),"Scheduled within SLA (self-serve)",IF(OR(M296="Scheduled on call",M296="Booked on their behalf",N296="Scheduled on call",N296="Booked on their behalf"),"Scheduled within SLA (call)",IF(OR(M296="Not interested/Declined",N296="Not interested/Declined"),"Declined",IF(N296="Escalate to AM","SLA breach - unresolved","In progress"))))</f>
        <v/>
      </c>
      <c r="Q296" s="19" t="n"/>
    </row>
    <row r="297">
      <c r="A297" s="19" t="inlineStr">
        <is>
          <t>REQ-0296</t>
        </is>
      </c>
      <c r="B297" s="20" t="n">
        <v>44867.82708333333</v>
      </c>
      <c r="C297" s="20">
        <f>B297+1</f>
        <v/>
      </c>
      <c r="D297" s="21">
        <f>(C297-NOW())*24</f>
        <v/>
      </c>
      <c r="E297" s="19">
        <f>IF('Ram - Digital ToDo'!Q297="Escalate to call","CALL NOW",IF('Ram - Digital ToDo'!N297="Bad contact","CALL NOW (digital failed)","Ram is handling - no action"))</f>
        <v/>
      </c>
      <c r="F297" s="19">
        <f>IF(E297="Ram is handling - no action","No action needed",IF(M297="","CALL 1: ring candidate, offer to book on call (Playbook C1)",IF(OR(M297="Scheduled on call",M297="Booked on their behalf"),"DONE: scheduled on call",IF(M297="Not interested/Declined","CLOSED: candidate declined (log + tell lead)",IF(N297="","CALL 2: final attempt (Playbook C2)",IF(OR(N297="Scheduled on call",N297="Booked on their behalf"),"DONE: scheduled on call",IF(N297="Escalate to AM","ESCALATED TO LEAD","Review")))))))</f>
        <v/>
      </c>
      <c r="G297" s="20">
        <f>IF(E297="Ram is handling - no action","",IF(M297="",B297+6/24,IF(AND(M297&lt;&gt;"Scheduled on call",M297&lt;&gt;"Booked on their behalf",M297&lt;&gt;"Not interested/Declined",N297=""),B297+20/24,"")))</f>
        <v/>
      </c>
      <c r="H297" s="19" t="inlineStr">
        <is>
          <t>Chetan</t>
        </is>
      </c>
      <c r="I297" s="19" t="inlineStr">
        <is>
          <t>Google</t>
        </is>
      </c>
      <c r="J297" s="19" t="inlineStr">
        <is>
          <t>Round1</t>
        </is>
      </c>
      <c r="K297" s="22" t="inlineStr">
        <is>
          <t>+91 9920264452</t>
        </is>
      </c>
      <c r="L297" s="19" t="inlineStr">
        <is>
          <t>&lt;calendly_link&gt;</t>
        </is>
      </c>
      <c r="M297" s="19" t="n"/>
      <c r="N297" s="19" t="n"/>
      <c r="O297" s="19">
        <f>IF(OR(M297="Scheduled on call",M297="Booked on their behalf",N297="Scheduled on call",N297="Booked on their behalf"),"SCHEDULED (call)",IF(OR(M297="Not interested/Declined",N297="Not interested/Declined"),"DECLINED",IF(N297="Escalate to AM","ESCALATED TO LEAD",IF(E297="Ram is handling - no action","N/A",IF(M297="","PENDING CALL 1","IN PROGRESS")))))</f>
        <v/>
      </c>
      <c r="P297" s="19">
        <f>IF(OR('Ram - Digital ToDo'!O297="Scheduled",'Ram - Digital ToDo'!Q297="Scheduled"),"Scheduled within SLA (self-serve)",IF(OR(M297="Scheduled on call",M297="Booked on their behalf",N297="Scheduled on call",N297="Booked on their behalf"),"Scheduled within SLA (call)",IF(OR(M297="Not interested/Declined",N297="Not interested/Declined"),"Declined",IF(N297="Escalate to AM","SLA breach - unresolved","In progress"))))</f>
        <v/>
      </c>
      <c r="Q297" s="19" t="n"/>
    </row>
    <row r="298">
      <c r="A298" s="19" t="inlineStr">
        <is>
          <t>REQ-0297</t>
        </is>
      </c>
      <c r="B298" s="20" t="n">
        <v>44867.82708333333</v>
      </c>
      <c r="C298" s="20">
        <f>B298+1</f>
        <v/>
      </c>
      <c r="D298" s="21">
        <f>(C298-NOW())*24</f>
        <v/>
      </c>
      <c r="E298" s="19">
        <f>IF('Ram - Digital ToDo'!Q298="Escalate to call","CALL NOW",IF('Ram - Digital ToDo'!N298="Bad contact","CALL NOW (digital failed)","Ram is handling - no action"))</f>
        <v/>
      </c>
      <c r="F298" s="19">
        <f>IF(E298="Ram is handling - no action","No action needed",IF(M298="","CALL 1: ring candidate, offer to book on call (Playbook C1)",IF(OR(M298="Scheduled on call",M298="Booked on their behalf"),"DONE: scheduled on call",IF(M298="Not interested/Declined","CLOSED: candidate declined (log + tell lead)",IF(N298="","CALL 2: final attempt (Playbook C2)",IF(OR(N298="Scheduled on call",N298="Booked on their behalf"),"DONE: scheduled on call",IF(N298="Escalate to AM","ESCALATED TO LEAD","Review")))))))</f>
        <v/>
      </c>
      <c r="G298" s="20">
        <f>IF(E298="Ram is handling - no action","",IF(M298="",B298+6/24,IF(AND(M298&lt;&gt;"Scheduled on call",M298&lt;&gt;"Booked on their behalf",M298&lt;&gt;"Not interested/Declined",N298=""),B298+20/24,"")))</f>
        <v/>
      </c>
      <c r="H298" s="19" t="inlineStr">
        <is>
          <t>Chetan</t>
        </is>
      </c>
      <c r="I298" s="19" t="inlineStr">
        <is>
          <t>Google</t>
        </is>
      </c>
      <c r="J298" s="19" t="inlineStr">
        <is>
          <t>Round1</t>
        </is>
      </c>
      <c r="K298" s="22" t="inlineStr">
        <is>
          <t>+91 9920264452</t>
        </is>
      </c>
      <c r="L298" s="19" t="inlineStr">
        <is>
          <t>&lt;calendly_link&gt;</t>
        </is>
      </c>
      <c r="M298" s="19" t="n"/>
      <c r="N298" s="19" t="n"/>
      <c r="O298" s="19">
        <f>IF(OR(M298="Scheduled on call",M298="Booked on their behalf",N298="Scheduled on call",N298="Booked on their behalf"),"SCHEDULED (call)",IF(OR(M298="Not interested/Declined",N298="Not interested/Declined"),"DECLINED",IF(N298="Escalate to AM","ESCALATED TO LEAD",IF(E298="Ram is handling - no action","N/A",IF(M298="","PENDING CALL 1","IN PROGRESS")))))</f>
        <v/>
      </c>
      <c r="P298" s="19">
        <f>IF(OR('Ram - Digital ToDo'!O298="Scheduled",'Ram - Digital ToDo'!Q298="Scheduled"),"Scheduled within SLA (self-serve)",IF(OR(M298="Scheduled on call",M298="Booked on their behalf",N298="Scheduled on call",N298="Booked on their behalf"),"Scheduled within SLA (call)",IF(OR(M298="Not interested/Declined",N298="Not interested/Declined"),"Declined",IF(N298="Escalate to AM","SLA breach - unresolved","In progress"))))</f>
        <v/>
      </c>
      <c r="Q298" s="19" t="n"/>
    </row>
    <row r="299">
      <c r="A299" s="19" t="inlineStr">
        <is>
          <t>REQ-0298</t>
        </is>
      </c>
      <c r="B299" s="20" t="n">
        <v>44867.82708333333</v>
      </c>
      <c r="C299" s="20">
        <f>B299+1</f>
        <v/>
      </c>
      <c r="D299" s="21">
        <f>(C299-NOW())*24</f>
        <v/>
      </c>
      <c r="E299" s="19">
        <f>IF('Ram - Digital ToDo'!Q299="Escalate to call","CALL NOW",IF('Ram - Digital ToDo'!N299="Bad contact","CALL NOW (digital failed)","Ram is handling - no action"))</f>
        <v/>
      </c>
      <c r="F299" s="19">
        <f>IF(E299="Ram is handling - no action","No action needed",IF(M299="","CALL 1: ring candidate, offer to book on call (Playbook C1)",IF(OR(M299="Scheduled on call",M299="Booked on their behalf"),"DONE: scheduled on call",IF(M299="Not interested/Declined","CLOSED: candidate declined (log + tell lead)",IF(N299="","CALL 2: final attempt (Playbook C2)",IF(OR(N299="Scheduled on call",N299="Booked on their behalf"),"DONE: scheduled on call",IF(N299="Escalate to AM","ESCALATED TO LEAD","Review")))))))</f>
        <v/>
      </c>
      <c r="G299" s="20">
        <f>IF(E299="Ram is handling - no action","",IF(M299="",B299+6/24,IF(AND(M299&lt;&gt;"Scheduled on call",M299&lt;&gt;"Booked on their behalf",M299&lt;&gt;"Not interested/Declined",N299=""),B299+20/24,"")))</f>
        <v/>
      </c>
      <c r="H299" s="19" t="inlineStr">
        <is>
          <t>Chetan</t>
        </is>
      </c>
      <c r="I299" s="19" t="inlineStr">
        <is>
          <t>Google</t>
        </is>
      </c>
      <c r="J299" s="19" t="inlineStr">
        <is>
          <t>Round1</t>
        </is>
      </c>
      <c r="K299" s="22" t="inlineStr">
        <is>
          <t>+91 9920264452</t>
        </is>
      </c>
      <c r="L299" s="19" t="inlineStr">
        <is>
          <t>&lt;calendly_link&gt;</t>
        </is>
      </c>
      <c r="M299" s="19" t="n"/>
      <c r="N299" s="19" t="n"/>
      <c r="O299" s="19">
        <f>IF(OR(M299="Scheduled on call",M299="Booked on their behalf",N299="Scheduled on call",N299="Booked on their behalf"),"SCHEDULED (call)",IF(OR(M299="Not interested/Declined",N299="Not interested/Declined"),"DECLINED",IF(N299="Escalate to AM","ESCALATED TO LEAD",IF(E299="Ram is handling - no action","N/A",IF(M299="","PENDING CALL 1","IN PROGRESS")))))</f>
        <v/>
      </c>
      <c r="P299" s="19">
        <f>IF(OR('Ram - Digital ToDo'!O299="Scheduled",'Ram - Digital ToDo'!Q299="Scheduled"),"Scheduled within SLA (self-serve)",IF(OR(M299="Scheduled on call",M299="Booked on their behalf",N299="Scheduled on call",N299="Booked on their behalf"),"Scheduled within SLA (call)",IF(OR(M299="Not interested/Declined",N299="Not interested/Declined"),"Declined",IF(N299="Escalate to AM","SLA breach - unresolved","In progress"))))</f>
        <v/>
      </c>
      <c r="Q299" s="19" t="n"/>
    </row>
    <row r="300">
      <c r="A300" s="19" t="inlineStr">
        <is>
          <t>REQ-0299</t>
        </is>
      </c>
      <c r="B300" s="20" t="n">
        <v>44867.82708333333</v>
      </c>
      <c r="C300" s="20">
        <f>B300+1</f>
        <v/>
      </c>
      <c r="D300" s="21">
        <f>(C300-NOW())*24</f>
        <v/>
      </c>
      <c r="E300" s="19">
        <f>IF('Ram - Digital ToDo'!Q300="Escalate to call","CALL NOW",IF('Ram - Digital ToDo'!N300="Bad contact","CALL NOW (digital failed)","Ram is handling - no action"))</f>
        <v/>
      </c>
      <c r="F300" s="19">
        <f>IF(E300="Ram is handling - no action","No action needed",IF(M300="","CALL 1: ring candidate, offer to book on call (Playbook C1)",IF(OR(M300="Scheduled on call",M300="Booked on their behalf"),"DONE: scheduled on call",IF(M300="Not interested/Declined","CLOSED: candidate declined (log + tell lead)",IF(N300="","CALL 2: final attempt (Playbook C2)",IF(OR(N300="Scheduled on call",N300="Booked on their behalf"),"DONE: scheduled on call",IF(N300="Escalate to AM","ESCALATED TO LEAD","Review")))))))</f>
        <v/>
      </c>
      <c r="G300" s="20">
        <f>IF(E300="Ram is handling - no action","",IF(M300="",B300+6/24,IF(AND(M300&lt;&gt;"Scheduled on call",M300&lt;&gt;"Booked on their behalf",M300&lt;&gt;"Not interested/Declined",N300=""),B300+20/24,"")))</f>
        <v/>
      </c>
      <c r="H300" s="19" t="inlineStr">
        <is>
          <t>Chetan</t>
        </is>
      </c>
      <c r="I300" s="19" t="inlineStr">
        <is>
          <t>Google</t>
        </is>
      </c>
      <c r="J300" s="19" t="inlineStr">
        <is>
          <t>Round1</t>
        </is>
      </c>
      <c r="K300" s="22" t="inlineStr">
        <is>
          <t>+91 9920264452</t>
        </is>
      </c>
      <c r="L300" s="19" t="inlineStr">
        <is>
          <t>&lt;calendly_link&gt;</t>
        </is>
      </c>
      <c r="M300" s="19" t="n"/>
      <c r="N300" s="19" t="n"/>
      <c r="O300" s="19">
        <f>IF(OR(M300="Scheduled on call",M300="Booked on their behalf",N300="Scheduled on call",N300="Booked on their behalf"),"SCHEDULED (call)",IF(OR(M300="Not interested/Declined",N300="Not interested/Declined"),"DECLINED",IF(N300="Escalate to AM","ESCALATED TO LEAD",IF(E300="Ram is handling - no action","N/A",IF(M300="","PENDING CALL 1","IN PROGRESS")))))</f>
        <v/>
      </c>
      <c r="P300" s="19">
        <f>IF(OR('Ram - Digital ToDo'!O300="Scheduled",'Ram - Digital ToDo'!Q300="Scheduled"),"Scheduled within SLA (self-serve)",IF(OR(M300="Scheduled on call",M300="Booked on their behalf",N300="Scheduled on call",N300="Booked on their behalf"),"Scheduled within SLA (call)",IF(OR(M300="Not interested/Declined",N300="Not interested/Declined"),"Declined",IF(N300="Escalate to AM","SLA breach - unresolved","In progress"))))</f>
        <v/>
      </c>
      <c r="Q300" s="19" t="n"/>
    </row>
    <row r="301">
      <c r="A301" s="19" t="inlineStr">
        <is>
          <t>REQ-0300</t>
        </is>
      </c>
      <c r="B301" s="20" t="n">
        <v>44867.82708333333</v>
      </c>
      <c r="C301" s="20">
        <f>B301+1</f>
        <v/>
      </c>
      <c r="D301" s="21">
        <f>(C301-NOW())*24</f>
        <v/>
      </c>
      <c r="E301" s="19">
        <f>IF('Ram - Digital ToDo'!Q301="Escalate to call","CALL NOW",IF('Ram - Digital ToDo'!N301="Bad contact","CALL NOW (digital failed)","Ram is handling - no action"))</f>
        <v/>
      </c>
      <c r="F301" s="19">
        <f>IF(E301="Ram is handling - no action","No action needed",IF(M301="","CALL 1: ring candidate, offer to book on call (Playbook C1)",IF(OR(M301="Scheduled on call",M301="Booked on their behalf"),"DONE: scheduled on call",IF(M301="Not interested/Declined","CLOSED: candidate declined (log + tell lead)",IF(N301="","CALL 2: final attempt (Playbook C2)",IF(OR(N301="Scheduled on call",N301="Booked on their behalf"),"DONE: scheduled on call",IF(N301="Escalate to AM","ESCALATED TO LEAD","Review")))))))</f>
        <v/>
      </c>
      <c r="G301" s="20">
        <f>IF(E301="Ram is handling - no action","",IF(M301="",B301+6/24,IF(AND(M301&lt;&gt;"Scheduled on call",M301&lt;&gt;"Booked on their behalf",M301&lt;&gt;"Not interested/Declined",N301=""),B301+20/24,"")))</f>
        <v/>
      </c>
      <c r="H301" s="19" t="inlineStr">
        <is>
          <t>Chetan</t>
        </is>
      </c>
      <c r="I301" s="19" t="inlineStr">
        <is>
          <t>Google</t>
        </is>
      </c>
      <c r="J301" s="19" t="inlineStr">
        <is>
          <t>Round1</t>
        </is>
      </c>
      <c r="K301" s="22" t="inlineStr">
        <is>
          <t>+91 9920264452</t>
        </is>
      </c>
      <c r="L301" s="19" t="inlineStr">
        <is>
          <t>&lt;calendly_link&gt;</t>
        </is>
      </c>
      <c r="M301" s="19" t="n"/>
      <c r="N301" s="19" t="n"/>
      <c r="O301" s="19">
        <f>IF(OR(M301="Scheduled on call",M301="Booked on their behalf",N301="Scheduled on call",N301="Booked on their behalf"),"SCHEDULED (call)",IF(OR(M301="Not interested/Declined",N301="Not interested/Declined"),"DECLINED",IF(N301="Escalate to AM","ESCALATED TO LEAD",IF(E301="Ram is handling - no action","N/A",IF(M301="","PENDING CALL 1","IN PROGRESS")))))</f>
        <v/>
      </c>
      <c r="P301" s="19">
        <f>IF(OR('Ram - Digital ToDo'!O301="Scheduled",'Ram - Digital ToDo'!Q301="Scheduled"),"Scheduled within SLA (self-serve)",IF(OR(M301="Scheduled on call",M301="Booked on their behalf",N301="Scheduled on call",N301="Booked on their behalf"),"Scheduled within SLA (call)",IF(OR(M301="Not interested/Declined",N301="Not interested/Declined"),"Declined",IF(N301="Escalate to AM","SLA breach - unresolved","In progress"))))</f>
        <v/>
      </c>
      <c r="Q301" s="19" t="n"/>
    </row>
    <row r="302">
      <c r="A302" s="19" t="inlineStr">
        <is>
          <t>REQ-0301</t>
        </is>
      </c>
      <c r="B302" s="20" t="n">
        <v>44867.82708333333</v>
      </c>
      <c r="C302" s="20">
        <f>B302+1</f>
        <v/>
      </c>
      <c r="D302" s="21">
        <f>(C302-NOW())*24</f>
        <v/>
      </c>
      <c r="E302" s="19">
        <f>IF('Ram - Digital ToDo'!Q302="Escalate to call","CALL NOW",IF('Ram - Digital ToDo'!N302="Bad contact","CALL NOW (digital failed)","Ram is handling - no action"))</f>
        <v/>
      </c>
      <c r="F302" s="19">
        <f>IF(E302="Ram is handling - no action","No action needed",IF(M302="","CALL 1: ring candidate, offer to book on call (Playbook C1)",IF(OR(M302="Scheduled on call",M302="Booked on their behalf"),"DONE: scheduled on call",IF(M302="Not interested/Declined","CLOSED: candidate declined (log + tell lead)",IF(N302="","CALL 2: final attempt (Playbook C2)",IF(OR(N302="Scheduled on call",N302="Booked on their behalf"),"DONE: scheduled on call",IF(N302="Escalate to AM","ESCALATED TO LEAD","Review")))))))</f>
        <v/>
      </c>
      <c r="G302" s="20">
        <f>IF(E302="Ram is handling - no action","",IF(M302="",B302+6/24,IF(AND(M302&lt;&gt;"Scheduled on call",M302&lt;&gt;"Booked on their behalf",M302&lt;&gt;"Not interested/Declined",N302=""),B302+20/24,"")))</f>
        <v/>
      </c>
      <c r="H302" s="19" t="inlineStr">
        <is>
          <t>Chetan</t>
        </is>
      </c>
      <c r="I302" s="19" t="inlineStr">
        <is>
          <t>Google</t>
        </is>
      </c>
      <c r="J302" s="19" t="inlineStr">
        <is>
          <t>Round1</t>
        </is>
      </c>
      <c r="K302" s="22" t="inlineStr">
        <is>
          <t>+91 9920264452</t>
        </is>
      </c>
      <c r="L302" s="19" t="inlineStr">
        <is>
          <t>&lt;calendly_link&gt;</t>
        </is>
      </c>
      <c r="M302" s="19" t="n"/>
      <c r="N302" s="19" t="n"/>
      <c r="O302" s="19">
        <f>IF(OR(M302="Scheduled on call",M302="Booked on their behalf",N302="Scheduled on call",N302="Booked on their behalf"),"SCHEDULED (call)",IF(OR(M302="Not interested/Declined",N302="Not interested/Declined"),"DECLINED",IF(N302="Escalate to AM","ESCALATED TO LEAD",IF(E302="Ram is handling - no action","N/A",IF(M302="","PENDING CALL 1","IN PROGRESS")))))</f>
        <v/>
      </c>
      <c r="P302" s="19">
        <f>IF(OR('Ram - Digital ToDo'!O302="Scheduled",'Ram - Digital ToDo'!Q302="Scheduled"),"Scheduled within SLA (self-serve)",IF(OR(M302="Scheduled on call",M302="Booked on their behalf",N302="Scheduled on call",N302="Booked on their behalf"),"Scheduled within SLA (call)",IF(OR(M302="Not interested/Declined",N302="Not interested/Declined"),"Declined",IF(N302="Escalate to AM","SLA breach - unresolved","In progress"))))</f>
        <v/>
      </c>
      <c r="Q302" s="19" t="n"/>
    </row>
    <row r="303">
      <c r="A303" s="19" t="inlineStr">
        <is>
          <t>REQ-0302</t>
        </is>
      </c>
      <c r="B303" s="20" t="n">
        <v>44867.82708333333</v>
      </c>
      <c r="C303" s="20">
        <f>B303+1</f>
        <v/>
      </c>
      <c r="D303" s="21">
        <f>(C303-NOW())*24</f>
        <v/>
      </c>
      <c r="E303" s="19">
        <f>IF('Ram - Digital ToDo'!Q303="Escalate to call","CALL NOW",IF('Ram - Digital ToDo'!N303="Bad contact","CALL NOW (digital failed)","Ram is handling - no action"))</f>
        <v/>
      </c>
      <c r="F303" s="19">
        <f>IF(E303="Ram is handling - no action","No action needed",IF(M303="","CALL 1: ring candidate, offer to book on call (Playbook C1)",IF(OR(M303="Scheduled on call",M303="Booked on their behalf"),"DONE: scheduled on call",IF(M303="Not interested/Declined","CLOSED: candidate declined (log + tell lead)",IF(N303="","CALL 2: final attempt (Playbook C2)",IF(OR(N303="Scheduled on call",N303="Booked on their behalf"),"DONE: scheduled on call",IF(N303="Escalate to AM","ESCALATED TO LEAD","Review")))))))</f>
        <v/>
      </c>
      <c r="G303" s="20">
        <f>IF(E303="Ram is handling - no action","",IF(M303="",B303+6/24,IF(AND(M303&lt;&gt;"Scheduled on call",M303&lt;&gt;"Booked on their behalf",M303&lt;&gt;"Not interested/Declined",N303=""),B303+20/24,"")))</f>
        <v/>
      </c>
      <c r="H303" s="19" t="inlineStr">
        <is>
          <t>Chetan</t>
        </is>
      </c>
      <c r="I303" s="19" t="inlineStr">
        <is>
          <t>Google</t>
        </is>
      </c>
      <c r="J303" s="19" t="inlineStr">
        <is>
          <t>Round1</t>
        </is>
      </c>
      <c r="K303" s="22" t="inlineStr">
        <is>
          <t>+91 9920264452</t>
        </is>
      </c>
      <c r="L303" s="19" t="inlineStr">
        <is>
          <t>&lt;calendly_link&gt;</t>
        </is>
      </c>
      <c r="M303" s="19" t="n"/>
      <c r="N303" s="19" t="n"/>
      <c r="O303" s="19">
        <f>IF(OR(M303="Scheduled on call",M303="Booked on their behalf",N303="Scheduled on call",N303="Booked on their behalf"),"SCHEDULED (call)",IF(OR(M303="Not interested/Declined",N303="Not interested/Declined"),"DECLINED",IF(N303="Escalate to AM","ESCALATED TO LEAD",IF(E303="Ram is handling - no action","N/A",IF(M303="","PENDING CALL 1","IN PROGRESS")))))</f>
        <v/>
      </c>
      <c r="P303" s="19">
        <f>IF(OR('Ram - Digital ToDo'!O303="Scheduled",'Ram - Digital ToDo'!Q303="Scheduled"),"Scheduled within SLA (self-serve)",IF(OR(M303="Scheduled on call",M303="Booked on their behalf",N303="Scheduled on call",N303="Booked on their behalf"),"Scheduled within SLA (call)",IF(OR(M303="Not interested/Declined",N303="Not interested/Declined"),"Declined",IF(N303="Escalate to AM","SLA breach - unresolved","In progress"))))</f>
        <v/>
      </c>
      <c r="Q303" s="19" t="n"/>
    </row>
    <row r="304">
      <c r="A304" s="19" t="inlineStr">
        <is>
          <t>REQ-0303</t>
        </is>
      </c>
      <c r="B304" s="20" t="n">
        <v>44867.82708333333</v>
      </c>
      <c r="C304" s="20">
        <f>B304+1</f>
        <v/>
      </c>
      <c r="D304" s="21">
        <f>(C304-NOW())*24</f>
        <v/>
      </c>
      <c r="E304" s="19">
        <f>IF('Ram - Digital ToDo'!Q304="Escalate to call","CALL NOW",IF('Ram - Digital ToDo'!N304="Bad contact","CALL NOW (digital failed)","Ram is handling - no action"))</f>
        <v/>
      </c>
      <c r="F304" s="19">
        <f>IF(E304="Ram is handling - no action","No action needed",IF(M304="","CALL 1: ring candidate, offer to book on call (Playbook C1)",IF(OR(M304="Scheduled on call",M304="Booked on their behalf"),"DONE: scheduled on call",IF(M304="Not interested/Declined","CLOSED: candidate declined (log + tell lead)",IF(N304="","CALL 2: final attempt (Playbook C2)",IF(OR(N304="Scheduled on call",N304="Booked on their behalf"),"DONE: scheduled on call",IF(N304="Escalate to AM","ESCALATED TO LEAD","Review")))))))</f>
        <v/>
      </c>
      <c r="G304" s="20">
        <f>IF(E304="Ram is handling - no action","",IF(M304="",B304+6/24,IF(AND(M304&lt;&gt;"Scheduled on call",M304&lt;&gt;"Booked on their behalf",M304&lt;&gt;"Not interested/Declined",N304=""),B304+20/24,"")))</f>
        <v/>
      </c>
      <c r="H304" s="19" t="inlineStr">
        <is>
          <t>Chetan</t>
        </is>
      </c>
      <c r="I304" s="19" t="inlineStr">
        <is>
          <t>Google</t>
        </is>
      </c>
      <c r="J304" s="19" t="inlineStr">
        <is>
          <t>Round1</t>
        </is>
      </c>
      <c r="K304" s="22" t="inlineStr">
        <is>
          <t>+91 9920264452</t>
        </is>
      </c>
      <c r="L304" s="19" t="inlineStr">
        <is>
          <t>&lt;calendly_link&gt;</t>
        </is>
      </c>
      <c r="M304" s="19" t="n"/>
      <c r="N304" s="19" t="n"/>
      <c r="O304" s="19">
        <f>IF(OR(M304="Scheduled on call",M304="Booked on their behalf",N304="Scheduled on call",N304="Booked on their behalf"),"SCHEDULED (call)",IF(OR(M304="Not interested/Declined",N304="Not interested/Declined"),"DECLINED",IF(N304="Escalate to AM","ESCALATED TO LEAD",IF(E304="Ram is handling - no action","N/A",IF(M304="","PENDING CALL 1","IN PROGRESS")))))</f>
        <v/>
      </c>
      <c r="P304" s="19">
        <f>IF(OR('Ram - Digital ToDo'!O304="Scheduled",'Ram - Digital ToDo'!Q304="Scheduled"),"Scheduled within SLA (self-serve)",IF(OR(M304="Scheduled on call",M304="Booked on their behalf",N304="Scheduled on call",N304="Booked on their behalf"),"Scheduled within SLA (call)",IF(OR(M304="Not interested/Declined",N304="Not interested/Declined"),"Declined",IF(N304="Escalate to AM","SLA breach - unresolved","In progress"))))</f>
        <v/>
      </c>
      <c r="Q304" s="19" t="n"/>
    </row>
    <row r="305">
      <c r="A305" s="19" t="inlineStr">
        <is>
          <t>REQ-0304</t>
        </is>
      </c>
      <c r="B305" s="20" t="n">
        <v>44867.82708333333</v>
      </c>
      <c r="C305" s="20">
        <f>B305+1</f>
        <v/>
      </c>
      <c r="D305" s="21">
        <f>(C305-NOW())*24</f>
        <v/>
      </c>
      <c r="E305" s="19">
        <f>IF('Ram - Digital ToDo'!Q305="Escalate to call","CALL NOW",IF('Ram - Digital ToDo'!N305="Bad contact","CALL NOW (digital failed)","Ram is handling - no action"))</f>
        <v/>
      </c>
      <c r="F305" s="19">
        <f>IF(E305="Ram is handling - no action","No action needed",IF(M305="","CALL 1: ring candidate, offer to book on call (Playbook C1)",IF(OR(M305="Scheduled on call",M305="Booked on their behalf"),"DONE: scheduled on call",IF(M305="Not interested/Declined","CLOSED: candidate declined (log + tell lead)",IF(N305="","CALL 2: final attempt (Playbook C2)",IF(OR(N305="Scheduled on call",N305="Booked on their behalf"),"DONE: scheduled on call",IF(N305="Escalate to AM","ESCALATED TO LEAD","Review")))))))</f>
        <v/>
      </c>
      <c r="G305" s="20">
        <f>IF(E305="Ram is handling - no action","",IF(M305="",B305+6/24,IF(AND(M305&lt;&gt;"Scheduled on call",M305&lt;&gt;"Booked on their behalf",M305&lt;&gt;"Not interested/Declined",N305=""),B305+20/24,"")))</f>
        <v/>
      </c>
      <c r="H305" s="19" t="inlineStr">
        <is>
          <t>Chetan</t>
        </is>
      </c>
      <c r="I305" s="19" t="inlineStr">
        <is>
          <t>Google</t>
        </is>
      </c>
      <c r="J305" s="19" t="inlineStr">
        <is>
          <t>Round1</t>
        </is>
      </c>
      <c r="K305" s="22" t="inlineStr">
        <is>
          <t>+91 9920264452</t>
        </is>
      </c>
      <c r="L305" s="19" t="inlineStr">
        <is>
          <t>&lt;calendly_link&gt;</t>
        </is>
      </c>
      <c r="M305" s="19" t="n"/>
      <c r="N305" s="19" t="n"/>
      <c r="O305" s="19">
        <f>IF(OR(M305="Scheduled on call",M305="Booked on their behalf",N305="Scheduled on call",N305="Booked on their behalf"),"SCHEDULED (call)",IF(OR(M305="Not interested/Declined",N305="Not interested/Declined"),"DECLINED",IF(N305="Escalate to AM","ESCALATED TO LEAD",IF(E305="Ram is handling - no action","N/A",IF(M305="","PENDING CALL 1","IN PROGRESS")))))</f>
        <v/>
      </c>
      <c r="P305" s="19">
        <f>IF(OR('Ram - Digital ToDo'!O305="Scheduled",'Ram - Digital ToDo'!Q305="Scheduled"),"Scheduled within SLA (self-serve)",IF(OR(M305="Scheduled on call",M305="Booked on their behalf",N305="Scheduled on call",N305="Booked on their behalf"),"Scheduled within SLA (call)",IF(OR(M305="Not interested/Declined",N305="Not interested/Declined"),"Declined",IF(N305="Escalate to AM","SLA breach - unresolved","In progress"))))</f>
        <v/>
      </c>
      <c r="Q305" s="19" t="n"/>
    </row>
    <row r="306">
      <c r="A306" s="19" t="inlineStr">
        <is>
          <t>REQ-0305</t>
        </is>
      </c>
      <c r="B306" s="20" t="n">
        <v>44867.82708333333</v>
      </c>
      <c r="C306" s="20">
        <f>B306+1</f>
        <v/>
      </c>
      <c r="D306" s="21">
        <f>(C306-NOW())*24</f>
        <v/>
      </c>
      <c r="E306" s="19">
        <f>IF('Ram - Digital ToDo'!Q306="Escalate to call","CALL NOW",IF('Ram - Digital ToDo'!N306="Bad contact","CALL NOW (digital failed)","Ram is handling - no action"))</f>
        <v/>
      </c>
      <c r="F306" s="19">
        <f>IF(E306="Ram is handling - no action","No action needed",IF(M306="","CALL 1: ring candidate, offer to book on call (Playbook C1)",IF(OR(M306="Scheduled on call",M306="Booked on their behalf"),"DONE: scheduled on call",IF(M306="Not interested/Declined","CLOSED: candidate declined (log + tell lead)",IF(N306="","CALL 2: final attempt (Playbook C2)",IF(OR(N306="Scheduled on call",N306="Booked on their behalf"),"DONE: scheduled on call",IF(N306="Escalate to AM","ESCALATED TO LEAD","Review")))))))</f>
        <v/>
      </c>
      <c r="G306" s="20">
        <f>IF(E306="Ram is handling - no action","",IF(M306="",B306+6/24,IF(AND(M306&lt;&gt;"Scheduled on call",M306&lt;&gt;"Booked on their behalf",M306&lt;&gt;"Not interested/Declined",N306=""),B306+20/24,"")))</f>
        <v/>
      </c>
      <c r="H306" s="19" t="inlineStr">
        <is>
          <t>Chetan</t>
        </is>
      </c>
      <c r="I306" s="19" t="inlineStr">
        <is>
          <t>Google</t>
        </is>
      </c>
      <c r="J306" s="19" t="inlineStr">
        <is>
          <t>Round1</t>
        </is>
      </c>
      <c r="K306" s="22" t="inlineStr">
        <is>
          <t>+91 9920264452</t>
        </is>
      </c>
      <c r="L306" s="19" t="inlineStr">
        <is>
          <t>&lt;calendly_link&gt;</t>
        </is>
      </c>
      <c r="M306" s="19" t="n"/>
      <c r="N306" s="19" t="n"/>
      <c r="O306" s="19">
        <f>IF(OR(M306="Scheduled on call",M306="Booked on their behalf",N306="Scheduled on call",N306="Booked on their behalf"),"SCHEDULED (call)",IF(OR(M306="Not interested/Declined",N306="Not interested/Declined"),"DECLINED",IF(N306="Escalate to AM","ESCALATED TO LEAD",IF(E306="Ram is handling - no action","N/A",IF(M306="","PENDING CALL 1","IN PROGRESS")))))</f>
        <v/>
      </c>
      <c r="P306" s="19">
        <f>IF(OR('Ram - Digital ToDo'!O306="Scheduled",'Ram - Digital ToDo'!Q306="Scheduled"),"Scheduled within SLA (self-serve)",IF(OR(M306="Scheduled on call",M306="Booked on their behalf",N306="Scheduled on call",N306="Booked on their behalf"),"Scheduled within SLA (call)",IF(OR(M306="Not interested/Declined",N306="Not interested/Declined"),"Declined",IF(N306="Escalate to AM","SLA breach - unresolved","In progress"))))</f>
        <v/>
      </c>
      <c r="Q306" s="19" t="n"/>
    </row>
    <row r="307">
      <c r="A307" s="19" t="inlineStr">
        <is>
          <t>REQ-0306</t>
        </is>
      </c>
      <c r="B307" s="20" t="n">
        <v>44867.82708333333</v>
      </c>
      <c r="C307" s="20">
        <f>B307+1</f>
        <v/>
      </c>
      <c r="D307" s="21">
        <f>(C307-NOW())*24</f>
        <v/>
      </c>
      <c r="E307" s="19">
        <f>IF('Ram - Digital ToDo'!Q307="Escalate to call","CALL NOW",IF('Ram - Digital ToDo'!N307="Bad contact","CALL NOW (digital failed)","Ram is handling - no action"))</f>
        <v/>
      </c>
      <c r="F307" s="19">
        <f>IF(E307="Ram is handling - no action","No action needed",IF(M307="","CALL 1: ring candidate, offer to book on call (Playbook C1)",IF(OR(M307="Scheduled on call",M307="Booked on their behalf"),"DONE: scheduled on call",IF(M307="Not interested/Declined","CLOSED: candidate declined (log + tell lead)",IF(N307="","CALL 2: final attempt (Playbook C2)",IF(OR(N307="Scheduled on call",N307="Booked on their behalf"),"DONE: scheduled on call",IF(N307="Escalate to AM","ESCALATED TO LEAD","Review")))))))</f>
        <v/>
      </c>
      <c r="G307" s="20">
        <f>IF(E307="Ram is handling - no action","",IF(M307="",B307+6/24,IF(AND(M307&lt;&gt;"Scheduled on call",M307&lt;&gt;"Booked on their behalf",M307&lt;&gt;"Not interested/Declined",N307=""),B307+20/24,"")))</f>
        <v/>
      </c>
      <c r="H307" s="19" t="inlineStr">
        <is>
          <t>Chetan</t>
        </is>
      </c>
      <c r="I307" s="19" t="inlineStr">
        <is>
          <t>Google</t>
        </is>
      </c>
      <c r="J307" s="19" t="inlineStr">
        <is>
          <t>Round1</t>
        </is>
      </c>
      <c r="K307" s="22" t="inlineStr">
        <is>
          <t>+91 9920264452</t>
        </is>
      </c>
      <c r="L307" s="19" t="inlineStr">
        <is>
          <t>&lt;calendly_link&gt;</t>
        </is>
      </c>
      <c r="M307" s="19" t="n"/>
      <c r="N307" s="19" t="n"/>
      <c r="O307" s="19">
        <f>IF(OR(M307="Scheduled on call",M307="Booked on their behalf",N307="Scheduled on call",N307="Booked on their behalf"),"SCHEDULED (call)",IF(OR(M307="Not interested/Declined",N307="Not interested/Declined"),"DECLINED",IF(N307="Escalate to AM","ESCALATED TO LEAD",IF(E307="Ram is handling - no action","N/A",IF(M307="","PENDING CALL 1","IN PROGRESS")))))</f>
        <v/>
      </c>
      <c r="P307" s="19">
        <f>IF(OR('Ram - Digital ToDo'!O307="Scheduled",'Ram - Digital ToDo'!Q307="Scheduled"),"Scheduled within SLA (self-serve)",IF(OR(M307="Scheduled on call",M307="Booked on their behalf",N307="Scheduled on call",N307="Booked on their behalf"),"Scheduled within SLA (call)",IF(OR(M307="Not interested/Declined",N307="Not interested/Declined"),"Declined",IF(N307="Escalate to AM","SLA breach - unresolved","In progress"))))</f>
        <v/>
      </c>
      <c r="Q307" s="19" t="n"/>
    </row>
    <row r="308">
      <c r="A308" s="19" t="inlineStr">
        <is>
          <t>REQ-0307</t>
        </is>
      </c>
      <c r="B308" s="20" t="n">
        <v>44867.82708333333</v>
      </c>
      <c r="C308" s="20">
        <f>B308+1</f>
        <v/>
      </c>
      <c r="D308" s="21">
        <f>(C308-NOW())*24</f>
        <v/>
      </c>
      <c r="E308" s="19">
        <f>IF('Ram - Digital ToDo'!Q308="Escalate to call","CALL NOW",IF('Ram - Digital ToDo'!N308="Bad contact","CALL NOW (digital failed)","Ram is handling - no action"))</f>
        <v/>
      </c>
      <c r="F308" s="19">
        <f>IF(E308="Ram is handling - no action","No action needed",IF(M308="","CALL 1: ring candidate, offer to book on call (Playbook C1)",IF(OR(M308="Scheduled on call",M308="Booked on their behalf"),"DONE: scheduled on call",IF(M308="Not interested/Declined","CLOSED: candidate declined (log + tell lead)",IF(N308="","CALL 2: final attempt (Playbook C2)",IF(OR(N308="Scheduled on call",N308="Booked on their behalf"),"DONE: scheduled on call",IF(N308="Escalate to AM","ESCALATED TO LEAD","Review")))))))</f>
        <v/>
      </c>
      <c r="G308" s="20">
        <f>IF(E308="Ram is handling - no action","",IF(M308="",B308+6/24,IF(AND(M308&lt;&gt;"Scheduled on call",M308&lt;&gt;"Booked on their behalf",M308&lt;&gt;"Not interested/Declined",N308=""),B308+20/24,"")))</f>
        <v/>
      </c>
      <c r="H308" s="19" t="inlineStr">
        <is>
          <t>Chetan</t>
        </is>
      </c>
      <c r="I308" s="19" t="inlineStr">
        <is>
          <t>Google</t>
        </is>
      </c>
      <c r="J308" s="19" t="inlineStr">
        <is>
          <t>Round1</t>
        </is>
      </c>
      <c r="K308" s="22" t="inlineStr">
        <is>
          <t>+91 9920264452</t>
        </is>
      </c>
      <c r="L308" s="19" t="inlineStr">
        <is>
          <t>&lt;calendly_link&gt;</t>
        </is>
      </c>
      <c r="M308" s="19" t="n"/>
      <c r="N308" s="19" t="n"/>
      <c r="O308" s="19">
        <f>IF(OR(M308="Scheduled on call",M308="Booked on their behalf",N308="Scheduled on call",N308="Booked on their behalf"),"SCHEDULED (call)",IF(OR(M308="Not interested/Declined",N308="Not interested/Declined"),"DECLINED",IF(N308="Escalate to AM","ESCALATED TO LEAD",IF(E308="Ram is handling - no action","N/A",IF(M308="","PENDING CALL 1","IN PROGRESS")))))</f>
        <v/>
      </c>
      <c r="P308" s="19">
        <f>IF(OR('Ram - Digital ToDo'!O308="Scheduled",'Ram - Digital ToDo'!Q308="Scheduled"),"Scheduled within SLA (self-serve)",IF(OR(M308="Scheduled on call",M308="Booked on their behalf",N308="Scheduled on call",N308="Booked on their behalf"),"Scheduled within SLA (call)",IF(OR(M308="Not interested/Declined",N308="Not interested/Declined"),"Declined",IF(N308="Escalate to AM","SLA breach - unresolved","In progress"))))</f>
        <v/>
      </c>
      <c r="Q308" s="19" t="n"/>
    </row>
    <row r="309">
      <c r="A309" s="19" t="inlineStr">
        <is>
          <t>REQ-0308</t>
        </is>
      </c>
      <c r="B309" s="20" t="n">
        <v>44867.82708333333</v>
      </c>
      <c r="C309" s="20">
        <f>B309+1</f>
        <v/>
      </c>
      <c r="D309" s="21">
        <f>(C309-NOW())*24</f>
        <v/>
      </c>
      <c r="E309" s="19">
        <f>IF('Ram - Digital ToDo'!Q309="Escalate to call","CALL NOW",IF('Ram - Digital ToDo'!N309="Bad contact","CALL NOW (digital failed)","Ram is handling - no action"))</f>
        <v/>
      </c>
      <c r="F309" s="19">
        <f>IF(E309="Ram is handling - no action","No action needed",IF(M309="","CALL 1: ring candidate, offer to book on call (Playbook C1)",IF(OR(M309="Scheduled on call",M309="Booked on their behalf"),"DONE: scheduled on call",IF(M309="Not interested/Declined","CLOSED: candidate declined (log + tell lead)",IF(N309="","CALL 2: final attempt (Playbook C2)",IF(OR(N309="Scheduled on call",N309="Booked on their behalf"),"DONE: scheduled on call",IF(N309="Escalate to AM","ESCALATED TO LEAD","Review")))))))</f>
        <v/>
      </c>
      <c r="G309" s="20">
        <f>IF(E309="Ram is handling - no action","",IF(M309="",B309+6/24,IF(AND(M309&lt;&gt;"Scheduled on call",M309&lt;&gt;"Booked on their behalf",M309&lt;&gt;"Not interested/Declined",N309=""),B309+20/24,"")))</f>
        <v/>
      </c>
      <c r="H309" s="19" t="inlineStr">
        <is>
          <t>Chetan</t>
        </is>
      </c>
      <c r="I309" s="19" t="inlineStr">
        <is>
          <t>Google</t>
        </is>
      </c>
      <c r="J309" s="19" t="inlineStr">
        <is>
          <t>Round1</t>
        </is>
      </c>
      <c r="K309" s="22" t="inlineStr">
        <is>
          <t>+91 9920264452</t>
        </is>
      </c>
      <c r="L309" s="19" t="inlineStr">
        <is>
          <t>&lt;calendly_link&gt;</t>
        </is>
      </c>
      <c r="M309" s="19" t="n"/>
      <c r="N309" s="19" t="n"/>
      <c r="O309" s="19">
        <f>IF(OR(M309="Scheduled on call",M309="Booked on their behalf",N309="Scheduled on call",N309="Booked on their behalf"),"SCHEDULED (call)",IF(OR(M309="Not interested/Declined",N309="Not interested/Declined"),"DECLINED",IF(N309="Escalate to AM","ESCALATED TO LEAD",IF(E309="Ram is handling - no action","N/A",IF(M309="","PENDING CALL 1","IN PROGRESS")))))</f>
        <v/>
      </c>
      <c r="P309" s="19">
        <f>IF(OR('Ram - Digital ToDo'!O309="Scheduled",'Ram - Digital ToDo'!Q309="Scheduled"),"Scheduled within SLA (self-serve)",IF(OR(M309="Scheduled on call",M309="Booked on their behalf",N309="Scheduled on call",N309="Booked on their behalf"),"Scheduled within SLA (call)",IF(OR(M309="Not interested/Declined",N309="Not interested/Declined"),"Declined",IF(N309="Escalate to AM","SLA breach - unresolved","In progress"))))</f>
        <v/>
      </c>
      <c r="Q309" s="19" t="n"/>
    </row>
    <row r="310">
      <c r="A310" s="19" t="inlineStr">
        <is>
          <t>REQ-0309</t>
        </is>
      </c>
      <c r="B310" s="20" t="n">
        <v>44867.82708333333</v>
      </c>
      <c r="C310" s="20">
        <f>B310+1</f>
        <v/>
      </c>
      <c r="D310" s="21">
        <f>(C310-NOW())*24</f>
        <v/>
      </c>
      <c r="E310" s="19">
        <f>IF('Ram - Digital ToDo'!Q310="Escalate to call","CALL NOW",IF('Ram - Digital ToDo'!N310="Bad contact","CALL NOW (digital failed)","Ram is handling - no action"))</f>
        <v/>
      </c>
      <c r="F310" s="19">
        <f>IF(E310="Ram is handling - no action","No action needed",IF(M310="","CALL 1: ring candidate, offer to book on call (Playbook C1)",IF(OR(M310="Scheduled on call",M310="Booked on their behalf"),"DONE: scheduled on call",IF(M310="Not interested/Declined","CLOSED: candidate declined (log + tell lead)",IF(N310="","CALL 2: final attempt (Playbook C2)",IF(OR(N310="Scheduled on call",N310="Booked on their behalf"),"DONE: scheduled on call",IF(N310="Escalate to AM","ESCALATED TO LEAD","Review")))))))</f>
        <v/>
      </c>
      <c r="G310" s="20">
        <f>IF(E310="Ram is handling - no action","",IF(M310="",B310+6/24,IF(AND(M310&lt;&gt;"Scheduled on call",M310&lt;&gt;"Booked on their behalf",M310&lt;&gt;"Not interested/Declined",N310=""),B310+20/24,"")))</f>
        <v/>
      </c>
      <c r="H310" s="19" t="inlineStr">
        <is>
          <t>Chetan</t>
        </is>
      </c>
      <c r="I310" s="19" t="inlineStr">
        <is>
          <t>Google</t>
        </is>
      </c>
      <c r="J310" s="19" t="inlineStr">
        <is>
          <t>Round1</t>
        </is>
      </c>
      <c r="K310" s="22" t="inlineStr">
        <is>
          <t>+91 9920264452</t>
        </is>
      </c>
      <c r="L310" s="19" t="inlineStr">
        <is>
          <t>&lt;calendly_link&gt;</t>
        </is>
      </c>
      <c r="M310" s="19" t="n"/>
      <c r="N310" s="19" t="n"/>
      <c r="O310" s="19">
        <f>IF(OR(M310="Scheduled on call",M310="Booked on their behalf",N310="Scheduled on call",N310="Booked on their behalf"),"SCHEDULED (call)",IF(OR(M310="Not interested/Declined",N310="Not interested/Declined"),"DECLINED",IF(N310="Escalate to AM","ESCALATED TO LEAD",IF(E310="Ram is handling - no action","N/A",IF(M310="","PENDING CALL 1","IN PROGRESS")))))</f>
        <v/>
      </c>
      <c r="P310" s="19">
        <f>IF(OR('Ram - Digital ToDo'!O310="Scheduled",'Ram - Digital ToDo'!Q310="Scheduled"),"Scheduled within SLA (self-serve)",IF(OR(M310="Scheduled on call",M310="Booked on their behalf",N310="Scheduled on call",N310="Booked on their behalf"),"Scheduled within SLA (call)",IF(OR(M310="Not interested/Declined",N310="Not interested/Declined"),"Declined",IF(N310="Escalate to AM","SLA breach - unresolved","In progress"))))</f>
        <v/>
      </c>
      <c r="Q310" s="19" t="n"/>
    </row>
    <row r="311">
      <c r="A311" s="19" t="inlineStr">
        <is>
          <t>REQ-0310</t>
        </is>
      </c>
      <c r="B311" s="20" t="n">
        <v>44867.82708333333</v>
      </c>
      <c r="C311" s="20">
        <f>B311+1</f>
        <v/>
      </c>
      <c r="D311" s="21">
        <f>(C311-NOW())*24</f>
        <v/>
      </c>
      <c r="E311" s="19">
        <f>IF('Ram - Digital ToDo'!Q311="Escalate to call","CALL NOW",IF('Ram - Digital ToDo'!N311="Bad contact","CALL NOW (digital failed)","Ram is handling - no action"))</f>
        <v/>
      </c>
      <c r="F311" s="19">
        <f>IF(E311="Ram is handling - no action","No action needed",IF(M311="","CALL 1: ring candidate, offer to book on call (Playbook C1)",IF(OR(M311="Scheduled on call",M311="Booked on their behalf"),"DONE: scheduled on call",IF(M311="Not interested/Declined","CLOSED: candidate declined (log + tell lead)",IF(N311="","CALL 2: final attempt (Playbook C2)",IF(OR(N311="Scheduled on call",N311="Booked on their behalf"),"DONE: scheduled on call",IF(N311="Escalate to AM","ESCALATED TO LEAD","Review")))))))</f>
        <v/>
      </c>
      <c r="G311" s="20">
        <f>IF(E311="Ram is handling - no action","",IF(M311="",B311+6/24,IF(AND(M311&lt;&gt;"Scheduled on call",M311&lt;&gt;"Booked on their behalf",M311&lt;&gt;"Not interested/Declined",N311=""),B311+20/24,"")))</f>
        <v/>
      </c>
      <c r="H311" s="19" t="inlineStr">
        <is>
          <t>Chetan</t>
        </is>
      </c>
      <c r="I311" s="19" t="inlineStr">
        <is>
          <t>Google</t>
        </is>
      </c>
      <c r="J311" s="19" t="inlineStr">
        <is>
          <t>Round1</t>
        </is>
      </c>
      <c r="K311" s="22" t="inlineStr">
        <is>
          <t>+91 9920264452</t>
        </is>
      </c>
      <c r="L311" s="19" t="inlineStr">
        <is>
          <t>&lt;calendly_link&gt;</t>
        </is>
      </c>
      <c r="M311" s="19" t="n"/>
      <c r="N311" s="19" t="n"/>
      <c r="O311" s="19">
        <f>IF(OR(M311="Scheduled on call",M311="Booked on their behalf",N311="Scheduled on call",N311="Booked on their behalf"),"SCHEDULED (call)",IF(OR(M311="Not interested/Declined",N311="Not interested/Declined"),"DECLINED",IF(N311="Escalate to AM","ESCALATED TO LEAD",IF(E311="Ram is handling - no action","N/A",IF(M311="","PENDING CALL 1","IN PROGRESS")))))</f>
        <v/>
      </c>
      <c r="P311" s="19">
        <f>IF(OR('Ram - Digital ToDo'!O311="Scheduled",'Ram - Digital ToDo'!Q311="Scheduled"),"Scheduled within SLA (self-serve)",IF(OR(M311="Scheduled on call",M311="Booked on their behalf",N311="Scheduled on call",N311="Booked on their behalf"),"Scheduled within SLA (call)",IF(OR(M311="Not interested/Declined",N311="Not interested/Declined"),"Declined",IF(N311="Escalate to AM","SLA breach - unresolved","In progress"))))</f>
        <v/>
      </c>
      <c r="Q311" s="19" t="n"/>
    </row>
    <row r="312">
      <c r="A312" s="19" t="inlineStr">
        <is>
          <t>REQ-0311</t>
        </is>
      </c>
      <c r="B312" s="20" t="n">
        <v>44867.82708333333</v>
      </c>
      <c r="C312" s="20">
        <f>B312+1</f>
        <v/>
      </c>
      <c r="D312" s="21">
        <f>(C312-NOW())*24</f>
        <v/>
      </c>
      <c r="E312" s="19">
        <f>IF('Ram - Digital ToDo'!Q312="Escalate to call","CALL NOW",IF('Ram - Digital ToDo'!N312="Bad contact","CALL NOW (digital failed)","Ram is handling - no action"))</f>
        <v/>
      </c>
      <c r="F312" s="19">
        <f>IF(E312="Ram is handling - no action","No action needed",IF(M312="","CALL 1: ring candidate, offer to book on call (Playbook C1)",IF(OR(M312="Scheduled on call",M312="Booked on their behalf"),"DONE: scheduled on call",IF(M312="Not interested/Declined","CLOSED: candidate declined (log + tell lead)",IF(N312="","CALL 2: final attempt (Playbook C2)",IF(OR(N312="Scheduled on call",N312="Booked on their behalf"),"DONE: scheduled on call",IF(N312="Escalate to AM","ESCALATED TO LEAD","Review")))))))</f>
        <v/>
      </c>
      <c r="G312" s="20">
        <f>IF(E312="Ram is handling - no action","",IF(M312="",B312+6/24,IF(AND(M312&lt;&gt;"Scheduled on call",M312&lt;&gt;"Booked on their behalf",M312&lt;&gt;"Not interested/Declined",N312=""),B312+20/24,"")))</f>
        <v/>
      </c>
      <c r="H312" s="19" t="inlineStr">
        <is>
          <t>Chetan</t>
        </is>
      </c>
      <c r="I312" s="19" t="inlineStr">
        <is>
          <t>Google</t>
        </is>
      </c>
      <c r="J312" s="19" t="inlineStr">
        <is>
          <t>Round1</t>
        </is>
      </c>
      <c r="K312" s="22" t="inlineStr">
        <is>
          <t>+91 9920264452</t>
        </is>
      </c>
      <c r="L312" s="19" t="inlineStr">
        <is>
          <t>&lt;calendly_link&gt;</t>
        </is>
      </c>
      <c r="M312" s="19" t="n"/>
      <c r="N312" s="19" t="n"/>
      <c r="O312" s="19">
        <f>IF(OR(M312="Scheduled on call",M312="Booked on their behalf",N312="Scheduled on call",N312="Booked on their behalf"),"SCHEDULED (call)",IF(OR(M312="Not interested/Declined",N312="Not interested/Declined"),"DECLINED",IF(N312="Escalate to AM","ESCALATED TO LEAD",IF(E312="Ram is handling - no action","N/A",IF(M312="","PENDING CALL 1","IN PROGRESS")))))</f>
        <v/>
      </c>
      <c r="P312" s="19">
        <f>IF(OR('Ram - Digital ToDo'!O312="Scheduled",'Ram - Digital ToDo'!Q312="Scheduled"),"Scheduled within SLA (self-serve)",IF(OR(M312="Scheduled on call",M312="Booked on their behalf",N312="Scheduled on call",N312="Booked on their behalf"),"Scheduled within SLA (call)",IF(OR(M312="Not interested/Declined",N312="Not interested/Declined"),"Declined",IF(N312="Escalate to AM","SLA breach - unresolved","In progress"))))</f>
        <v/>
      </c>
      <c r="Q312" s="19" t="n"/>
    </row>
    <row r="313">
      <c r="A313" s="19" t="inlineStr">
        <is>
          <t>REQ-0312</t>
        </is>
      </c>
      <c r="B313" s="20" t="n">
        <v>44867.82708333333</v>
      </c>
      <c r="C313" s="20">
        <f>B313+1</f>
        <v/>
      </c>
      <c r="D313" s="21">
        <f>(C313-NOW())*24</f>
        <v/>
      </c>
      <c r="E313" s="19">
        <f>IF('Ram - Digital ToDo'!Q313="Escalate to call","CALL NOW",IF('Ram - Digital ToDo'!N313="Bad contact","CALL NOW (digital failed)","Ram is handling - no action"))</f>
        <v/>
      </c>
      <c r="F313" s="19">
        <f>IF(E313="Ram is handling - no action","No action needed",IF(M313="","CALL 1: ring candidate, offer to book on call (Playbook C1)",IF(OR(M313="Scheduled on call",M313="Booked on their behalf"),"DONE: scheduled on call",IF(M313="Not interested/Declined","CLOSED: candidate declined (log + tell lead)",IF(N313="","CALL 2: final attempt (Playbook C2)",IF(OR(N313="Scheduled on call",N313="Booked on their behalf"),"DONE: scheduled on call",IF(N313="Escalate to AM","ESCALATED TO LEAD","Review")))))))</f>
        <v/>
      </c>
      <c r="G313" s="20">
        <f>IF(E313="Ram is handling - no action","",IF(M313="",B313+6/24,IF(AND(M313&lt;&gt;"Scheduled on call",M313&lt;&gt;"Booked on their behalf",M313&lt;&gt;"Not interested/Declined",N313=""),B313+20/24,"")))</f>
        <v/>
      </c>
      <c r="H313" s="19" t="inlineStr">
        <is>
          <t>Chetan</t>
        </is>
      </c>
      <c r="I313" s="19" t="inlineStr">
        <is>
          <t>Google</t>
        </is>
      </c>
      <c r="J313" s="19" t="inlineStr">
        <is>
          <t>Round1</t>
        </is>
      </c>
      <c r="K313" s="22" t="inlineStr">
        <is>
          <t>+91 9920264452</t>
        </is>
      </c>
      <c r="L313" s="19" t="inlineStr">
        <is>
          <t>&lt;calendly_link&gt;</t>
        </is>
      </c>
      <c r="M313" s="19" t="n"/>
      <c r="N313" s="19" t="n"/>
      <c r="O313" s="19">
        <f>IF(OR(M313="Scheduled on call",M313="Booked on their behalf",N313="Scheduled on call",N313="Booked on their behalf"),"SCHEDULED (call)",IF(OR(M313="Not interested/Declined",N313="Not interested/Declined"),"DECLINED",IF(N313="Escalate to AM","ESCALATED TO LEAD",IF(E313="Ram is handling - no action","N/A",IF(M313="","PENDING CALL 1","IN PROGRESS")))))</f>
        <v/>
      </c>
      <c r="P313" s="19">
        <f>IF(OR('Ram - Digital ToDo'!O313="Scheduled",'Ram - Digital ToDo'!Q313="Scheduled"),"Scheduled within SLA (self-serve)",IF(OR(M313="Scheduled on call",M313="Booked on their behalf",N313="Scheduled on call",N313="Booked on their behalf"),"Scheduled within SLA (call)",IF(OR(M313="Not interested/Declined",N313="Not interested/Declined"),"Declined",IF(N313="Escalate to AM","SLA breach - unresolved","In progress"))))</f>
        <v/>
      </c>
      <c r="Q313" s="19" t="n"/>
    </row>
    <row r="314">
      <c r="A314" s="19" t="inlineStr">
        <is>
          <t>REQ-0313</t>
        </is>
      </c>
      <c r="B314" s="20" t="n">
        <v>44867.82708333333</v>
      </c>
      <c r="C314" s="20">
        <f>B314+1</f>
        <v/>
      </c>
      <c r="D314" s="21">
        <f>(C314-NOW())*24</f>
        <v/>
      </c>
      <c r="E314" s="19">
        <f>IF('Ram - Digital ToDo'!Q314="Escalate to call","CALL NOW",IF('Ram - Digital ToDo'!N314="Bad contact","CALL NOW (digital failed)","Ram is handling - no action"))</f>
        <v/>
      </c>
      <c r="F314" s="19">
        <f>IF(E314="Ram is handling - no action","No action needed",IF(M314="","CALL 1: ring candidate, offer to book on call (Playbook C1)",IF(OR(M314="Scheduled on call",M314="Booked on their behalf"),"DONE: scheduled on call",IF(M314="Not interested/Declined","CLOSED: candidate declined (log + tell lead)",IF(N314="","CALL 2: final attempt (Playbook C2)",IF(OR(N314="Scheduled on call",N314="Booked on their behalf"),"DONE: scheduled on call",IF(N314="Escalate to AM","ESCALATED TO LEAD","Review")))))))</f>
        <v/>
      </c>
      <c r="G314" s="20">
        <f>IF(E314="Ram is handling - no action","",IF(M314="",B314+6/24,IF(AND(M314&lt;&gt;"Scheduled on call",M314&lt;&gt;"Booked on their behalf",M314&lt;&gt;"Not interested/Declined",N314=""),B314+20/24,"")))</f>
        <v/>
      </c>
      <c r="H314" s="19" t="inlineStr">
        <is>
          <t>Chetan</t>
        </is>
      </c>
      <c r="I314" s="19" t="inlineStr">
        <is>
          <t>Google</t>
        </is>
      </c>
      <c r="J314" s="19" t="inlineStr">
        <is>
          <t>Round1</t>
        </is>
      </c>
      <c r="K314" s="22" t="inlineStr">
        <is>
          <t>+91 9920264452</t>
        </is>
      </c>
      <c r="L314" s="19" t="inlineStr">
        <is>
          <t>&lt;calendly_link&gt;</t>
        </is>
      </c>
      <c r="M314" s="19" t="n"/>
      <c r="N314" s="19" t="n"/>
      <c r="O314" s="19">
        <f>IF(OR(M314="Scheduled on call",M314="Booked on their behalf",N314="Scheduled on call",N314="Booked on their behalf"),"SCHEDULED (call)",IF(OR(M314="Not interested/Declined",N314="Not interested/Declined"),"DECLINED",IF(N314="Escalate to AM","ESCALATED TO LEAD",IF(E314="Ram is handling - no action","N/A",IF(M314="","PENDING CALL 1","IN PROGRESS")))))</f>
        <v/>
      </c>
      <c r="P314" s="19">
        <f>IF(OR('Ram - Digital ToDo'!O314="Scheduled",'Ram - Digital ToDo'!Q314="Scheduled"),"Scheduled within SLA (self-serve)",IF(OR(M314="Scheduled on call",M314="Booked on their behalf",N314="Scheduled on call",N314="Booked on their behalf"),"Scheduled within SLA (call)",IF(OR(M314="Not interested/Declined",N314="Not interested/Declined"),"Declined",IF(N314="Escalate to AM","SLA breach - unresolved","In progress"))))</f>
        <v/>
      </c>
      <c r="Q314" s="19" t="n"/>
    </row>
    <row r="315">
      <c r="A315" s="19" t="inlineStr">
        <is>
          <t>REQ-0314</t>
        </is>
      </c>
      <c r="B315" s="20" t="n">
        <v>44867.82708333333</v>
      </c>
      <c r="C315" s="20">
        <f>B315+1</f>
        <v/>
      </c>
      <c r="D315" s="21">
        <f>(C315-NOW())*24</f>
        <v/>
      </c>
      <c r="E315" s="19">
        <f>IF('Ram - Digital ToDo'!Q315="Escalate to call","CALL NOW",IF('Ram - Digital ToDo'!N315="Bad contact","CALL NOW (digital failed)","Ram is handling - no action"))</f>
        <v/>
      </c>
      <c r="F315" s="19">
        <f>IF(E315="Ram is handling - no action","No action needed",IF(M315="","CALL 1: ring candidate, offer to book on call (Playbook C1)",IF(OR(M315="Scheduled on call",M315="Booked on their behalf"),"DONE: scheduled on call",IF(M315="Not interested/Declined","CLOSED: candidate declined (log + tell lead)",IF(N315="","CALL 2: final attempt (Playbook C2)",IF(OR(N315="Scheduled on call",N315="Booked on their behalf"),"DONE: scheduled on call",IF(N315="Escalate to AM","ESCALATED TO LEAD","Review")))))))</f>
        <v/>
      </c>
      <c r="G315" s="20">
        <f>IF(E315="Ram is handling - no action","",IF(M315="",B315+6/24,IF(AND(M315&lt;&gt;"Scheduled on call",M315&lt;&gt;"Booked on their behalf",M315&lt;&gt;"Not interested/Declined",N315=""),B315+20/24,"")))</f>
        <v/>
      </c>
      <c r="H315" s="19" t="inlineStr">
        <is>
          <t>Chetan</t>
        </is>
      </c>
      <c r="I315" s="19" t="inlineStr">
        <is>
          <t>Google</t>
        </is>
      </c>
      <c r="J315" s="19" t="inlineStr">
        <is>
          <t>Round1</t>
        </is>
      </c>
      <c r="K315" s="22" t="inlineStr">
        <is>
          <t>+91 9920264452</t>
        </is>
      </c>
      <c r="L315" s="19" t="inlineStr">
        <is>
          <t>&lt;calendly_link&gt;</t>
        </is>
      </c>
      <c r="M315" s="19" t="n"/>
      <c r="N315" s="19" t="n"/>
      <c r="O315" s="19">
        <f>IF(OR(M315="Scheduled on call",M315="Booked on their behalf",N315="Scheduled on call",N315="Booked on their behalf"),"SCHEDULED (call)",IF(OR(M315="Not interested/Declined",N315="Not interested/Declined"),"DECLINED",IF(N315="Escalate to AM","ESCALATED TO LEAD",IF(E315="Ram is handling - no action","N/A",IF(M315="","PENDING CALL 1","IN PROGRESS")))))</f>
        <v/>
      </c>
      <c r="P315" s="19">
        <f>IF(OR('Ram - Digital ToDo'!O315="Scheduled",'Ram - Digital ToDo'!Q315="Scheduled"),"Scheduled within SLA (self-serve)",IF(OR(M315="Scheduled on call",M315="Booked on their behalf",N315="Scheduled on call",N315="Booked on their behalf"),"Scheduled within SLA (call)",IF(OR(M315="Not interested/Declined",N315="Not interested/Declined"),"Declined",IF(N315="Escalate to AM","SLA breach - unresolved","In progress"))))</f>
        <v/>
      </c>
      <c r="Q315" s="19" t="n"/>
    </row>
    <row r="316">
      <c r="A316" s="19" t="inlineStr">
        <is>
          <t>REQ-0315</t>
        </is>
      </c>
      <c r="B316" s="20" t="n">
        <v>44867.82708333333</v>
      </c>
      <c r="C316" s="20">
        <f>B316+1</f>
        <v/>
      </c>
      <c r="D316" s="21">
        <f>(C316-NOW())*24</f>
        <v/>
      </c>
      <c r="E316" s="19">
        <f>IF('Ram - Digital ToDo'!Q316="Escalate to call","CALL NOW",IF('Ram - Digital ToDo'!N316="Bad contact","CALL NOW (digital failed)","Ram is handling - no action"))</f>
        <v/>
      </c>
      <c r="F316" s="19">
        <f>IF(E316="Ram is handling - no action","No action needed",IF(M316="","CALL 1: ring candidate, offer to book on call (Playbook C1)",IF(OR(M316="Scheduled on call",M316="Booked on their behalf"),"DONE: scheduled on call",IF(M316="Not interested/Declined","CLOSED: candidate declined (log + tell lead)",IF(N316="","CALL 2: final attempt (Playbook C2)",IF(OR(N316="Scheduled on call",N316="Booked on their behalf"),"DONE: scheduled on call",IF(N316="Escalate to AM","ESCALATED TO LEAD","Review")))))))</f>
        <v/>
      </c>
      <c r="G316" s="20">
        <f>IF(E316="Ram is handling - no action","",IF(M316="",B316+6/24,IF(AND(M316&lt;&gt;"Scheduled on call",M316&lt;&gt;"Booked on their behalf",M316&lt;&gt;"Not interested/Declined",N316=""),B316+20/24,"")))</f>
        <v/>
      </c>
      <c r="H316" s="19" t="inlineStr">
        <is>
          <t>Chetan</t>
        </is>
      </c>
      <c r="I316" s="19" t="inlineStr">
        <is>
          <t>Google</t>
        </is>
      </c>
      <c r="J316" s="19" t="inlineStr">
        <is>
          <t>Round1</t>
        </is>
      </c>
      <c r="K316" s="22" t="inlineStr">
        <is>
          <t>+91 9920264452</t>
        </is>
      </c>
      <c r="L316" s="19" t="inlineStr">
        <is>
          <t>&lt;calendly_link&gt;</t>
        </is>
      </c>
      <c r="M316" s="19" t="n"/>
      <c r="N316" s="19" t="n"/>
      <c r="O316" s="19">
        <f>IF(OR(M316="Scheduled on call",M316="Booked on their behalf",N316="Scheduled on call",N316="Booked on their behalf"),"SCHEDULED (call)",IF(OR(M316="Not interested/Declined",N316="Not interested/Declined"),"DECLINED",IF(N316="Escalate to AM","ESCALATED TO LEAD",IF(E316="Ram is handling - no action","N/A",IF(M316="","PENDING CALL 1","IN PROGRESS")))))</f>
        <v/>
      </c>
      <c r="P316" s="19">
        <f>IF(OR('Ram - Digital ToDo'!O316="Scheduled",'Ram - Digital ToDo'!Q316="Scheduled"),"Scheduled within SLA (self-serve)",IF(OR(M316="Scheduled on call",M316="Booked on their behalf",N316="Scheduled on call",N316="Booked on their behalf"),"Scheduled within SLA (call)",IF(OR(M316="Not interested/Declined",N316="Not interested/Declined"),"Declined",IF(N316="Escalate to AM","SLA breach - unresolved","In progress"))))</f>
        <v/>
      </c>
      <c r="Q316" s="19" t="n"/>
    </row>
    <row r="317">
      <c r="A317" s="19" t="inlineStr">
        <is>
          <t>REQ-0316</t>
        </is>
      </c>
      <c r="B317" s="20" t="n">
        <v>44867.82708333333</v>
      </c>
      <c r="C317" s="20">
        <f>B317+1</f>
        <v/>
      </c>
      <c r="D317" s="21">
        <f>(C317-NOW())*24</f>
        <v/>
      </c>
      <c r="E317" s="19">
        <f>IF('Ram - Digital ToDo'!Q317="Escalate to call","CALL NOW",IF('Ram - Digital ToDo'!N317="Bad contact","CALL NOW (digital failed)","Ram is handling - no action"))</f>
        <v/>
      </c>
      <c r="F317" s="19">
        <f>IF(E317="Ram is handling - no action","No action needed",IF(M317="","CALL 1: ring candidate, offer to book on call (Playbook C1)",IF(OR(M317="Scheduled on call",M317="Booked on their behalf"),"DONE: scheduled on call",IF(M317="Not interested/Declined","CLOSED: candidate declined (log + tell lead)",IF(N317="","CALL 2: final attempt (Playbook C2)",IF(OR(N317="Scheduled on call",N317="Booked on their behalf"),"DONE: scheduled on call",IF(N317="Escalate to AM","ESCALATED TO LEAD","Review")))))))</f>
        <v/>
      </c>
      <c r="G317" s="20">
        <f>IF(E317="Ram is handling - no action","",IF(M317="",B317+6/24,IF(AND(M317&lt;&gt;"Scheduled on call",M317&lt;&gt;"Booked on their behalf",M317&lt;&gt;"Not interested/Declined",N317=""),B317+20/24,"")))</f>
        <v/>
      </c>
      <c r="H317" s="19" t="inlineStr">
        <is>
          <t>Chetan</t>
        </is>
      </c>
      <c r="I317" s="19" t="inlineStr">
        <is>
          <t>Google</t>
        </is>
      </c>
      <c r="J317" s="19" t="inlineStr">
        <is>
          <t>Round1</t>
        </is>
      </c>
      <c r="K317" s="22" t="inlineStr">
        <is>
          <t>+91 9920264452</t>
        </is>
      </c>
      <c r="L317" s="19" t="inlineStr">
        <is>
          <t>&lt;calendly_link&gt;</t>
        </is>
      </c>
      <c r="M317" s="19" t="n"/>
      <c r="N317" s="19" t="n"/>
      <c r="O317" s="19">
        <f>IF(OR(M317="Scheduled on call",M317="Booked on their behalf",N317="Scheduled on call",N317="Booked on their behalf"),"SCHEDULED (call)",IF(OR(M317="Not interested/Declined",N317="Not interested/Declined"),"DECLINED",IF(N317="Escalate to AM","ESCALATED TO LEAD",IF(E317="Ram is handling - no action","N/A",IF(M317="","PENDING CALL 1","IN PROGRESS")))))</f>
        <v/>
      </c>
      <c r="P317" s="19">
        <f>IF(OR('Ram - Digital ToDo'!O317="Scheduled",'Ram - Digital ToDo'!Q317="Scheduled"),"Scheduled within SLA (self-serve)",IF(OR(M317="Scheduled on call",M317="Booked on their behalf",N317="Scheduled on call",N317="Booked on their behalf"),"Scheduled within SLA (call)",IF(OR(M317="Not interested/Declined",N317="Not interested/Declined"),"Declined",IF(N317="Escalate to AM","SLA breach - unresolved","In progress"))))</f>
        <v/>
      </c>
      <c r="Q317" s="19" t="n"/>
    </row>
    <row r="318">
      <c r="A318" s="19" t="inlineStr">
        <is>
          <t>REQ-0317</t>
        </is>
      </c>
      <c r="B318" s="20" t="n">
        <v>44867.82708333333</v>
      </c>
      <c r="C318" s="20">
        <f>B318+1</f>
        <v/>
      </c>
      <c r="D318" s="21">
        <f>(C318-NOW())*24</f>
        <v/>
      </c>
      <c r="E318" s="19">
        <f>IF('Ram - Digital ToDo'!Q318="Escalate to call","CALL NOW",IF('Ram - Digital ToDo'!N318="Bad contact","CALL NOW (digital failed)","Ram is handling - no action"))</f>
        <v/>
      </c>
      <c r="F318" s="19">
        <f>IF(E318="Ram is handling - no action","No action needed",IF(M318="","CALL 1: ring candidate, offer to book on call (Playbook C1)",IF(OR(M318="Scheduled on call",M318="Booked on their behalf"),"DONE: scheduled on call",IF(M318="Not interested/Declined","CLOSED: candidate declined (log + tell lead)",IF(N318="","CALL 2: final attempt (Playbook C2)",IF(OR(N318="Scheduled on call",N318="Booked on their behalf"),"DONE: scheduled on call",IF(N318="Escalate to AM","ESCALATED TO LEAD","Review")))))))</f>
        <v/>
      </c>
      <c r="G318" s="20">
        <f>IF(E318="Ram is handling - no action","",IF(M318="",B318+6/24,IF(AND(M318&lt;&gt;"Scheduled on call",M318&lt;&gt;"Booked on their behalf",M318&lt;&gt;"Not interested/Declined",N318=""),B318+20/24,"")))</f>
        <v/>
      </c>
      <c r="H318" s="19" t="inlineStr">
        <is>
          <t>Chetan</t>
        </is>
      </c>
      <c r="I318" s="19" t="inlineStr">
        <is>
          <t>Google</t>
        </is>
      </c>
      <c r="J318" s="19" t="inlineStr">
        <is>
          <t>Round1</t>
        </is>
      </c>
      <c r="K318" s="22" t="inlineStr">
        <is>
          <t>+91 9920264452</t>
        </is>
      </c>
      <c r="L318" s="19" t="inlineStr">
        <is>
          <t>&lt;calendly_link&gt;</t>
        </is>
      </c>
      <c r="M318" s="19" t="n"/>
      <c r="N318" s="19" t="n"/>
      <c r="O318" s="19">
        <f>IF(OR(M318="Scheduled on call",M318="Booked on their behalf",N318="Scheduled on call",N318="Booked on their behalf"),"SCHEDULED (call)",IF(OR(M318="Not interested/Declined",N318="Not interested/Declined"),"DECLINED",IF(N318="Escalate to AM","ESCALATED TO LEAD",IF(E318="Ram is handling - no action","N/A",IF(M318="","PENDING CALL 1","IN PROGRESS")))))</f>
        <v/>
      </c>
      <c r="P318" s="19">
        <f>IF(OR('Ram - Digital ToDo'!O318="Scheduled",'Ram - Digital ToDo'!Q318="Scheduled"),"Scheduled within SLA (self-serve)",IF(OR(M318="Scheduled on call",M318="Booked on their behalf",N318="Scheduled on call",N318="Booked on their behalf"),"Scheduled within SLA (call)",IF(OR(M318="Not interested/Declined",N318="Not interested/Declined"),"Declined",IF(N318="Escalate to AM","SLA breach - unresolved","In progress"))))</f>
        <v/>
      </c>
      <c r="Q318" s="19" t="n"/>
    </row>
    <row r="319">
      <c r="A319" s="19" t="inlineStr">
        <is>
          <t>REQ-0318</t>
        </is>
      </c>
      <c r="B319" s="20" t="n">
        <v>44867.82708333333</v>
      </c>
      <c r="C319" s="20">
        <f>B319+1</f>
        <v/>
      </c>
      <c r="D319" s="21">
        <f>(C319-NOW())*24</f>
        <v/>
      </c>
      <c r="E319" s="19">
        <f>IF('Ram - Digital ToDo'!Q319="Escalate to call","CALL NOW",IF('Ram - Digital ToDo'!N319="Bad contact","CALL NOW (digital failed)","Ram is handling - no action"))</f>
        <v/>
      </c>
      <c r="F319" s="19">
        <f>IF(E319="Ram is handling - no action","No action needed",IF(M319="","CALL 1: ring candidate, offer to book on call (Playbook C1)",IF(OR(M319="Scheduled on call",M319="Booked on their behalf"),"DONE: scheduled on call",IF(M319="Not interested/Declined","CLOSED: candidate declined (log + tell lead)",IF(N319="","CALL 2: final attempt (Playbook C2)",IF(OR(N319="Scheduled on call",N319="Booked on their behalf"),"DONE: scheduled on call",IF(N319="Escalate to AM","ESCALATED TO LEAD","Review")))))))</f>
        <v/>
      </c>
      <c r="G319" s="20">
        <f>IF(E319="Ram is handling - no action","",IF(M319="",B319+6/24,IF(AND(M319&lt;&gt;"Scheduled on call",M319&lt;&gt;"Booked on their behalf",M319&lt;&gt;"Not interested/Declined",N319=""),B319+20/24,"")))</f>
        <v/>
      </c>
      <c r="H319" s="19" t="inlineStr">
        <is>
          <t>Chetan</t>
        </is>
      </c>
      <c r="I319" s="19" t="inlineStr">
        <is>
          <t>Google</t>
        </is>
      </c>
      <c r="J319" s="19" t="inlineStr">
        <is>
          <t>Round1</t>
        </is>
      </c>
      <c r="K319" s="22" t="inlineStr">
        <is>
          <t>+91 9920264452</t>
        </is>
      </c>
      <c r="L319" s="19" t="inlineStr">
        <is>
          <t>&lt;calendly_link&gt;</t>
        </is>
      </c>
      <c r="M319" s="19" t="n"/>
      <c r="N319" s="19" t="n"/>
      <c r="O319" s="19">
        <f>IF(OR(M319="Scheduled on call",M319="Booked on their behalf",N319="Scheduled on call",N319="Booked on their behalf"),"SCHEDULED (call)",IF(OR(M319="Not interested/Declined",N319="Not interested/Declined"),"DECLINED",IF(N319="Escalate to AM","ESCALATED TO LEAD",IF(E319="Ram is handling - no action","N/A",IF(M319="","PENDING CALL 1","IN PROGRESS")))))</f>
        <v/>
      </c>
      <c r="P319" s="19">
        <f>IF(OR('Ram - Digital ToDo'!O319="Scheduled",'Ram - Digital ToDo'!Q319="Scheduled"),"Scheduled within SLA (self-serve)",IF(OR(M319="Scheduled on call",M319="Booked on their behalf",N319="Scheduled on call",N319="Booked on their behalf"),"Scheduled within SLA (call)",IF(OR(M319="Not interested/Declined",N319="Not interested/Declined"),"Declined",IF(N319="Escalate to AM","SLA breach - unresolved","In progress"))))</f>
        <v/>
      </c>
      <c r="Q319" s="19" t="n"/>
    </row>
    <row r="320">
      <c r="A320" s="19" t="inlineStr">
        <is>
          <t>REQ-0319</t>
        </is>
      </c>
      <c r="B320" s="20" t="n">
        <v>44867.82708333333</v>
      </c>
      <c r="C320" s="20">
        <f>B320+1</f>
        <v/>
      </c>
      <c r="D320" s="21">
        <f>(C320-NOW())*24</f>
        <v/>
      </c>
      <c r="E320" s="19">
        <f>IF('Ram - Digital ToDo'!Q320="Escalate to call","CALL NOW",IF('Ram - Digital ToDo'!N320="Bad contact","CALL NOW (digital failed)","Ram is handling - no action"))</f>
        <v/>
      </c>
      <c r="F320" s="19">
        <f>IF(E320="Ram is handling - no action","No action needed",IF(M320="","CALL 1: ring candidate, offer to book on call (Playbook C1)",IF(OR(M320="Scheduled on call",M320="Booked on their behalf"),"DONE: scheduled on call",IF(M320="Not interested/Declined","CLOSED: candidate declined (log + tell lead)",IF(N320="","CALL 2: final attempt (Playbook C2)",IF(OR(N320="Scheduled on call",N320="Booked on their behalf"),"DONE: scheduled on call",IF(N320="Escalate to AM","ESCALATED TO LEAD","Review")))))))</f>
        <v/>
      </c>
      <c r="G320" s="20">
        <f>IF(E320="Ram is handling - no action","",IF(M320="",B320+6/24,IF(AND(M320&lt;&gt;"Scheduled on call",M320&lt;&gt;"Booked on their behalf",M320&lt;&gt;"Not interested/Declined",N320=""),B320+20/24,"")))</f>
        <v/>
      </c>
      <c r="H320" s="19" t="inlineStr">
        <is>
          <t>Chetan</t>
        </is>
      </c>
      <c r="I320" s="19" t="inlineStr">
        <is>
          <t>Google</t>
        </is>
      </c>
      <c r="J320" s="19" t="inlineStr">
        <is>
          <t>Round1</t>
        </is>
      </c>
      <c r="K320" s="22" t="inlineStr">
        <is>
          <t>+91 9920264452</t>
        </is>
      </c>
      <c r="L320" s="19" t="inlineStr">
        <is>
          <t>&lt;calendly_link&gt;</t>
        </is>
      </c>
      <c r="M320" s="19" t="n"/>
      <c r="N320" s="19" t="n"/>
      <c r="O320" s="19">
        <f>IF(OR(M320="Scheduled on call",M320="Booked on their behalf",N320="Scheduled on call",N320="Booked on their behalf"),"SCHEDULED (call)",IF(OR(M320="Not interested/Declined",N320="Not interested/Declined"),"DECLINED",IF(N320="Escalate to AM","ESCALATED TO LEAD",IF(E320="Ram is handling - no action","N/A",IF(M320="","PENDING CALL 1","IN PROGRESS")))))</f>
        <v/>
      </c>
      <c r="P320" s="19">
        <f>IF(OR('Ram - Digital ToDo'!O320="Scheduled",'Ram - Digital ToDo'!Q320="Scheduled"),"Scheduled within SLA (self-serve)",IF(OR(M320="Scheduled on call",M320="Booked on their behalf",N320="Scheduled on call",N320="Booked on their behalf"),"Scheduled within SLA (call)",IF(OR(M320="Not interested/Declined",N320="Not interested/Declined"),"Declined",IF(N320="Escalate to AM","SLA breach - unresolved","In progress"))))</f>
        <v/>
      </c>
      <c r="Q320" s="19" t="n"/>
    </row>
    <row r="321">
      <c r="A321" s="19" t="inlineStr">
        <is>
          <t>REQ-0320</t>
        </is>
      </c>
      <c r="B321" s="20" t="n">
        <v>44867.82708333333</v>
      </c>
      <c r="C321" s="20">
        <f>B321+1</f>
        <v/>
      </c>
      <c r="D321" s="21">
        <f>(C321-NOW())*24</f>
        <v/>
      </c>
      <c r="E321" s="19">
        <f>IF('Ram - Digital ToDo'!Q321="Escalate to call","CALL NOW",IF('Ram - Digital ToDo'!N321="Bad contact","CALL NOW (digital failed)","Ram is handling - no action"))</f>
        <v/>
      </c>
      <c r="F321" s="19">
        <f>IF(E321="Ram is handling - no action","No action needed",IF(M321="","CALL 1: ring candidate, offer to book on call (Playbook C1)",IF(OR(M321="Scheduled on call",M321="Booked on their behalf"),"DONE: scheduled on call",IF(M321="Not interested/Declined","CLOSED: candidate declined (log + tell lead)",IF(N321="","CALL 2: final attempt (Playbook C2)",IF(OR(N321="Scheduled on call",N321="Booked on their behalf"),"DONE: scheduled on call",IF(N321="Escalate to AM","ESCALATED TO LEAD","Review")))))))</f>
        <v/>
      </c>
      <c r="G321" s="20">
        <f>IF(E321="Ram is handling - no action","",IF(M321="",B321+6/24,IF(AND(M321&lt;&gt;"Scheduled on call",M321&lt;&gt;"Booked on their behalf",M321&lt;&gt;"Not interested/Declined",N321=""),B321+20/24,"")))</f>
        <v/>
      </c>
      <c r="H321" s="19" t="inlineStr">
        <is>
          <t>Chetan</t>
        </is>
      </c>
      <c r="I321" s="19" t="inlineStr">
        <is>
          <t>Google</t>
        </is>
      </c>
      <c r="J321" s="19" t="inlineStr">
        <is>
          <t>Round1</t>
        </is>
      </c>
      <c r="K321" s="22" t="inlineStr">
        <is>
          <t>+91 9920264452</t>
        </is>
      </c>
      <c r="L321" s="19" t="inlineStr">
        <is>
          <t>&lt;calendly_link&gt;</t>
        </is>
      </c>
      <c r="M321" s="19" t="n"/>
      <c r="N321" s="19" t="n"/>
      <c r="O321" s="19">
        <f>IF(OR(M321="Scheduled on call",M321="Booked on their behalf",N321="Scheduled on call",N321="Booked on their behalf"),"SCHEDULED (call)",IF(OR(M321="Not interested/Declined",N321="Not interested/Declined"),"DECLINED",IF(N321="Escalate to AM","ESCALATED TO LEAD",IF(E321="Ram is handling - no action","N/A",IF(M321="","PENDING CALL 1","IN PROGRESS")))))</f>
        <v/>
      </c>
      <c r="P321" s="19">
        <f>IF(OR('Ram - Digital ToDo'!O321="Scheduled",'Ram - Digital ToDo'!Q321="Scheduled"),"Scheduled within SLA (self-serve)",IF(OR(M321="Scheduled on call",M321="Booked on their behalf",N321="Scheduled on call",N321="Booked on their behalf"),"Scheduled within SLA (call)",IF(OR(M321="Not interested/Declined",N321="Not interested/Declined"),"Declined",IF(N321="Escalate to AM","SLA breach - unresolved","In progress"))))</f>
        <v/>
      </c>
      <c r="Q321" s="19" t="n"/>
    </row>
    <row r="322">
      <c r="A322" s="19" t="inlineStr">
        <is>
          <t>REQ-0321</t>
        </is>
      </c>
      <c r="B322" s="20" t="n">
        <v>44867.82708333333</v>
      </c>
      <c r="C322" s="20">
        <f>B322+1</f>
        <v/>
      </c>
      <c r="D322" s="21">
        <f>(C322-NOW())*24</f>
        <v/>
      </c>
      <c r="E322" s="19">
        <f>IF('Ram - Digital ToDo'!Q322="Escalate to call","CALL NOW",IF('Ram - Digital ToDo'!N322="Bad contact","CALL NOW (digital failed)","Ram is handling - no action"))</f>
        <v/>
      </c>
      <c r="F322" s="19">
        <f>IF(E322="Ram is handling - no action","No action needed",IF(M322="","CALL 1: ring candidate, offer to book on call (Playbook C1)",IF(OR(M322="Scheduled on call",M322="Booked on their behalf"),"DONE: scheduled on call",IF(M322="Not interested/Declined","CLOSED: candidate declined (log + tell lead)",IF(N322="","CALL 2: final attempt (Playbook C2)",IF(OR(N322="Scheduled on call",N322="Booked on their behalf"),"DONE: scheduled on call",IF(N322="Escalate to AM","ESCALATED TO LEAD","Review")))))))</f>
        <v/>
      </c>
      <c r="G322" s="20">
        <f>IF(E322="Ram is handling - no action","",IF(M322="",B322+6/24,IF(AND(M322&lt;&gt;"Scheduled on call",M322&lt;&gt;"Booked on their behalf",M322&lt;&gt;"Not interested/Declined",N322=""),B322+20/24,"")))</f>
        <v/>
      </c>
      <c r="H322" s="19" t="inlineStr">
        <is>
          <t>Chetan</t>
        </is>
      </c>
      <c r="I322" s="19" t="inlineStr">
        <is>
          <t>Google</t>
        </is>
      </c>
      <c r="J322" s="19" t="inlineStr">
        <is>
          <t>Round1</t>
        </is>
      </c>
      <c r="K322" s="22" t="inlineStr">
        <is>
          <t>+91 9920264452</t>
        </is>
      </c>
      <c r="L322" s="19" t="inlineStr">
        <is>
          <t>&lt;calendly_link&gt;</t>
        </is>
      </c>
      <c r="M322" s="19" t="n"/>
      <c r="N322" s="19" t="n"/>
      <c r="O322" s="19">
        <f>IF(OR(M322="Scheduled on call",M322="Booked on their behalf",N322="Scheduled on call",N322="Booked on their behalf"),"SCHEDULED (call)",IF(OR(M322="Not interested/Declined",N322="Not interested/Declined"),"DECLINED",IF(N322="Escalate to AM","ESCALATED TO LEAD",IF(E322="Ram is handling - no action","N/A",IF(M322="","PENDING CALL 1","IN PROGRESS")))))</f>
        <v/>
      </c>
      <c r="P322" s="19">
        <f>IF(OR('Ram - Digital ToDo'!O322="Scheduled",'Ram - Digital ToDo'!Q322="Scheduled"),"Scheduled within SLA (self-serve)",IF(OR(M322="Scheduled on call",M322="Booked on their behalf",N322="Scheduled on call",N322="Booked on their behalf"),"Scheduled within SLA (call)",IF(OR(M322="Not interested/Declined",N322="Not interested/Declined"),"Declined",IF(N322="Escalate to AM","SLA breach - unresolved","In progress"))))</f>
        <v/>
      </c>
      <c r="Q322" s="19" t="n"/>
    </row>
    <row r="323">
      <c r="A323" s="19" t="inlineStr">
        <is>
          <t>REQ-0322</t>
        </is>
      </c>
      <c r="B323" s="20" t="n">
        <v>44867.82708333333</v>
      </c>
      <c r="C323" s="20">
        <f>B323+1</f>
        <v/>
      </c>
      <c r="D323" s="21">
        <f>(C323-NOW())*24</f>
        <v/>
      </c>
      <c r="E323" s="19">
        <f>IF('Ram - Digital ToDo'!Q323="Escalate to call","CALL NOW",IF('Ram - Digital ToDo'!N323="Bad contact","CALL NOW (digital failed)","Ram is handling - no action"))</f>
        <v/>
      </c>
      <c r="F323" s="19">
        <f>IF(E323="Ram is handling - no action","No action needed",IF(M323="","CALL 1: ring candidate, offer to book on call (Playbook C1)",IF(OR(M323="Scheduled on call",M323="Booked on their behalf"),"DONE: scheduled on call",IF(M323="Not interested/Declined","CLOSED: candidate declined (log + tell lead)",IF(N323="","CALL 2: final attempt (Playbook C2)",IF(OR(N323="Scheduled on call",N323="Booked on their behalf"),"DONE: scheduled on call",IF(N323="Escalate to AM","ESCALATED TO LEAD","Review")))))))</f>
        <v/>
      </c>
      <c r="G323" s="20">
        <f>IF(E323="Ram is handling - no action","",IF(M323="",B323+6/24,IF(AND(M323&lt;&gt;"Scheduled on call",M323&lt;&gt;"Booked on their behalf",M323&lt;&gt;"Not interested/Declined",N323=""),B323+20/24,"")))</f>
        <v/>
      </c>
      <c r="H323" s="19" t="inlineStr">
        <is>
          <t>Chetan</t>
        </is>
      </c>
      <c r="I323" s="19" t="inlineStr">
        <is>
          <t>Google</t>
        </is>
      </c>
      <c r="J323" s="19" t="inlineStr">
        <is>
          <t>Round1</t>
        </is>
      </c>
      <c r="K323" s="22" t="inlineStr">
        <is>
          <t>+91 9920264452</t>
        </is>
      </c>
      <c r="L323" s="19" t="inlineStr">
        <is>
          <t>&lt;calendly_link&gt;</t>
        </is>
      </c>
      <c r="M323" s="19" t="n"/>
      <c r="N323" s="19" t="n"/>
      <c r="O323" s="19">
        <f>IF(OR(M323="Scheduled on call",M323="Booked on their behalf",N323="Scheduled on call",N323="Booked on their behalf"),"SCHEDULED (call)",IF(OR(M323="Not interested/Declined",N323="Not interested/Declined"),"DECLINED",IF(N323="Escalate to AM","ESCALATED TO LEAD",IF(E323="Ram is handling - no action","N/A",IF(M323="","PENDING CALL 1","IN PROGRESS")))))</f>
        <v/>
      </c>
      <c r="P323" s="19">
        <f>IF(OR('Ram - Digital ToDo'!O323="Scheduled",'Ram - Digital ToDo'!Q323="Scheduled"),"Scheduled within SLA (self-serve)",IF(OR(M323="Scheduled on call",M323="Booked on their behalf",N323="Scheduled on call",N323="Booked on their behalf"),"Scheduled within SLA (call)",IF(OR(M323="Not interested/Declined",N323="Not interested/Declined"),"Declined",IF(N323="Escalate to AM","SLA breach - unresolved","In progress"))))</f>
        <v/>
      </c>
      <c r="Q323" s="19" t="n"/>
    </row>
    <row r="324">
      <c r="A324" s="19" t="inlineStr">
        <is>
          <t>REQ-0323</t>
        </is>
      </c>
      <c r="B324" s="20" t="n">
        <v>44867.82708333333</v>
      </c>
      <c r="C324" s="20">
        <f>B324+1</f>
        <v/>
      </c>
      <c r="D324" s="21">
        <f>(C324-NOW())*24</f>
        <v/>
      </c>
      <c r="E324" s="19">
        <f>IF('Ram - Digital ToDo'!Q324="Escalate to call","CALL NOW",IF('Ram - Digital ToDo'!N324="Bad contact","CALL NOW (digital failed)","Ram is handling - no action"))</f>
        <v/>
      </c>
      <c r="F324" s="19">
        <f>IF(E324="Ram is handling - no action","No action needed",IF(M324="","CALL 1: ring candidate, offer to book on call (Playbook C1)",IF(OR(M324="Scheduled on call",M324="Booked on their behalf"),"DONE: scheduled on call",IF(M324="Not interested/Declined","CLOSED: candidate declined (log + tell lead)",IF(N324="","CALL 2: final attempt (Playbook C2)",IF(OR(N324="Scheduled on call",N324="Booked on their behalf"),"DONE: scheduled on call",IF(N324="Escalate to AM","ESCALATED TO LEAD","Review")))))))</f>
        <v/>
      </c>
      <c r="G324" s="20">
        <f>IF(E324="Ram is handling - no action","",IF(M324="",B324+6/24,IF(AND(M324&lt;&gt;"Scheduled on call",M324&lt;&gt;"Booked on their behalf",M324&lt;&gt;"Not interested/Declined",N324=""),B324+20/24,"")))</f>
        <v/>
      </c>
      <c r="H324" s="19" t="inlineStr">
        <is>
          <t>Chetan</t>
        </is>
      </c>
      <c r="I324" s="19" t="inlineStr">
        <is>
          <t>Google</t>
        </is>
      </c>
      <c r="J324" s="19" t="inlineStr">
        <is>
          <t>Round1</t>
        </is>
      </c>
      <c r="K324" s="22" t="inlineStr">
        <is>
          <t>+91 9920264452</t>
        </is>
      </c>
      <c r="L324" s="19" t="inlineStr">
        <is>
          <t>&lt;calendly_link&gt;</t>
        </is>
      </c>
      <c r="M324" s="19" t="n"/>
      <c r="N324" s="19" t="n"/>
      <c r="O324" s="19">
        <f>IF(OR(M324="Scheduled on call",M324="Booked on their behalf",N324="Scheduled on call",N324="Booked on their behalf"),"SCHEDULED (call)",IF(OR(M324="Not interested/Declined",N324="Not interested/Declined"),"DECLINED",IF(N324="Escalate to AM","ESCALATED TO LEAD",IF(E324="Ram is handling - no action","N/A",IF(M324="","PENDING CALL 1","IN PROGRESS")))))</f>
        <v/>
      </c>
      <c r="P324" s="19">
        <f>IF(OR('Ram - Digital ToDo'!O324="Scheduled",'Ram - Digital ToDo'!Q324="Scheduled"),"Scheduled within SLA (self-serve)",IF(OR(M324="Scheduled on call",M324="Booked on their behalf",N324="Scheduled on call",N324="Booked on their behalf"),"Scheduled within SLA (call)",IF(OR(M324="Not interested/Declined",N324="Not interested/Declined"),"Declined",IF(N324="Escalate to AM","SLA breach - unresolved","In progress"))))</f>
        <v/>
      </c>
      <c r="Q324" s="19" t="n"/>
    </row>
    <row r="325">
      <c r="A325" s="19" t="inlineStr">
        <is>
          <t>REQ-0324</t>
        </is>
      </c>
      <c r="B325" s="20" t="n">
        <v>44867.82708333333</v>
      </c>
      <c r="C325" s="20">
        <f>B325+1</f>
        <v/>
      </c>
      <c r="D325" s="21">
        <f>(C325-NOW())*24</f>
        <v/>
      </c>
      <c r="E325" s="19">
        <f>IF('Ram - Digital ToDo'!Q325="Escalate to call","CALL NOW",IF('Ram - Digital ToDo'!N325="Bad contact","CALL NOW (digital failed)","Ram is handling - no action"))</f>
        <v/>
      </c>
      <c r="F325" s="19">
        <f>IF(E325="Ram is handling - no action","No action needed",IF(M325="","CALL 1: ring candidate, offer to book on call (Playbook C1)",IF(OR(M325="Scheduled on call",M325="Booked on their behalf"),"DONE: scheduled on call",IF(M325="Not interested/Declined","CLOSED: candidate declined (log + tell lead)",IF(N325="","CALL 2: final attempt (Playbook C2)",IF(OR(N325="Scheduled on call",N325="Booked on their behalf"),"DONE: scheduled on call",IF(N325="Escalate to AM","ESCALATED TO LEAD","Review")))))))</f>
        <v/>
      </c>
      <c r="G325" s="20">
        <f>IF(E325="Ram is handling - no action","",IF(M325="",B325+6/24,IF(AND(M325&lt;&gt;"Scheduled on call",M325&lt;&gt;"Booked on their behalf",M325&lt;&gt;"Not interested/Declined",N325=""),B325+20/24,"")))</f>
        <v/>
      </c>
      <c r="H325" s="19" t="inlineStr">
        <is>
          <t>Chetan</t>
        </is>
      </c>
      <c r="I325" s="19" t="inlineStr">
        <is>
          <t>Google</t>
        </is>
      </c>
      <c r="J325" s="19" t="inlineStr">
        <is>
          <t>Round1</t>
        </is>
      </c>
      <c r="K325" s="22" t="inlineStr">
        <is>
          <t>+91 9920264452</t>
        </is>
      </c>
      <c r="L325" s="19" t="inlineStr">
        <is>
          <t>&lt;calendly_link&gt;</t>
        </is>
      </c>
      <c r="M325" s="19" t="n"/>
      <c r="N325" s="19" t="n"/>
      <c r="O325" s="19">
        <f>IF(OR(M325="Scheduled on call",M325="Booked on their behalf",N325="Scheduled on call",N325="Booked on their behalf"),"SCHEDULED (call)",IF(OR(M325="Not interested/Declined",N325="Not interested/Declined"),"DECLINED",IF(N325="Escalate to AM","ESCALATED TO LEAD",IF(E325="Ram is handling - no action","N/A",IF(M325="","PENDING CALL 1","IN PROGRESS")))))</f>
        <v/>
      </c>
      <c r="P325" s="19">
        <f>IF(OR('Ram - Digital ToDo'!O325="Scheduled",'Ram - Digital ToDo'!Q325="Scheduled"),"Scheduled within SLA (self-serve)",IF(OR(M325="Scheduled on call",M325="Booked on their behalf",N325="Scheduled on call",N325="Booked on their behalf"),"Scheduled within SLA (call)",IF(OR(M325="Not interested/Declined",N325="Not interested/Declined"),"Declined",IF(N325="Escalate to AM","SLA breach - unresolved","In progress"))))</f>
        <v/>
      </c>
      <c r="Q325" s="19" t="n"/>
    </row>
    <row r="326">
      <c r="A326" s="19" t="inlineStr">
        <is>
          <t>REQ-0325</t>
        </is>
      </c>
      <c r="B326" s="20" t="n">
        <v>44867.82708333333</v>
      </c>
      <c r="C326" s="20">
        <f>B326+1</f>
        <v/>
      </c>
      <c r="D326" s="21">
        <f>(C326-NOW())*24</f>
        <v/>
      </c>
      <c r="E326" s="19">
        <f>IF('Ram - Digital ToDo'!Q326="Escalate to call","CALL NOW",IF('Ram - Digital ToDo'!N326="Bad contact","CALL NOW (digital failed)","Ram is handling - no action"))</f>
        <v/>
      </c>
      <c r="F326" s="19">
        <f>IF(E326="Ram is handling - no action","No action needed",IF(M326="","CALL 1: ring candidate, offer to book on call (Playbook C1)",IF(OR(M326="Scheduled on call",M326="Booked on their behalf"),"DONE: scheduled on call",IF(M326="Not interested/Declined","CLOSED: candidate declined (log + tell lead)",IF(N326="","CALL 2: final attempt (Playbook C2)",IF(OR(N326="Scheduled on call",N326="Booked on their behalf"),"DONE: scheduled on call",IF(N326="Escalate to AM","ESCALATED TO LEAD","Review")))))))</f>
        <v/>
      </c>
      <c r="G326" s="20">
        <f>IF(E326="Ram is handling - no action","",IF(M326="",B326+6/24,IF(AND(M326&lt;&gt;"Scheduled on call",M326&lt;&gt;"Booked on their behalf",M326&lt;&gt;"Not interested/Declined",N326=""),B326+20/24,"")))</f>
        <v/>
      </c>
      <c r="H326" s="19" t="inlineStr">
        <is>
          <t>Chetan</t>
        </is>
      </c>
      <c r="I326" s="19" t="inlineStr">
        <is>
          <t>Google</t>
        </is>
      </c>
      <c r="J326" s="19" t="inlineStr">
        <is>
          <t>Round1</t>
        </is>
      </c>
      <c r="K326" s="22" t="inlineStr">
        <is>
          <t>+91 9920264452</t>
        </is>
      </c>
      <c r="L326" s="19" t="inlineStr">
        <is>
          <t>&lt;calendly_link&gt;</t>
        </is>
      </c>
      <c r="M326" s="19" t="n"/>
      <c r="N326" s="19" t="n"/>
      <c r="O326" s="19">
        <f>IF(OR(M326="Scheduled on call",M326="Booked on their behalf",N326="Scheduled on call",N326="Booked on their behalf"),"SCHEDULED (call)",IF(OR(M326="Not interested/Declined",N326="Not interested/Declined"),"DECLINED",IF(N326="Escalate to AM","ESCALATED TO LEAD",IF(E326="Ram is handling - no action","N/A",IF(M326="","PENDING CALL 1","IN PROGRESS")))))</f>
        <v/>
      </c>
      <c r="P326" s="19">
        <f>IF(OR('Ram - Digital ToDo'!O326="Scheduled",'Ram - Digital ToDo'!Q326="Scheduled"),"Scheduled within SLA (self-serve)",IF(OR(M326="Scheduled on call",M326="Booked on their behalf",N326="Scheduled on call",N326="Booked on their behalf"),"Scheduled within SLA (call)",IF(OR(M326="Not interested/Declined",N326="Not interested/Declined"),"Declined",IF(N326="Escalate to AM","SLA breach - unresolved","In progress"))))</f>
        <v/>
      </c>
      <c r="Q326" s="19" t="n"/>
    </row>
    <row r="327">
      <c r="A327" s="19" t="inlineStr">
        <is>
          <t>REQ-0326</t>
        </is>
      </c>
      <c r="B327" s="20" t="n">
        <v>44867.82708333333</v>
      </c>
      <c r="C327" s="20">
        <f>B327+1</f>
        <v/>
      </c>
      <c r="D327" s="21">
        <f>(C327-NOW())*24</f>
        <v/>
      </c>
      <c r="E327" s="19">
        <f>IF('Ram - Digital ToDo'!Q327="Escalate to call","CALL NOW",IF('Ram - Digital ToDo'!N327="Bad contact","CALL NOW (digital failed)","Ram is handling - no action"))</f>
        <v/>
      </c>
      <c r="F327" s="19">
        <f>IF(E327="Ram is handling - no action","No action needed",IF(M327="","CALL 1: ring candidate, offer to book on call (Playbook C1)",IF(OR(M327="Scheduled on call",M327="Booked on their behalf"),"DONE: scheduled on call",IF(M327="Not interested/Declined","CLOSED: candidate declined (log + tell lead)",IF(N327="","CALL 2: final attempt (Playbook C2)",IF(OR(N327="Scheduled on call",N327="Booked on their behalf"),"DONE: scheduled on call",IF(N327="Escalate to AM","ESCALATED TO LEAD","Review")))))))</f>
        <v/>
      </c>
      <c r="G327" s="20">
        <f>IF(E327="Ram is handling - no action","",IF(M327="",B327+6/24,IF(AND(M327&lt;&gt;"Scheduled on call",M327&lt;&gt;"Booked on their behalf",M327&lt;&gt;"Not interested/Declined",N327=""),B327+20/24,"")))</f>
        <v/>
      </c>
      <c r="H327" s="19" t="inlineStr">
        <is>
          <t>Chetan</t>
        </is>
      </c>
      <c r="I327" s="19" t="inlineStr">
        <is>
          <t>Google</t>
        </is>
      </c>
      <c r="J327" s="19" t="inlineStr">
        <is>
          <t>Round1</t>
        </is>
      </c>
      <c r="K327" s="22" t="inlineStr">
        <is>
          <t>+91 9920264452</t>
        </is>
      </c>
      <c r="L327" s="19" t="inlineStr">
        <is>
          <t>&lt;calendly_link&gt;</t>
        </is>
      </c>
      <c r="M327" s="19" t="n"/>
      <c r="N327" s="19" t="n"/>
      <c r="O327" s="19">
        <f>IF(OR(M327="Scheduled on call",M327="Booked on their behalf",N327="Scheduled on call",N327="Booked on their behalf"),"SCHEDULED (call)",IF(OR(M327="Not interested/Declined",N327="Not interested/Declined"),"DECLINED",IF(N327="Escalate to AM","ESCALATED TO LEAD",IF(E327="Ram is handling - no action","N/A",IF(M327="","PENDING CALL 1","IN PROGRESS")))))</f>
        <v/>
      </c>
      <c r="P327" s="19">
        <f>IF(OR('Ram - Digital ToDo'!O327="Scheduled",'Ram - Digital ToDo'!Q327="Scheduled"),"Scheduled within SLA (self-serve)",IF(OR(M327="Scheduled on call",M327="Booked on their behalf",N327="Scheduled on call",N327="Booked on their behalf"),"Scheduled within SLA (call)",IF(OR(M327="Not interested/Declined",N327="Not interested/Declined"),"Declined",IF(N327="Escalate to AM","SLA breach - unresolved","In progress"))))</f>
        <v/>
      </c>
      <c r="Q327" s="19" t="n"/>
    </row>
    <row r="328">
      <c r="A328" s="19" t="inlineStr">
        <is>
          <t>REQ-0327</t>
        </is>
      </c>
      <c r="B328" s="20" t="n">
        <v>44867.82708333333</v>
      </c>
      <c r="C328" s="20">
        <f>B328+1</f>
        <v/>
      </c>
      <c r="D328" s="21">
        <f>(C328-NOW())*24</f>
        <v/>
      </c>
      <c r="E328" s="19">
        <f>IF('Ram - Digital ToDo'!Q328="Escalate to call","CALL NOW",IF('Ram - Digital ToDo'!N328="Bad contact","CALL NOW (digital failed)","Ram is handling - no action"))</f>
        <v/>
      </c>
      <c r="F328" s="19">
        <f>IF(E328="Ram is handling - no action","No action needed",IF(M328="","CALL 1: ring candidate, offer to book on call (Playbook C1)",IF(OR(M328="Scheduled on call",M328="Booked on their behalf"),"DONE: scheduled on call",IF(M328="Not interested/Declined","CLOSED: candidate declined (log + tell lead)",IF(N328="","CALL 2: final attempt (Playbook C2)",IF(OR(N328="Scheduled on call",N328="Booked on their behalf"),"DONE: scheduled on call",IF(N328="Escalate to AM","ESCALATED TO LEAD","Review")))))))</f>
        <v/>
      </c>
      <c r="G328" s="20">
        <f>IF(E328="Ram is handling - no action","",IF(M328="",B328+6/24,IF(AND(M328&lt;&gt;"Scheduled on call",M328&lt;&gt;"Booked on their behalf",M328&lt;&gt;"Not interested/Declined",N328=""),B328+20/24,"")))</f>
        <v/>
      </c>
      <c r="H328" s="19" t="inlineStr">
        <is>
          <t>Chetan</t>
        </is>
      </c>
      <c r="I328" s="19" t="inlineStr">
        <is>
          <t>Google</t>
        </is>
      </c>
      <c r="J328" s="19" t="inlineStr">
        <is>
          <t>Round1</t>
        </is>
      </c>
      <c r="K328" s="22" t="inlineStr">
        <is>
          <t>+91 9920264452</t>
        </is>
      </c>
      <c r="L328" s="19" t="inlineStr">
        <is>
          <t>&lt;calendly_link&gt;</t>
        </is>
      </c>
      <c r="M328" s="19" t="n"/>
      <c r="N328" s="19" t="n"/>
      <c r="O328" s="19">
        <f>IF(OR(M328="Scheduled on call",M328="Booked on their behalf",N328="Scheduled on call",N328="Booked on their behalf"),"SCHEDULED (call)",IF(OR(M328="Not interested/Declined",N328="Not interested/Declined"),"DECLINED",IF(N328="Escalate to AM","ESCALATED TO LEAD",IF(E328="Ram is handling - no action","N/A",IF(M328="","PENDING CALL 1","IN PROGRESS")))))</f>
        <v/>
      </c>
      <c r="P328" s="19">
        <f>IF(OR('Ram - Digital ToDo'!O328="Scheduled",'Ram - Digital ToDo'!Q328="Scheduled"),"Scheduled within SLA (self-serve)",IF(OR(M328="Scheduled on call",M328="Booked on their behalf",N328="Scheduled on call",N328="Booked on their behalf"),"Scheduled within SLA (call)",IF(OR(M328="Not interested/Declined",N328="Not interested/Declined"),"Declined",IF(N328="Escalate to AM","SLA breach - unresolved","In progress"))))</f>
        <v/>
      </c>
      <c r="Q328" s="19" t="n"/>
    </row>
    <row r="329">
      <c r="A329" s="19" t="inlineStr">
        <is>
          <t>REQ-0328</t>
        </is>
      </c>
      <c r="B329" s="20" t="n">
        <v>44867.82708333333</v>
      </c>
      <c r="C329" s="20">
        <f>B329+1</f>
        <v/>
      </c>
      <c r="D329" s="21">
        <f>(C329-NOW())*24</f>
        <v/>
      </c>
      <c r="E329" s="19">
        <f>IF('Ram - Digital ToDo'!Q329="Escalate to call","CALL NOW",IF('Ram - Digital ToDo'!N329="Bad contact","CALL NOW (digital failed)","Ram is handling - no action"))</f>
        <v/>
      </c>
      <c r="F329" s="19">
        <f>IF(E329="Ram is handling - no action","No action needed",IF(M329="","CALL 1: ring candidate, offer to book on call (Playbook C1)",IF(OR(M329="Scheduled on call",M329="Booked on their behalf"),"DONE: scheduled on call",IF(M329="Not interested/Declined","CLOSED: candidate declined (log + tell lead)",IF(N329="","CALL 2: final attempt (Playbook C2)",IF(OR(N329="Scheduled on call",N329="Booked on their behalf"),"DONE: scheduled on call",IF(N329="Escalate to AM","ESCALATED TO LEAD","Review")))))))</f>
        <v/>
      </c>
      <c r="G329" s="20">
        <f>IF(E329="Ram is handling - no action","",IF(M329="",B329+6/24,IF(AND(M329&lt;&gt;"Scheduled on call",M329&lt;&gt;"Booked on their behalf",M329&lt;&gt;"Not interested/Declined",N329=""),B329+20/24,"")))</f>
        <v/>
      </c>
      <c r="H329" s="19" t="inlineStr">
        <is>
          <t>Chetan</t>
        </is>
      </c>
      <c r="I329" s="19" t="inlineStr">
        <is>
          <t>Google</t>
        </is>
      </c>
      <c r="J329" s="19" t="inlineStr">
        <is>
          <t>Round1</t>
        </is>
      </c>
      <c r="K329" s="22" t="inlineStr">
        <is>
          <t>+91 9920264452</t>
        </is>
      </c>
      <c r="L329" s="19" t="inlineStr">
        <is>
          <t>&lt;calendly_link&gt;</t>
        </is>
      </c>
      <c r="M329" s="19" t="n"/>
      <c r="N329" s="19" t="n"/>
      <c r="O329" s="19">
        <f>IF(OR(M329="Scheduled on call",M329="Booked on their behalf",N329="Scheduled on call",N329="Booked on their behalf"),"SCHEDULED (call)",IF(OR(M329="Not interested/Declined",N329="Not interested/Declined"),"DECLINED",IF(N329="Escalate to AM","ESCALATED TO LEAD",IF(E329="Ram is handling - no action","N/A",IF(M329="","PENDING CALL 1","IN PROGRESS")))))</f>
        <v/>
      </c>
      <c r="P329" s="19">
        <f>IF(OR('Ram - Digital ToDo'!O329="Scheduled",'Ram - Digital ToDo'!Q329="Scheduled"),"Scheduled within SLA (self-serve)",IF(OR(M329="Scheduled on call",M329="Booked on their behalf",N329="Scheduled on call",N329="Booked on their behalf"),"Scheduled within SLA (call)",IF(OR(M329="Not interested/Declined",N329="Not interested/Declined"),"Declined",IF(N329="Escalate to AM","SLA breach - unresolved","In progress"))))</f>
        <v/>
      </c>
      <c r="Q329" s="19" t="n"/>
    </row>
    <row r="330">
      <c r="A330" s="19" t="inlineStr">
        <is>
          <t>REQ-0329</t>
        </is>
      </c>
      <c r="B330" s="20" t="n">
        <v>44867.82708333333</v>
      </c>
      <c r="C330" s="20">
        <f>B330+1</f>
        <v/>
      </c>
      <c r="D330" s="21">
        <f>(C330-NOW())*24</f>
        <v/>
      </c>
      <c r="E330" s="19">
        <f>IF('Ram - Digital ToDo'!Q330="Escalate to call","CALL NOW",IF('Ram - Digital ToDo'!N330="Bad contact","CALL NOW (digital failed)","Ram is handling - no action"))</f>
        <v/>
      </c>
      <c r="F330" s="19">
        <f>IF(E330="Ram is handling - no action","No action needed",IF(M330="","CALL 1: ring candidate, offer to book on call (Playbook C1)",IF(OR(M330="Scheduled on call",M330="Booked on their behalf"),"DONE: scheduled on call",IF(M330="Not interested/Declined","CLOSED: candidate declined (log + tell lead)",IF(N330="","CALL 2: final attempt (Playbook C2)",IF(OR(N330="Scheduled on call",N330="Booked on their behalf"),"DONE: scheduled on call",IF(N330="Escalate to AM","ESCALATED TO LEAD","Review")))))))</f>
        <v/>
      </c>
      <c r="G330" s="20">
        <f>IF(E330="Ram is handling - no action","",IF(M330="",B330+6/24,IF(AND(M330&lt;&gt;"Scheduled on call",M330&lt;&gt;"Booked on their behalf",M330&lt;&gt;"Not interested/Declined",N330=""),B330+20/24,"")))</f>
        <v/>
      </c>
      <c r="H330" s="19" t="inlineStr">
        <is>
          <t>Chetan</t>
        </is>
      </c>
      <c r="I330" s="19" t="inlineStr">
        <is>
          <t>Google</t>
        </is>
      </c>
      <c r="J330" s="19" t="inlineStr">
        <is>
          <t>Round1</t>
        </is>
      </c>
      <c r="K330" s="22" t="inlineStr">
        <is>
          <t>+91 9920264452</t>
        </is>
      </c>
      <c r="L330" s="19" t="inlineStr">
        <is>
          <t>&lt;calendly_link&gt;</t>
        </is>
      </c>
      <c r="M330" s="19" t="n"/>
      <c r="N330" s="19" t="n"/>
      <c r="O330" s="19">
        <f>IF(OR(M330="Scheduled on call",M330="Booked on their behalf",N330="Scheduled on call",N330="Booked on their behalf"),"SCHEDULED (call)",IF(OR(M330="Not interested/Declined",N330="Not interested/Declined"),"DECLINED",IF(N330="Escalate to AM","ESCALATED TO LEAD",IF(E330="Ram is handling - no action","N/A",IF(M330="","PENDING CALL 1","IN PROGRESS")))))</f>
        <v/>
      </c>
      <c r="P330" s="19">
        <f>IF(OR('Ram - Digital ToDo'!O330="Scheduled",'Ram - Digital ToDo'!Q330="Scheduled"),"Scheduled within SLA (self-serve)",IF(OR(M330="Scheduled on call",M330="Booked on their behalf",N330="Scheduled on call",N330="Booked on their behalf"),"Scheduled within SLA (call)",IF(OR(M330="Not interested/Declined",N330="Not interested/Declined"),"Declined",IF(N330="Escalate to AM","SLA breach - unresolved","In progress"))))</f>
        <v/>
      </c>
      <c r="Q330" s="19" t="n"/>
    </row>
    <row r="331">
      <c r="A331" s="19" t="inlineStr">
        <is>
          <t>REQ-0330</t>
        </is>
      </c>
      <c r="B331" s="20" t="n">
        <v>44867.82708333333</v>
      </c>
      <c r="C331" s="20">
        <f>B331+1</f>
        <v/>
      </c>
      <c r="D331" s="21">
        <f>(C331-NOW())*24</f>
        <v/>
      </c>
      <c r="E331" s="19">
        <f>IF('Ram - Digital ToDo'!Q331="Escalate to call","CALL NOW",IF('Ram - Digital ToDo'!N331="Bad contact","CALL NOW (digital failed)","Ram is handling - no action"))</f>
        <v/>
      </c>
      <c r="F331" s="19">
        <f>IF(E331="Ram is handling - no action","No action needed",IF(M331="","CALL 1: ring candidate, offer to book on call (Playbook C1)",IF(OR(M331="Scheduled on call",M331="Booked on their behalf"),"DONE: scheduled on call",IF(M331="Not interested/Declined","CLOSED: candidate declined (log + tell lead)",IF(N331="","CALL 2: final attempt (Playbook C2)",IF(OR(N331="Scheduled on call",N331="Booked on their behalf"),"DONE: scheduled on call",IF(N331="Escalate to AM","ESCALATED TO LEAD","Review")))))))</f>
        <v/>
      </c>
      <c r="G331" s="20">
        <f>IF(E331="Ram is handling - no action","",IF(M331="",B331+6/24,IF(AND(M331&lt;&gt;"Scheduled on call",M331&lt;&gt;"Booked on their behalf",M331&lt;&gt;"Not interested/Declined",N331=""),B331+20/24,"")))</f>
        <v/>
      </c>
      <c r="H331" s="19" t="inlineStr">
        <is>
          <t>Chetan</t>
        </is>
      </c>
      <c r="I331" s="19" t="inlineStr">
        <is>
          <t>Google</t>
        </is>
      </c>
      <c r="J331" s="19" t="inlineStr">
        <is>
          <t>Round1</t>
        </is>
      </c>
      <c r="K331" s="22" t="inlineStr">
        <is>
          <t>+91 9920264452</t>
        </is>
      </c>
      <c r="L331" s="19" t="inlineStr">
        <is>
          <t>&lt;calendly_link&gt;</t>
        </is>
      </c>
      <c r="M331" s="19" t="n"/>
      <c r="N331" s="19" t="n"/>
      <c r="O331" s="19">
        <f>IF(OR(M331="Scheduled on call",M331="Booked on their behalf",N331="Scheduled on call",N331="Booked on their behalf"),"SCHEDULED (call)",IF(OR(M331="Not interested/Declined",N331="Not interested/Declined"),"DECLINED",IF(N331="Escalate to AM","ESCALATED TO LEAD",IF(E331="Ram is handling - no action","N/A",IF(M331="","PENDING CALL 1","IN PROGRESS")))))</f>
        <v/>
      </c>
      <c r="P331" s="19">
        <f>IF(OR('Ram - Digital ToDo'!O331="Scheduled",'Ram - Digital ToDo'!Q331="Scheduled"),"Scheduled within SLA (self-serve)",IF(OR(M331="Scheduled on call",M331="Booked on their behalf",N331="Scheduled on call",N331="Booked on their behalf"),"Scheduled within SLA (call)",IF(OR(M331="Not interested/Declined",N331="Not interested/Declined"),"Declined",IF(N331="Escalate to AM","SLA breach - unresolved","In progress"))))</f>
        <v/>
      </c>
      <c r="Q331" s="19" t="n"/>
    </row>
    <row r="332">
      <c r="A332" s="19" t="inlineStr">
        <is>
          <t>REQ-0331</t>
        </is>
      </c>
      <c r="B332" s="20" t="n">
        <v>44867.82708333333</v>
      </c>
      <c r="C332" s="20">
        <f>B332+1</f>
        <v/>
      </c>
      <c r="D332" s="21">
        <f>(C332-NOW())*24</f>
        <v/>
      </c>
      <c r="E332" s="19">
        <f>IF('Ram - Digital ToDo'!Q332="Escalate to call","CALL NOW",IF('Ram - Digital ToDo'!N332="Bad contact","CALL NOW (digital failed)","Ram is handling - no action"))</f>
        <v/>
      </c>
      <c r="F332" s="19">
        <f>IF(E332="Ram is handling - no action","No action needed",IF(M332="","CALL 1: ring candidate, offer to book on call (Playbook C1)",IF(OR(M332="Scheduled on call",M332="Booked on their behalf"),"DONE: scheduled on call",IF(M332="Not interested/Declined","CLOSED: candidate declined (log + tell lead)",IF(N332="","CALL 2: final attempt (Playbook C2)",IF(OR(N332="Scheduled on call",N332="Booked on their behalf"),"DONE: scheduled on call",IF(N332="Escalate to AM","ESCALATED TO LEAD","Review")))))))</f>
        <v/>
      </c>
      <c r="G332" s="20">
        <f>IF(E332="Ram is handling - no action","",IF(M332="",B332+6/24,IF(AND(M332&lt;&gt;"Scheduled on call",M332&lt;&gt;"Booked on their behalf",M332&lt;&gt;"Not interested/Declined",N332=""),B332+20/24,"")))</f>
        <v/>
      </c>
      <c r="H332" s="19" t="inlineStr">
        <is>
          <t>Chetan</t>
        </is>
      </c>
      <c r="I332" s="19" t="inlineStr">
        <is>
          <t>Google</t>
        </is>
      </c>
      <c r="J332" s="19" t="inlineStr">
        <is>
          <t>Round1</t>
        </is>
      </c>
      <c r="K332" s="22" t="inlineStr">
        <is>
          <t>+91 9920264452</t>
        </is>
      </c>
      <c r="L332" s="19" t="inlineStr">
        <is>
          <t>&lt;calendly_link&gt;</t>
        </is>
      </c>
      <c r="M332" s="19" t="n"/>
      <c r="N332" s="19" t="n"/>
      <c r="O332" s="19">
        <f>IF(OR(M332="Scheduled on call",M332="Booked on their behalf",N332="Scheduled on call",N332="Booked on their behalf"),"SCHEDULED (call)",IF(OR(M332="Not interested/Declined",N332="Not interested/Declined"),"DECLINED",IF(N332="Escalate to AM","ESCALATED TO LEAD",IF(E332="Ram is handling - no action","N/A",IF(M332="","PENDING CALL 1","IN PROGRESS")))))</f>
        <v/>
      </c>
      <c r="P332" s="19">
        <f>IF(OR('Ram - Digital ToDo'!O332="Scheduled",'Ram - Digital ToDo'!Q332="Scheduled"),"Scheduled within SLA (self-serve)",IF(OR(M332="Scheduled on call",M332="Booked on their behalf",N332="Scheduled on call",N332="Booked on their behalf"),"Scheduled within SLA (call)",IF(OR(M332="Not interested/Declined",N332="Not interested/Declined"),"Declined",IF(N332="Escalate to AM","SLA breach - unresolved","In progress"))))</f>
        <v/>
      </c>
      <c r="Q332" s="19" t="n"/>
    </row>
    <row r="333">
      <c r="A333" s="19" t="inlineStr">
        <is>
          <t>REQ-0332</t>
        </is>
      </c>
      <c r="B333" s="20" t="n">
        <v>44867.82708333333</v>
      </c>
      <c r="C333" s="20">
        <f>B333+1</f>
        <v/>
      </c>
      <c r="D333" s="21">
        <f>(C333-NOW())*24</f>
        <v/>
      </c>
      <c r="E333" s="19">
        <f>IF('Ram - Digital ToDo'!Q333="Escalate to call","CALL NOW",IF('Ram - Digital ToDo'!N333="Bad contact","CALL NOW (digital failed)","Ram is handling - no action"))</f>
        <v/>
      </c>
      <c r="F333" s="19">
        <f>IF(E333="Ram is handling - no action","No action needed",IF(M333="","CALL 1: ring candidate, offer to book on call (Playbook C1)",IF(OR(M333="Scheduled on call",M333="Booked on their behalf"),"DONE: scheduled on call",IF(M333="Not interested/Declined","CLOSED: candidate declined (log + tell lead)",IF(N333="","CALL 2: final attempt (Playbook C2)",IF(OR(N333="Scheduled on call",N333="Booked on their behalf"),"DONE: scheduled on call",IF(N333="Escalate to AM","ESCALATED TO LEAD","Review")))))))</f>
        <v/>
      </c>
      <c r="G333" s="20">
        <f>IF(E333="Ram is handling - no action","",IF(M333="",B333+6/24,IF(AND(M333&lt;&gt;"Scheduled on call",M333&lt;&gt;"Booked on their behalf",M333&lt;&gt;"Not interested/Declined",N333=""),B333+20/24,"")))</f>
        <v/>
      </c>
      <c r="H333" s="19" t="inlineStr">
        <is>
          <t>Chetan</t>
        </is>
      </c>
      <c r="I333" s="19" t="inlineStr">
        <is>
          <t>Google</t>
        </is>
      </c>
      <c r="J333" s="19" t="inlineStr">
        <is>
          <t>Round1</t>
        </is>
      </c>
      <c r="K333" s="22" t="inlineStr">
        <is>
          <t>+91 9920264452</t>
        </is>
      </c>
      <c r="L333" s="19" t="inlineStr">
        <is>
          <t>&lt;calendly_link&gt;</t>
        </is>
      </c>
      <c r="M333" s="19" t="n"/>
      <c r="N333" s="19" t="n"/>
      <c r="O333" s="19">
        <f>IF(OR(M333="Scheduled on call",M333="Booked on their behalf",N333="Scheduled on call",N333="Booked on their behalf"),"SCHEDULED (call)",IF(OR(M333="Not interested/Declined",N333="Not interested/Declined"),"DECLINED",IF(N333="Escalate to AM","ESCALATED TO LEAD",IF(E333="Ram is handling - no action","N/A",IF(M333="","PENDING CALL 1","IN PROGRESS")))))</f>
        <v/>
      </c>
      <c r="P333" s="19">
        <f>IF(OR('Ram - Digital ToDo'!O333="Scheduled",'Ram - Digital ToDo'!Q333="Scheduled"),"Scheduled within SLA (self-serve)",IF(OR(M333="Scheduled on call",M333="Booked on their behalf",N333="Scheduled on call",N333="Booked on their behalf"),"Scheduled within SLA (call)",IF(OR(M333="Not interested/Declined",N333="Not interested/Declined"),"Declined",IF(N333="Escalate to AM","SLA breach - unresolved","In progress"))))</f>
        <v/>
      </c>
      <c r="Q333" s="19" t="n"/>
    </row>
    <row r="334">
      <c r="A334" s="19" t="inlineStr">
        <is>
          <t>REQ-0333</t>
        </is>
      </c>
      <c r="B334" s="20" t="n">
        <v>44867.82708333333</v>
      </c>
      <c r="C334" s="20">
        <f>B334+1</f>
        <v/>
      </c>
      <c r="D334" s="21">
        <f>(C334-NOW())*24</f>
        <v/>
      </c>
      <c r="E334" s="19">
        <f>IF('Ram - Digital ToDo'!Q334="Escalate to call","CALL NOW",IF('Ram - Digital ToDo'!N334="Bad contact","CALL NOW (digital failed)","Ram is handling - no action"))</f>
        <v/>
      </c>
      <c r="F334" s="19">
        <f>IF(E334="Ram is handling - no action","No action needed",IF(M334="","CALL 1: ring candidate, offer to book on call (Playbook C1)",IF(OR(M334="Scheduled on call",M334="Booked on their behalf"),"DONE: scheduled on call",IF(M334="Not interested/Declined","CLOSED: candidate declined (log + tell lead)",IF(N334="","CALL 2: final attempt (Playbook C2)",IF(OR(N334="Scheduled on call",N334="Booked on their behalf"),"DONE: scheduled on call",IF(N334="Escalate to AM","ESCALATED TO LEAD","Review")))))))</f>
        <v/>
      </c>
      <c r="G334" s="20">
        <f>IF(E334="Ram is handling - no action","",IF(M334="",B334+6/24,IF(AND(M334&lt;&gt;"Scheduled on call",M334&lt;&gt;"Booked on their behalf",M334&lt;&gt;"Not interested/Declined",N334=""),B334+20/24,"")))</f>
        <v/>
      </c>
      <c r="H334" s="19" t="inlineStr">
        <is>
          <t>Chetan</t>
        </is>
      </c>
      <c r="I334" s="19" t="inlineStr">
        <is>
          <t>Google</t>
        </is>
      </c>
      <c r="J334" s="19" t="inlineStr">
        <is>
          <t>Round1</t>
        </is>
      </c>
      <c r="K334" s="22" t="inlineStr">
        <is>
          <t>+91 9920264452</t>
        </is>
      </c>
      <c r="L334" s="19" t="inlineStr">
        <is>
          <t>&lt;calendly_link&gt;</t>
        </is>
      </c>
      <c r="M334" s="19" t="n"/>
      <c r="N334" s="19" t="n"/>
      <c r="O334" s="19">
        <f>IF(OR(M334="Scheduled on call",M334="Booked on their behalf",N334="Scheduled on call",N334="Booked on their behalf"),"SCHEDULED (call)",IF(OR(M334="Not interested/Declined",N334="Not interested/Declined"),"DECLINED",IF(N334="Escalate to AM","ESCALATED TO LEAD",IF(E334="Ram is handling - no action","N/A",IF(M334="","PENDING CALL 1","IN PROGRESS")))))</f>
        <v/>
      </c>
      <c r="P334" s="19">
        <f>IF(OR('Ram - Digital ToDo'!O334="Scheduled",'Ram - Digital ToDo'!Q334="Scheduled"),"Scheduled within SLA (self-serve)",IF(OR(M334="Scheduled on call",M334="Booked on their behalf",N334="Scheduled on call",N334="Booked on their behalf"),"Scheduled within SLA (call)",IF(OR(M334="Not interested/Declined",N334="Not interested/Declined"),"Declined",IF(N334="Escalate to AM","SLA breach - unresolved","In progress"))))</f>
        <v/>
      </c>
      <c r="Q334" s="19" t="n"/>
    </row>
    <row r="335">
      <c r="A335" s="19" t="inlineStr">
        <is>
          <t>REQ-0334</t>
        </is>
      </c>
      <c r="B335" s="20" t="n">
        <v>44867.82708333333</v>
      </c>
      <c r="C335" s="20">
        <f>B335+1</f>
        <v/>
      </c>
      <c r="D335" s="21">
        <f>(C335-NOW())*24</f>
        <v/>
      </c>
      <c r="E335" s="19">
        <f>IF('Ram - Digital ToDo'!Q335="Escalate to call","CALL NOW",IF('Ram - Digital ToDo'!N335="Bad contact","CALL NOW (digital failed)","Ram is handling - no action"))</f>
        <v/>
      </c>
      <c r="F335" s="19">
        <f>IF(E335="Ram is handling - no action","No action needed",IF(M335="","CALL 1: ring candidate, offer to book on call (Playbook C1)",IF(OR(M335="Scheduled on call",M335="Booked on their behalf"),"DONE: scheduled on call",IF(M335="Not interested/Declined","CLOSED: candidate declined (log + tell lead)",IF(N335="","CALL 2: final attempt (Playbook C2)",IF(OR(N335="Scheduled on call",N335="Booked on their behalf"),"DONE: scheduled on call",IF(N335="Escalate to AM","ESCALATED TO LEAD","Review")))))))</f>
        <v/>
      </c>
      <c r="G335" s="20">
        <f>IF(E335="Ram is handling - no action","",IF(M335="",B335+6/24,IF(AND(M335&lt;&gt;"Scheduled on call",M335&lt;&gt;"Booked on their behalf",M335&lt;&gt;"Not interested/Declined",N335=""),B335+20/24,"")))</f>
        <v/>
      </c>
      <c r="H335" s="19" t="inlineStr">
        <is>
          <t>Chetan</t>
        </is>
      </c>
      <c r="I335" s="19" t="inlineStr">
        <is>
          <t>Google</t>
        </is>
      </c>
      <c r="J335" s="19" t="inlineStr">
        <is>
          <t>Round1</t>
        </is>
      </c>
      <c r="K335" s="22" t="inlineStr">
        <is>
          <t>+91 9920264452</t>
        </is>
      </c>
      <c r="L335" s="19" t="inlineStr">
        <is>
          <t>&lt;calendly_link&gt;</t>
        </is>
      </c>
      <c r="M335" s="19" t="n"/>
      <c r="N335" s="19" t="n"/>
      <c r="O335" s="19">
        <f>IF(OR(M335="Scheduled on call",M335="Booked on their behalf",N335="Scheduled on call",N335="Booked on their behalf"),"SCHEDULED (call)",IF(OR(M335="Not interested/Declined",N335="Not interested/Declined"),"DECLINED",IF(N335="Escalate to AM","ESCALATED TO LEAD",IF(E335="Ram is handling - no action","N/A",IF(M335="","PENDING CALL 1","IN PROGRESS")))))</f>
        <v/>
      </c>
      <c r="P335" s="19">
        <f>IF(OR('Ram - Digital ToDo'!O335="Scheduled",'Ram - Digital ToDo'!Q335="Scheduled"),"Scheduled within SLA (self-serve)",IF(OR(M335="Scheduled on call",M335="Booked on their behalf",N335="Scheduled on call",N335="Booked on their behalf"),"Scheduled within SLA (call)",IF(OR(M335="Not interested/Declined",N335="Not interested/Declined"),"Declined",IF(N335="Escalate to AM","SLA breach - unresolved","In progress"))))</f>
        <v/>
      </c>
      <c r="Q335" s="19" t="n"/>
    </row>
    <row r="336">
      <c r="A336" s="19" t="inlineStr">
        <is>
          <t>REQ-0335</t>
        </is>
      </c>
      <c r="B336" s="20" t="n">
        <v>44867.82708333333</v>
      </c>
      <c r="C336" s="20">
        <f>B336+1</f>
        <v/>
      </c>
      <c r="D336" s="21">
        <f>(C336-NOW())*24</f>
        <v/>
      </c>
      <c r="E336" s="19">
        <f>IF('Ram - Digital ToDo'!Q336="Escalate to call","CALL NOW",IF('Ram - Digital ToDo'!N336="Bad contact","CALL NOW (digital failed)","Ram is handling - no action"))</f>
        <v/>
      </c>
      <c r="F336" s="19">
        <f>IF(E336="Ram is handling - no action","No action needed",IF(M336="","CALL 1: ring candidate, offer to book on call (Playbook C1)",IF(OR(M336="Scheduled on call",M336="Booked on their behalf"),"DONE: scheduled on call",IF(M336="Not interested/Declined","CLOSED: candidate declined (log + tell lead)",IF(N336="","CALL 2: final attempt (Playbook C2)",IF(OR(N336="Scheduled on call",N336="Booked on their behalf"),"DONE: scheduled on call",IF(N336="Escalate to AM","ESCALATED TO LEAD","Review")))))))</f>
        <v/>
      </c>
      <c r="G336" s="20">
        <f>IF(E336="Ram is handling - no action","",IF(M336="",B336+6/24,IF(AND(M336&lt;&gt;"Scheduled on call",M336&lt;&gt;"Booked on their behalf",M336&lt;&gt;"Not interested/Declined",N336=""),B336+20/24,"")))</f>
        <v/>
      </c>
      <c r="H336" s="19" t="inlineStr">
        <is>
          <t>Chetan</t>
        </is>
      </c>
      <c r="I336" s="19" t="inlineStr">
        <is>
          <t>Google</t>
        </is>
      </c>
      <c r="J336" s="19" t="inlineStr">
        <is>
          <t>Round1</t>
        </is>
      </c>
      <c r="K336" s="22" t="inlineStr">
        <is>
          <t>+91 9920264452</t>
        </is>
      </c>
      <c r="L336" s="19" t="inlineStr">
        <is>
          <t>&lt;calendly_link&gt;</t>
        </is>
      </c>
      <c r="M336" s="19" t="n"/>
      <c r="N336" s="19" t="n"/>
      <c r="O336" s="19">
        <f>IF(OR(M336="Scheduled on call",M336="Booked on their behalf",N336="Scheduled on call",N336="Booked on their behalf"),"SCHEDULED (call)",IF(OR(M336="Not interested/Declined",N336="Not interested/Declined"),"DECLINED",IF(N336="Escalate to AM","ESCALATED TO LEAD",IF(E336="Ram is handling - no action","N/A",IF(M336="","PENDING CALL 1","IN PROGRESS")))))</f>
        <v/>
      </c>
      <c r="P336" s="19">
        <f>IF(OR('Ram - Digital ToDo'!O336="Scheduled",'Ram - Digital ToDo'!Q336="Scheduled"),"Scheduled within SLA (self-serve)",IF(OR(M336="Scheduled on call",M336="Booked on their behalf",N336="Scheduled on call",N336="Booked on their behalf"),"Scheduled within SLA (call)",IF(OR(M336="Not interested/Declined",N336="Not interested/Declined"),"Declined",IF(N336="Escalate to AM","SLA breach - unresolved","In progress"))))</f>
        <v/>
      </c>
      <c r="Q336" s="19" t="n"/>
    </row>
    <row r="337">
      <c r="A337" s="19" t="inlineStr">
        <is>
          <t>REQ-0336</t>
        </is>
      </c>
      <c r="B337" s="20" t="n">
        <v>44867.82708333333</v>
      </c>
      <c r="C337" s="20">
        <f>B337+1</f>
        <v/>
      </c>
      <c r="D337" s="21">
        <f>(C337-NOW())*24</f>
        <v/>
      </c>
      <c r="E337" s="19">
        <f>IF('Ram - Digital ToDo'!Q337="Escalate to call","CALL NOW",IF('Ram - Digital ToDo'!N337="Bad contact","CALL NOW (digital failed)","Ram is handling - no action"))</f>
        <v/>
      </c>
      <c r="F337" s="19">
        <f>IF(E337="Ram is handling - no action","No action needed",IF(M337="","CALL 1: ring candidate, offer to book on call (Playbook C1)",IF(OR(M337="Scheduled on call",M337="Booked on their behalf"),"DONE: scheduled on call",IF(M337="Not interested/Declined","CLOSED: candidate declined (log + tell lead)",IF(N337="","CALL 2: final attempt (Playbook C2)",IF(OR(N337="Scheduled on call",N337="Booked on their behalf"),"DONE: scheduled on call",IF(N337="Escalate to AM","ESCALATED TO LEAD","Review")))))))</f>
        <v/>
      </c>
      <c r="G337" s="20">
        <f>IF(E337="Ram is handling - no action","",IF(M337="",B337+6/24,IF(AND(M337&lt;&gt;"Scheduled on call",M337&lt;&gt;"Booked on their behalf",M337&lt;&gt;"Not interested/Declined",N337=""),B337+20/24,"")))</f>
        <v/>
      </c>
      <c r="H337" s="19" t="inlineStr">
        <is>
          <t>Chetan</t>
        </is>
      </c>
      <c r="I337" s="19" t="inlineStr">
        <is>
          <t>Google</t>
        </is>
      </c>
      <c r="J337" s="19" t="inlineStr">
        <is>
          <t>Round1</t>
        </is>
      </c>
      <c r="K337" s="22" t="inlineStr">
        <is>
          <t>+91 9920264452</t>
        </is>
      </c>
      <c r="L337" s="19" t="inlineStr">
        <is>
          <t>&lt;calendly_link&gt;</t>
        </is>
      </c>
      <c r="M337" s="19" t="n"/>
      <c r="N337" s="19" t="n"/>
      <c r="O337" s="19">
        <f>IF(OR(M337="Scheduled on call",M337="Booked on their behalf",N337="Scheduled on call",N337="Booked on their behalf"),"SCHEDULED (call)",IF(OR(M337="Not interested/Declined",N337="Not interested/Declined"),"DECLINED",IF(N337="Escalate to AM","ESCALATED TO LEAD",IF(E337="Ram is handling - no action","N/A",IF(M337="","PENDING CALL 1","IN PROGRESS")))))</f>
        <v/>
      </c>
      <c r="P337" s="19">
        <f>IF(OR('Ram - Digital ToDo'!O337="Scheduled",'Ram - Digital ToDo'!Q337="Scheduled"),"Scheduled within SLA (self-serve)",IF(OR(M337="Scheduled on call",M337="Booked on their behalf",N337="Scheduled on call",N337="Booked on their behalf"),"Scheduled within SLA (call)",IF(OR(M337="Not interested/Declined",N337="Not interested/Declined"),"Declined",IF(N337="Escalate to AM","SLA breach - unresolved","In progress"))))</f>
        <v/>
      </c>
      <c r="Q337" s="19" t="n"/>
    </row>
    <row r="338">
      <c r="A338" s="19" t="inlineStr">
        <is>
          <t>REQ-0337</t>
        </is>
      </c>
      <c r="B338" s="20" t="n">
        <v>44867.82708333333</v>
      </c>
      <c r="C338" s="20">
        <f>B338+1</f>
        <v/>
      </c>
      <c r="D338" s="21">
        <f>(C338-NOW())*24</f>
        <v/>
      </c>
      <c r="E338" s="19">
        <f>IF('Ram - Digital ToDo'!Q338="Escalate to call","CALL NOW",IF('Ram - Digital ToDo'!N338="Bad contact","CALL NOW (digital failed)","Ram is handling - no action"))</f>
        <v/>
      </c>
      <c r="F338" s="19">
        <f>IF(E338="Ram is handling - no action","No action needed",IF(M338="","CALL 1: ring candidate, offer to book on call (Playbook C1)",IF(OR(M338="Scheduled on call",M338="Booked on their behalf"),"DONE: scheduled on call",IF(M338="Not interested/Declined","CLOSED: candidate declined (log + tell lead)",IF(N338="","CALL 2: final attempt (Playbook C2)",IF(OR(N338="Scheduled on call",N338="Booked on their behalf"),"DONE: scheduled on call",IF(N338="Escalate to AM","ESCALATED TO LEAD","Review")))))))</f>
        <v/>
      </c>
      <c r="G338" s="20">
        <f>IF(E338="Ram is handling - no action","",IF(M338="",B338+6/24,IF(AND(M338&lt;&gt;"Scheduled on call",M338&lt;&gt;"Booked on their behalf",M338&lt;&gt;"Not interested/Declined",N338=""),B338+20/24,"")))</f>
        <v/>
      </c>
      <c r="H338" s="19" t="inlineStr">
        <is>
          <t>Chetan</t>
        </is>
      </c>
      <c r="I338" s="19" t="inlineStr">
        <is>
          <t>Google</t>
        </is>
      </c>
      <c r="J338" s="19" t="inlineStr">
        <is>
          <t>Round1</t>
        </is>
      </c>
      <c r="K338" s="22" t="inlineStr">
        <is>
          <t>+91 9920264452</t>
        </is>
      </c>
      <c r="L338" s="19" t="inlineStr">
        <is>
          <t>&lt;calendly_link&gt;</t>
        </is>
      </c>
      <c r="M338" s="19" t="n"/>
      <c r="N338" s="19" t="n"/>
      <c r="O338" s="19">
        <f>IF(OR(M338="Scheduled on call",M338="Booked on their behalf",N338="Scheduled on call",N338="Booked on their behalf"),"SCHEDULED (call)",IF(OR(M338="Not interested/Declined",N338="Not interested/Declined"),"DECLINED",IF(N338="Escalate to AM","ESCALATED TO LEAD",IF(E338="Ram is handling - no action","N/A",IF(M338="","PENDING CALL 1","IN PROGRESS")))))</f>
        <v/>
      </c>
      <c r="P338" s="19">
        <f>IF(OR('Ram - Digital ToDo'!O338="Scheduled",'Ram - Digital ToDo'!Q338="Scheduled"),"Scheduled within SLA (self-serve)",IF(OR(M338="Scheduled on call",M338="Booked on their behalf",N338="Scheduled on call",N338="Booked on their behalf"),"Scheduled within SLA (call)",IF(OR(M338="Not interested/Declined",N338="Not interested/Declined"),"Declined",IF(N338="Escalate to AM","SLA breach - unresolved","In progress"))))</f>
        <v/>
      </c>
      <c r="Q338" s="19" t="n"/>
    </row>
    <row r="339">
      <c r="A339" s="19" t="inlineStr">
        <is>
          <t>REQ-0338</t>
        </is>
      </c>
      <c r="B339" s="20" t="n">
        <v>44867.82708333333</v>
      </c>
      <c r="C339" s="20">
        <f>B339+1</f>
        <v/>
      </c>
      <c r="D339" s="21">
        <f>(C339-NOW())*24</f>
        <v/>
      </c>
      <c r="E339" s="19">
        <f>IF('Ram - Digital ToDo'!Q339="Escalate to call","CALL NOW",IF('Ram - Digital ToDo'!N339="Bad contact","CALL NOW (digital failed)","Ram is handling - no action"))</f>
        <v/>
      </c>
      <c r="F339" s="19">
        <f>IF(E339="Ram is handling - no action","No action needed",IF(M339="","CALL 1: ring candidate, offer to book on call (Playbook C1)",IF(OR(M339="Scheduled on call",M339="Booked on their behalf"),"DONE: scheduled on call",IF(M339="Not interested/Declined","CLOSED: candidate declined (log + tell lead)",IF(N339="","CALL 2: final attempt (Playbook C2)",IF(OR(N339="Scheduled on call",N339="Booked on their behalf"),"DONE: scheduled on call",IF(N339="Escalate to AM","ESCALATED TO LEAD","Review")))))))</f>
        <v/>
      </c>
      <c r="G339" s="20">
        <f>IF(E339="Ram is handling - no action","",IF(M339="",B339+6/24,IF(AND(M339&lt;&gt;"Scheduled on call",M339&lt;&gt;"Booked on their behalf",M339&lt;&gt;"Not interested/Declined",N339=""),B339+20/24,"")))</f>
        <v/>
      </c>
      <c r="H339" s="19" t="inlineStr">
        <is>
          <t>Chetan</t>
        </is>
      </c>
      <c r="I339" s="19" t="inlineStr">
        <is>
          <t>Google</t>
        </is>
      </c>
      <c r="J339" s="19" t="inlineStr">
        <is>
          <t>Round1</t>
        </is>
      </c>
      <c r="K339" s="22" t="inlineStr">
        <is>
          <t>+91 9920264452</t>
        </is>
      </c>
      <c r="L339" s="19" t="inlineStr">
        <is>
          <t>&lt;calendly_link&gt;</t>
        </is>
      </c>
      <c r="M339" s="19" t="n"/>
      <c r="N339" s="19" t="n"/>
      <c r="O339" s="19">
        <f>IF(OR(M339="Scheduled on call",M339="Booked on their behalf",N339="Scheduled on call",N339="Booked on their behalf"),"SCHEDULED (call)",IF(OR(M339="Not interested/Declined",N339="Not interested/Declined"),"DECLINED",IF(N339="Escalate to AM","ESCALATED TO LEAD",IF(E339="Ram is handling - no action","N/A",IF(M339="","PENDING CALL 1","IN PROGRESS")))))</f>
        <v/>
      </c>
      <c r="P339" s="19">
        <f>IF(OR('Ram - Digital ToDo'!O339="Scheduled",'Ram - Digital ToDo'!Q339="Scheduled"),"Scheduled within SLA (self-serve)",IF(OR(M339="Scheduled on call",M339="Booked on their behalf",N339="Scheduled on call",N339="Booked on their behalf"),"Scheduled within SLA (call)",IF(OR(M339="Not interested/Declined",N339="Not interested/Declined"),"Declined",IF(N339="Escalate to AM","SLA breach - unresolved","In progress"))))</f>
        <v/>
      </c>
      <c r="Q339" s="19" t="n"/>
    </row>
    <row r="340">
      <c r="A340" s="19" t="inlineStr">
        <is>
          <t>REQ-0339</t>
        </is>
      </c>
      <c r="B340" s="20" t="n">
        <v>44867.82708333333</v>
      </c>
      <c r="C340" s="20">
        <f>B340+1</f>
        <v/>
      </c>
      <c r="D340" s="21">
        <f>(C340-NOW())*24</f>
        <v/>
      </c>
      <c r="E340" s="19">
        <f>IF('Ram - Digital ToDo'!Q340="Escalate to call","CALL NOW",IF('Ram - Digital ToDo'!N340="Bad contact","CALL NOW (digital failed)","Ram is handling - no action"))</f>
        <v/>
      </c>
      <c r="F340" s="19">
        <f>IF(E340="Ram is handling - no action","No action needed",IF(M340="","CALL 1: ring candidate, offer to book on call (Playbook C1)",IF(OR(M340="Scheduled on call",M340="Booked on their behalf"),"DONE: scheduled on call",IF(M340="Not interested/Declined","CLOSED: candidate declined (log + tell lead)",IF(N340="","CALL 2: final attempt (Playbook C2)",IF(OR(N340="Scheduled on call",N340="Booked on their behalf"),"DONE: scheduled on call",IF(N340="Escalate to AM","ESCALATED TO LEAD","Review")))))))</f>
        <v/>
      </c>
      <c r="G340" s="20">
        <f>IF(E340="Ram is handling - no action","",IF(M340="",B340+6/24,IF(AND(M340&lt;&gt;"Scheduled on call",M340&lt;&gt;"Booked on their behalf",M340&lt;&gt;"Not interested/Declined",N340=""),B340+20/24,"")))</f>
        <v/>
      </c>
      <c r="H340" s="19" t="inlineStr">
        <is>
          <t>Chetan</t>
        </is>
      </c>
      <c r="I340" s="19" t="inlineStr">
        <is>
          <t>Google</t>
        </is>
      </c>
      <c r="J340" s="19" t="inlineStr">
        <is>
          <t>Round1</t>
        </is>
      </c>
      <c r="K340" s="22" t="inlineStr">
        <is>
          <t>+91 9920264452</t>
        </is>
      </c>
      <c r="L340" s="19" t="inlineStr">
        <is>
          <t>&lt;calendly_link&gt;</t>
        </is>
      </c>
      <c r="M340" s="19" t="n"/>
      <c r="N340" s="19" t="n"/>
      <c r="O340" s="19">
        <f>IF(OR(M340="Scheduled on call",M340="Booked on their behalf",N340="Scheduled on call",N340="Booked on their behalf"),"SCHEDULED (call)",IF(OR(M340="Not interested/Declined",N340="Not interested/Declined"),"DECLINED",IF(N340="Escalate to AM","ESCALATED TO LEAD",IF(E340="Ram is handling - no action","N/A",IF(M340="","PENDING CALL 1","IN PROGRESS")))))</f>
        <v/>
      </c>
      <c r="P340" s="19">
        <f>IF(OR('Ram - Digital ToDo'!O340="Scheduled",'Ram - Digital ToDo'!Q340="Scheduled"),"Scheduled within SLA (self-serve)",IF(OR(M340="Scheduled on call",M340="Booked on their behalf",N340="Scheduled on call",N340="Booked on their behalf"),"Scheduled within SLA (call)",IF(OR(M340="Not interested/Declined",N340="Not interested/Declined"),"Declined",IF(N340="Escalate to AM","SLA breach - unresolved","In progress"))))</f>
        <v/>
      </c>
      <c r="Q340" s="19" t="n"/>
    </row>
    <row r="341">
      <c r="A341" s="19" t="inlineStr">
        <is>
          <t>REQ-0340</t>
        </is>
      </c>
      <c r="B341" s="20" t="n">
        <v>44867.82708333333</v>
      </c>
      <c r="C341" s="20">
        <f>B341+1</f>
        <v/>
      </c>
      <c r="D341" s="21">
        <f>(C341-NOW())*24</f>
        <v/>
      </c>
      <c r="E341" s="19">
        <f>IF('Ram - Digital ToDo'!Q341="Escalate to call","CALL NOW",IF('Ram - Digital ToDo'!N341="Bad contact","CALL NOW (digital failed)","Ram is handling - no action"))</f>
        <v/>
      </c>
      <c r="F341" s="19">
        <f>IF(E341="Ram is handling - no action","No action needed",IF(M341="","CALL 1: ring candidate, offer to book on call (Playbook C1)",IF(OR(M341="Scheduled on call",M341="Booked on their behalf"),"DONE: scheduled on call",IF(M341="Not interested/Declined","CLOSED: candidate declined (log + tell lead)",IF(N341="","CALL 2: final attempt (Playbook C2)",IF(OR(N341="Scheduled on call",N341="Booked on their behalf"),"DONE: scheduled on call",IF(N341="Escalate to AM","ESCALATED TO LEAD","Review")))))))</f>
        <v/>
      </c>
      <c r="G341" s="20">
        <f>IF(E341="Ram is handling - no action","",IF(M341="",B341+6/24,IF(AND(M341&lt;&gt;"Scheduled on call",M341&lt;&gt;"Booked on their behalf",M341&lt;&gt;"Not interested/Declined",N341=""),B341+20/24,"")))</f>
        <v/>
      </c>
      <c r="H341" s="19" t="inlineStr">
        <is>
          <t>Chetan</t>
        </is>
      </c>
      <c r="I341" s="19" t="inlineStr">
        <is>
          <t>Google</t>
        </is>
      </c>
      <c r="J341" s="19" t="inlineStr">
        <is>
          <t>Round1</t>
        </is>
      </c>
      <c r="K341" s="22" t="inlineStr">
        <is>
          <t>+91 9920264452</t>
        </is>
      </c>
      <c r="L341" s="19" t="inlineStr">
        <is>
          <t>&lt;calendly_link&gt;</t>
        </is>
      </c>
      <c r="M341" s="19" t="n"/>
      <c r="N341" s="19" t="n"/>
      <c r="O341" s="19">
        <f>IF(OR(M341="Scheduled on call",M341="Booked on their behalf",N341="Scheduled on call",N341="Booked on their behalf"),"SCHEDULED (call)",IF(OR(M341="Not interested/Declined",N341="Not interested/Declined"),"DECLINED",IF(N341="Escalate to AM","ESCALATED TO LEAD",IF(E341="Ram is handling - no action","N/A",IF(M341="","PENDING CALL 1","IN PROGRESS")))))</f>
        <v/>
      </c>
      <c r="P341" s="19">
        <f>IF(OR('Ram - Digital ToDo'!O341="Scheduled",'Ram - Digital ToDo'!Q341="Scheduled"),"Scheduled within SLA (self-serve)",IF(OR(M341="Scheduled on call",M341="Booked on their behalf",N341="Scheduled on call",N341="Booked on their behalf"),"Scheduled within SLA (call)",IF(OR(M341="Not interested/Declined",N341="Not interested/Declined"),"Declined",IF(N341="Escalate to AM","SLA breach - unresolved","In progress"))))</f>
        <v/>
      </c>
      <c r="Q341" s="19" t="n"/>
    </row>
    <row r="342">
      <c r="A342" s="19" t="inlineStr">
        <is>
          <t>REQ-0341</t>
        </is>
      </c>
      <c r="B342" s="20" t="n">
        <v>44867.82708333333</v>
      </c>
      <c r="C342" s="20">
        <f>B342+1</f>
        <v/>
      </c>
      <c r="D342" s="21">
        <f>(C342-NOW())*24</f>
        <v/>
      </c>
      <c r="E342" s="19">
        <f>IF('Ram - Digital ToDo'!Q342="Escalate to call","CALL NOW",IF('Ram - Digital ToDo'!N342="Bad contact","CALL NOW (digital failed)","Ram is handling - no action"))</f>
        <v/>
      </c>
      <c r="F342" s="19">
        <f>IF(E342="Ram is handling - no action","No action needed",IF(M342="","CALL 1: ring candidate, offer to book on call (Playbook C1)",IF(OR(M342="Scheduled on call",M342="Booked on their behalf"),"DONE: scheduled on call",IF(M342="Not interested/Declined","CLOSED: candidate declined (log + tell lead)",IF(N342="","CALL 2: final attempt (Playbook C2)",IF(OR(N342="Scheduled on call",N342="Booked on their behalf"),"DONE: scheduled on call",IF(N342="Escalate to AM","ESCALATED TO LEAD","Review")))))))</f>
        <v/>
      </c>
      <c r="G342" s="20">
        <f>IF(E342="Ram is handling - no action","",IF(M342="",B342+6/24,IF(AND(M342&lt;&gt;"Scheduled on call",M342&lt;&gt;"Booked on their behalf",M342&lt;&gt;"Not interested/Declined",N342=""),B342+20/24,"")))</f>
        <v/>
      </c>
      <c r="H342" s="19" t="inlineStr">
        <is>
          <t>Chetan</t>
        </is>
      </c>
      <c r="I342" s="19" t="inlineStr">
        <is>
          <t>Google</t>
        </is>
      </c>
      <c r="J342" s="19" t="inlineStr">
        <is>
          <t>Round1</t>
        </is>
      </c>
      <c r="K342" s="22" t="inlineStr">
        <is>
          <t>+91 9920264452</t>
        </is>
      </c>
      <c r="L342" s="19" t="inlineStr">
        <is>
          <t>&lt;calendly_link&gt;</t>
        </is>
      </c>
      <c r="M342" s="19" t="n"/>
      <c r="N342" s="19" t="n"/>
      <c r="O342" s="19">
        <f>IF(OR(M342="Scheduled on call",M342="Booked on their behalf",N342="Scheduled on call",N342="Booked on their behalf"),"SCHEDULED (call)",IF(OR(M342="Not interested/Declined",N342="Not interested/Declined"),"DECLINED",IF(N342="Escalate to AM","ESCALATED TO LEAD",IF(E342="Ram is handling - no action","N/A",IF(M342="","PENDING CALL 1","IN PROGRESS")))))</f>
        <v/>
      </c>
      <c r="P342" s="19">
        <f>IF(OR('Ram - Digital ToDo'!O342="Scheduled",'Ram - Digital ToDo'!Q342="Scheduled"),"Scheduled within SLA (self-serve)",IF(OR(M342="Scheduled on call",M342="Booked on their behalf",N342="Scheduled on call",N342="Booked on their behalf"),"Scheduled within SLA (call)",IF(OR(M342="Not interested/Declined",N342="Not interested/Declined"),"Declined",IF(N342="Escalate to AM","SLA breach - unresolved","In progress"))))</f>
        <v/>
      </c>
      <c r="Q342" s="19" t="n"/>
    </row>
    <row r="343">
      <c r="A343" s="19" t="inlineStr">
        <is>
          <t>REQ-0342</t>
        </is>
      </c>
      <c r="B343" s="20" t="n">
        <v>44867.82708333333</v>
      </c>
      <c r="C343" s="20">
        <f>B343+1</f>
        <v/>
      </c>
      <c r="D343" s="21">
        <f>(C343-NOW())*24</f>
        <v/>
      </c>
      <c r="E343" s="19">
        <f>IF('Ram - Digital ToDo'!Q343="Escalate to call","CALL NOW",IF('Ram - Digital ToDo'!N343="Bad contact","CALL NOW (digital failed)","Ram is handling - no action"))</f>
        <v/>
      </c>
      <c r="F343" s="19">
        <f>IF(E343="Ram is handling - no action","No action needed",IF(M343="","CALL 1: ring candidate, offer to book on call (Playbook C1)",IF(OR(M343="Scheduled on call",M343="Booked on their behalf"),"DONE: scheduled on call",IF(M343="Not interested/Declined","CLOSED: candidate declined (log + tell lead)",IF(N343="","CALL 2: final attempt (Playbook C2)",IF(OR(N343="Scheduled on call",N343="Booked on their behalf"),"DONE: scheduled on call",IF(N343="Escalate to AM","ESCALATED TO LEAD","Review")))))))</f>
        <v/>
      </c>
      <c r="G343" s="20">
        <f>IF(E343="Ram is handling - no action","",IF(M343="",B343+6/24,IF(AND(M343&lt;&gt;"Scheduled on call",M343&lt;&gt;"Booked on their behalf",M343&lt;&gt;"Not interested/Declined",N343=""),B343+20/24,"")))</f>
        <v/>
      </c>
      <c r="H343" s="19" t="inlineStr">
        <is>
          <t>Chetan</t>
        </is>
      </c>
      <c r="I343" s="19" t="inlineStr">
        <is>
          <t>Google</t>
        </is>
      </c>
      <c r="J343" s="19" t="inlineStr">
        <is>
          <t>Round1</t>
        </is>
      </c>
      <c r="K343" s="22" t="inlineStr">
        <is>
          <t>+91 9920264452</t>
        </is>
      </c>
      <c r="L343" s="19" t="inlineStr">
        <is>
          <t>&lt;calendly_link&gt;</t>
        </is>
      </c>
      <c r="M343" s="19" t="n"/>
      <c r="N343" s="19" t="n"/>
      <c r="O343" s="19">
        <f>IF(OR(M343="Scheduled on call",M343="Booked on their behalf",N343="Scheduled on call",N343="Booked on their behalf"),"SCHEDULED (call)",IF(OR(M343="Not interested/Declined",N343="Not interested/Declined"),"DECLINED",IF(N343="Escalate to AM","ESCALATED TO LEAD",IF(E343="Ram is handling - no action","N/A",IF(M343="","PENDING CALL 1","IN PROGRESS")))))</f>
        <v/>
      </c>
      <c r="P343" s="19">
        <f>IF(OR('Ram - Digital ToDo'!O343="Scheduled",'Ram - Digital ToDo'!Q343="Scheduled"),"Scheduled within SLA (self-serve)",IF(OR(M343="Scheduled on call",M343="Booked on their behalf",N343="Scheduled on call",N343="Booked on their behalf"),"Scheduled within SLA (call)",IF(OR(M343="Not interested/Declined",N343="Not interested/Declined"),"Declined",IF(N343="Escalate to AM","SLA breach - unresolved","In progress"))))</f>
        <v/>
      </c>
      <c r="Q343" s="19" t="n"/>
    </row>
    <row r="344">
      <c r="A344" s="19" t="inlineStr">
        <is>
          <t>REQ-0343</t>
        </is>
      </c>
      <c r="B344" s="20" t="n">
        <v>44867.82708333333</v>
      </c>
      <c r="C344" s="20">
        <f>B344+1</f>
        <v/>
      </c>
      <c r="D344" s="21">
        <f>(C344-NOW())*24</f>
        <v/>
      </c>
      <c r="E344" s="19">
        <f>IF('Ram - Digital ToDo'!Q344="Escalate to call","CALL NOW",IF('Ram - Digital ToDo'!N344="Bad contact","CALL NOW (digital failed)","Ram is handling - no action"))</f>
        <v/>
      </c>
      <c r="F344" s="19">
        <f>IF(E344="Ram is handling - no action","No action needed",IF(M344="","CALL 1: ring candidate, offer to book on call (Playbook C1)",IF(OR(M344="Scheduled on call",M344="Booked on their behalf"),"DONE: scheduled on call",IF(M344="Not interested/Declined","CLOSED: candidate declined (log + tell lead)",IF(N344="","CALL 2: final attempt (Playbook C2)",IF(OR(N344="Scheduled on call",N344="Booked on their behalf"),"DONE: scheduled on call",IF(N344="Escalate to AM","ESCALATED TO LEAD","Review")))))))</f>
        <v/>
      </c>
      <c r="G344" s="20">
        <f>IF(E344="Ram is handling - no action","",IF(M344="",B344+6/24,IF(AND(M344&lt;&gt;"Scheduled on call",M344&lt;&gt;"Booked on their behalf",M344&lt;&gt;"Not interested/Declined",N344=""),B344+20/24,"")))</f>
        <v/>
      </c>
      <c r="H344" s="19" t="inlineStr">
        <is>
          <t>Chetan</t>
        </is>
      </c>
      <c r="I344" s="19" t="inlineStr">
        <is>
          <t>Google</t>
        </is>
      </c>
      <c r="J344" s="19" t="inlineStr">
        <is>
          <t>Round1</t>
        </is>
      </c>
      <c r="K344" s="22" t="inlineStr">
        <is>
          <t>+91 9920264452</t>
        </is>
      </c>
      <c r="L344" s="19" t="inlineStr">
        <is>
          <t>&lt;calendly_link&gt;</t>
        </is>
      </c>
      <c r="M344" s="19" t="n"/>
      <c r="N344" s="19" t="n"/>
      <c r="O344" s="19">
        <f>IF(OR(M344="Scheduled on call",M344="Booked on their behalf",N344="Scheduled on call",N344="Booked on their behalf"),"SCHEDULED (call)",IF(OR(M344="Not interested/Declined",N344="Not interested/Declined"),"DECLINED",IF(N344="Escalate to AM","ESCALATED TO LEAD",IF(E344="Ram is handling - no action","N/A",IF(M344="","PENDING CALL 1","IN PROGRESS")))))</f>
        <v/>
      </c>
      <c r="P344" s="19">
        <f>IF(OR('Ram - Digital ToDo'!O344="Scheduled",'Ram - Digital ToDo'!Q344="Scheduled"),"Scheduled within SLA (self-serve)",IF(OR(M344="Scheduled on call",M344="Booked on their behalf",N344="Scheduled on call",N344="Booked on their behalf"),"Scheduled within SLA (call)",IF(OR(M344="Not interested/Declined",N344="Not interested/Declined"),"Declined",IF(N344="Escalate to AM","SLA breach - unresolved","In progress"))))</f>
        <v/>
      </c>
      <c r="Q344" s="19" t="n"/>
    </row>
    <row r="345">
      <c r="A345" s="19" t="inlineStr">
        <is>
          <t>REQ-0344</t>
        </is>
      </c>
      <c r="B345" s="20" t="n">
        <v>44867.82708333333</v>
      </c>
      <c r="C345" s="20">
        <f>B345+1</f>
        <v/>
      </c>
      <c r="D345" s="21">
        <f>(C345-NOW())*24</f>
        <v/>
      </c>
      <c r="E345" s="19">
        <f>IF('Ram - Digital ToDo'!Q345="Escalate to call","CALL NOW",IF('Ram - Digital ToDo'!N345="Bad contact","CALL NOW (digital failed)","Ram is handling - no action"))</f>
        <v/>
      </c>
      <c r="F345" s="19">
        <f>IF(E345="Ram is handling - no action","No action needed",IF(M345="","CALL 1: ring candidate, offer to book on call (Playbook C1)",IF(OR(M345="Scheduled on call",M345="Booked on their behalf"),"DONE: scheduled on call",IF(M345="Not interested/Declined","CLOSED: candidate declined (log + tell lead)",IF(N345="","CALL 2: final attempt (Playbook C2)",IF(OR(N345="Scheduled on call",N345="Booked on their behalf"),"DONE: scheduled on call",IF(N345="Escalate to AM","ESCALATED TO LEAD","Review")))))))</f>
        <v/>
      </c>
      <c r="G345" s="20">
        <f>IF(E345="Ram is handling - no action","",IF(M345="",B345+6/24,IF(AND(M345&lt;&gt;"Scheduled on call",M345&lt;&gt;"Booked on their behalf",M345&lt;&gt;"Not interested/Declined",N345=""),B345+20/24,"")))</f>
        <v/>
      </c>
      <c r="H345" s="19" t="inlineStr">
        <is>
          <t>Chetan</t>
        </is>
      </c>
      <c r="I345" s="19" t="inlineStr">
        <is>
          <t>Google</t>
        </is>
      </c>
      <c r="J345" s="19" t="inlineStr">
        <is>
          <t>Round1</t>
        </is>
      </c>
      <c r="K345" s="22" t="inlineStr">
        <is>
          <t>+91 9920264452</t>
        </is>
      </c>
      <c r="L345" s="19" t="inlineStr">
        <is>
          <t>&lt;calendly_link&gt;</t>
        </is>
      </c>
      <c r="M345" s="19" t="n"/>
      <c r="N345" s="19" t="n"/>
      <c r="O345" s="19">
        <f>IF(OR(M345="Scheduled on call",M345="Booked on their behalf",N345="Scheduled on call",N345="Booked on their behalf"),"SCHEDULED (call)",IF(OR(M345="Not interested/Declined",N345="Not interested/Declined"),"DECLINED",IF(N345="Escalate to AM","ESCALATED TO LEAD",IF(E345="Ram is handling - no action","N/A",IF(M345="","PENDING CALL 1","IN PROGRESS")))))</f>
        <v/>
      </c>
      <c r="P345" s="19">
        <f>IF(OR('Ram - Digital ToDo'!O345="Scheduled",'Ram - Digital ToDo'!Q345="Scheduled"),"Scheduled within SLA (self-serve)",IF(OR(M345="Scheduled on call",M345="Booked on their behalf",N345="Scheduled on call",N345="Booked on their behalf"),"Scheduled within SLA (call)",IF(OR(M345="Not interested/Declined",N345="Not interested/Declined"),"Declined",IF(N345="Escalate to AM","SLA breach - unresolved","In progress"))))</f>
        <v/>
      </c>
      <c r="Q345" s="19" t="n"/>
    </row>
    <row r="346">
      <c r="A346" s="19" t="inlineStr">
        <is>
          <t>REQ-0345</t>
        </is>
      </c>
      <c r="B346" s="20" t="n">
        <v>44867.82708333333</v>
      </c>
      <c r="C346" s="20">
        <f>B346+1</f>
        <v/>
      </c>
      <c r="D346" s="21">
        <f>(C346-NOW())*24</f>
        <v/>
      </c>
      <c r="E346" s="19">
        <f>IF('Ram - Digital ToDo'!Q346="Escalate to call","CALL NOW",IF('Ram - Digital ToDo'!N346="Bad contact","CALL NOW (digital failed)","Ram is handling - no action"))</f>
        <v/>
      </c>
      <c r="F346" s="19">
        <f>IF(E346="Ram is handling - no action","No action needed",IF(M346="","CALL 1: ring candidate, offer to book on call (Playbook C1)",IF(OR(M346="Scheduled on call",M346="Booked on their behalf"),"DONE: scheduled on call",IF(M346="Not interested/Declined","CLOSED: candidate declined (log + tell lead)",IF(N346="","CALL 2: final attempt (Playbook C2)",IF(OR(N346="Scheduled on call",N346="Booked on their behalf"),"DONE: scheduled on call",IF(N346="Escalate to AM","ESCALATED TO LEAD","Review")))))))</f>
        <v/>
      </c>
      <c r="G346" s="20">
        <f>IF(E346="Ram is handling - no action","",IF(M346="",B346+6/24,IF(AND(M346&lt;&gt;"Scheduled on call",M346&lt;&gt;"Booked on their behalf",M346&lt;&gt;"Not interested/Declined",N346=""),B346+20/24,"")))</f>
        <v/>
      </c>
      <c r="H346" s="19" t="inlineStr">
        <is>
          <t>Chetan</t>
        </is>
      </c>
      <c r="I346" s="19" t="inlineStr">
        <is>
          <t>Google</t>
        </is>
      </c>
      <c r="J346" s="19" t="inlineStr">
        <is>
          <t>Round1</t>
        </is>
      </c>
      <c r="K346" s="22" t="inlineStr">
        <is>
          <t>+91 9920264452</t>
        </is>
      </c>
      <c r="L346" s="19" t="inlineStr">
        <is>
          <t>&lt;calendly_link&gt;</t>
        </is>
      </c>
      <c r="M346" s="19" t="n"/>
      <c r="N346" s="19" t="n"/>
      <c r="O346" s="19">
        <f>IF(OR(M346="Scheduled on call",M346="Booked on their behalf",N346="Scheduled on call",N346="Booked on their behalf"),"SCHEDULED (call)",IF(OR(M346="Not interested/Declined",N346="Not interested/Declined"),"DECLINED",IF(N346="Escalate to AM","ESCALATED TO LEAD",IF(E346="Ram is handling - no action","N/A",IF(M346="","PENDING CALL 1","IN PROGRESS")))))</f>
        <v/>
      </c>
      <c r="P346" s="19">
        <f>IF(OR('Ram - Digital ToDo'!O346="Scheduled",'Ram - Digital ToDo'!Q346="Scheduled"),"Scheduled within SLA (self-serve)",IF(OR(M346="Scheduled on call",M346="Booked on their behalf",N346="Scheduled on call",N346="Booked on their behalf"),"Scheduled within SLA (call)",IF(OR(M346="Not interested/Declined",N346="Not interested/Declined"),"Declined",IF(N346="Escalate to AM","SLA breach - unresolved","In progress"))))</f>
        <v/>
      </c>
      <c r="Q346" s="19" t="n"/>
    </row>
    <row r="347">
      <c r="A347" s="19" t="inlineStr">
        <is>
          <t>REQ-0346</t>
        </is>
      </c>
      <c r="B347" s="20" t="n">
        <v>44867.82708333333</v>
      </c>
      <c r="C347" s="20">
        <f>B347+1</f>
        <v/>
      </c>
      <c r="D347" s="21">
        <f>(C347-NOW())*24</f>
        <v/>
      </c>
      <c r="E347" s="19">
        <f>IF('Ram - Digital ToDo'!Q347="Escalate to call","CALL NOW",IF('Ram - Digital ToDo'!N347="Bad contact","CALL NOW (digital failed)","Ram is handling - no action"))</f>
        <v/>
      </c>
      <c r="F347" s="19">
        <f>IF(E347="Ram is handling - no action","No action needed",IF(M347="","CALL 1: ring candidate, offer to book on call (Playbook C1)",IF(OR(M347="Scheduled on call",M347="Booked on their behalf"),"DONE: scheduled on call",IF(M347="Not interested/Declined","CLOSED: candidate declined (log + tell lead)",IF(N347="","CALL 2: final attempt (Playbook C2)",IF(OR(N347="Scheduled on call",N347="Booked on their behalf"),"DONE: scheduled on call",IF(N347="Escalate to AM","ESCALATED TO LEAD","Review")))))))</f>
        <v/>
      </c>
      <c r="G347" s="20">
        <f>IF(E347="Ram is handling - no action","",IF(M347="",B347+6/24,IF(AND(M347&lt;&gt;"Scheduled on call",M347&lt;&gt;"Booked on their behalf",M347&lt;&gt;"Not interested/Declined",N347=""),B347+20/24,"")))</f>
        <v/>
      </c>
      <c r="H347" s="19" t="inlineStr">
        <is>
          <t>Chetan</t>
        </is>
      </c>
      <c r="I347" s="19" t="inlineStr">
        <is>
          <t>Google</t>
        </is>
      </c>
      <c r="J347" s="19" t="inlineStr">
        <is>
          <t>Round1</t>
        </is>
      </c>
      <c r="K347" s="22" t="inlineStr">
        <is>
          <t>+91 9920264452</t>
        </is>
      </c>
      <c r="L347" s="19" t="inlineStr">
        <is>
          <t>&lt;calendly_link&gt;</t>
        </is>
      </c>
      <c r="M347" s="19" t="n"/>
      <c r="N347" s="19" t="n"/>
      <c r="O347" s="19">
        <f>IF(OR(M347="Scheduled on call",M347="Booked on their behalf",N347="Scheduled on call",N347="Booked on their behalf"),"SCHEDULED (call)",IF(OR(M347="Not interested/Declined",N347="Not interested/Declined"),"DECLINED",IF(N347="Escalate to AM","ESCALATED TO LEAD",IF(E347="Ram is handling - no action","N/A",IF(M347="","PENDING CALL 1","IN PROGRESS")))))</f>
        <v/>
      </c>
      <c r="P347" s="19">
        <f>IF(OR('Ram - Digital ToDo'!O347="Scheduled",'Ram - Digital ToDo'!Q347="Scheduled"),"Scheduled within SLA (self-serve)",IF(OR(M347="Scheduled on call",M347="Booked on their behalf",N347="Scheduled on call",N347="Booked on their behalf"),"Scheduled within SLA (call)",IF(OR(M347="Not interested/Declined",N347="Not interested/Declined"),"Declined",IF(N347="Escalate to AM","SLA breach - unresolved","In progress"))))</f>
        <v/>
      </c>
      <c r="Q347" s="19" t="n"/>
    </row>
    <row r="348">
      <c r="A348" s="19" t="inlineStr">
        <is>
          <t>REQ-0347</t>
        </is>
      </c>
      <c r="B348" s="20" t="n">
        <v>44867.82708333333</v>
      </c>
      <c r="C348" s="20">
        <f>B348+1</f>
        <v/>
      </c>
      <c r="D348" s="21">
        <f>(C348-NOW())*24</f>
        <v/>
      </c>
      <c r="E348" s="19">
        <f>IF('Ram - Digital ToDo'!Q348="Escalate to call","CALL NOW",IF('Ram - Digital ToDo'!N348="Bad contact","CALL NOW (digital failed)","Ram is handling - no action"))</f>
        <v/>
      </c>
      <c r="F348" s="19">
        <f>IF(E348="Ram is handling - no action","No action needed",IF(M348="","CALL 1: ring candidate, offer to book on call (Playbook C1)",IF(OR(M348="Scheduled on call",M348="Booked on their behalf"),"DONE: scheduled on call",IF(M348="Not interested/Declined","CLOSED: candidate declined (log + tell lead)",IF(N348="","CALL 2: final attempt (Playbook C2)",IF(OR(N348="Scheduled on call",N348="Booked on their behalf"),"DONE: scheduled on call",IF(N348="Escalate to AM","ESCALATED TO LEAD","Review")))))))</f>
        <v/>
      </c>
      <c r="G348" s="20">
        <f>IF(E348="Ram is handling - no action","",IF(M348="",B348+6/24,IF(AND(M348&lt;&gt;"Scheduled on call",M348&lt;&gt;"Booked on their behalf",M348&lt;&gt;"Not interested/Declined",N348=""),B348+20/24,"")))</f>
        <v/>
      </c>
      <c r="H348" s="19" t="inlineStr">
        <is>
          <t>Chetan</t>
        </is>
      </c>
      <c r="I348" s="19" t="inlineStr">
        <is>
          <t>Google</t>
        </is>
      </c>
      <c r="J348" s="19" t="inlineStr">
        <is>
          <t>Round1</t>
        </is>
      </c>
      <c r="K348" s="22" t="inlineStr">
        <is>
          <t>+91 9920264452</t>
        </is>
      </c>
      <c r="L348" s="19" t="inlineStr">
        <is>
          <t>&lt;calendly_link&gt;</t>
        </is>
      </c>
      <c r="M348" s="19" t="n"/>
      <c r="N348" s="19" t="n"/>
      <c r="O348" s="19">
        <f>IF(OR(M348="Scheduled on call",M348="Booked on their behalf",N348="Scheduled on call",N348="Booked on their behalf"),"SCHEDULED (call)",IF(OR(M348="Not interested/Declined",N348="Not interested/Declined"),"DECLINED",IF(N348="Escalate to AM","ESCALATED TO LEAD",IF(E348="Ram is handling - no action","N/A",IF(M348="","PENDING CALL 1","IN PROGRESS")))))</f>
        <v/>
      </c>
      <c r="P348" s="19">
        <f>IF(OR('Ram - Digital ToDo'!O348="Scheduled",'Ram - Digital ToDo'!Q348="Scheduled"),"Scheduled within SLA (self-serve)",IF(OR(M348="Scheduled on call",M348="Booked on their behalf",N348="Scheduled on call",N348="Booked on their behalf"),"Scheduled within SLA (call)",IF(OR(M348="Not interested/Declined",N348="Not interested/Declined"),"Declined",IF(N348="Escalate to AM","SLA breach - unresolved","In progress"))))</f>
        <v/>
      </c>
      <c r="Q348" s="19" t="n"/>
    </row>
    <row r="349">
      <c r="A349" s="19" t="inlineStr">
        <is>
          <t>REQ-0348</t>
        </is>
      </c>
      <c r="B349" s="20" t="n">
        <v>44867.82708333333</v>
      </c>
      <c r="C349" s="20">
        <f>B349+1</f>
        <v/>
      </c>
      <c r="D349" s="21">
        <f>(C349-NOW())*24</f>
        <v/>
      </c>
      <c r="E349" s="19">
        <f>IF('Ram - Digital ToDo'!Q349="Escalate to call","CALL NOW",IF('Ram - Digital ToDo'!N349="Bad contact","CALL NOW (digital failed)","Ram is handling - no action"))</f>
        <v/>
      </c>
      <c r="F349" s="19">
        <f>IF(E349="Ram is handling - no action","No action needed",IF(M349="","CALL 1: ring candidate, offer to book on call (Playbook C1)",IF(OR(M349="Scheduled on call",M349="Booked on their behalf"),"DONE: scheduled on call",IF(M349="Not interested/Declined","CLOSED: candidate declined (log + tell lead)",IF(N349="","CALL 2: final attempt (Playbook C2)",IF(OR(N349="Scheduled on call",N349="Booked on their behalf"),"DONE: scheduled on call",IF(N349="Escalate to AM","ESCALATED TO LEAD","Review")))))))</f>
        <v/>
      </c>
      <c r="G349" s="20">
        <f>IF(E349="Ram is handling - no action","",IF(M349="",B349+6/24,IF(AND(M349&lt;&gt;"Scheduled on call",M349&lt;&gt;"Booked on their behalf",M349&lt;&gt;"Not interested/Declined",N349=""),B349+20/24,"")))</f>
        <v/>
      </c>
      <c r="H349" s="19" t="inlineStr">
        <is>
          <t>Chetan</t>
        </is>
      </c>
      <c r="I349" s="19" t="inlineStr">
        <is>
          <t>Google</t>
        </is>
      </c>
      <c r="J349" s="19" t="inlineStr">
        <is>
          <t>Round1</t>
        </is>
      </c>
      <c r="K349" s="22" t="inlineStr">
        <is>
          <t>+91 9920264452</t>
        </is>
      </c>
      <c r="L349" s="19" t="inlineStr">
        <is>
          <t>&lt;calendly_link&gt;</t>
        </is>
      </c>
      <c r="M349" s="19" t="n"/>
      <c r="N349" s="19" t="n"/>
      <c r="O349" s="19">
        <f>IF(OR(M349="Scheduled on call",M349="Booked on their behalf",N349="Scheduled on call",N349="Booked on their behalf"),"SCHEDULED (call)",IF(OR(M349="Not interested/Declined",N349="Not interested/Declined"),"DECLINED",IF(N349="Escalate to AM","ESCALATED TO LEAD",IF(E349="Ram is handling - no action","N/A",IF(M349="","PENDING CALL 1","IN PROGRESS")))))</f>
        <v/>
      </c>
      <c r="P349" s="19">
        <f>IF(OR('Ram - Digital ToDo'!O349="Scheduled",'Ram - Digital ToDo'!Q349="Scheduled"),"Scheduled within SLA (self-serve)",IF(OR(M349="Scheduled on call",M349="Booked on their behalf",N349="Scheduled on call",N349="Booked on their behalf"),"Scheduled within SLA (call)",IF(OR(M349="Not interested/Declined",N349="Not interested/Declined"),"Declined",IF(N349="Escalate to AM","SLA breach - unresolved","In progress"))))</f>
        <v/>
      </c>
      <c r="Q349" s="19" t="n"/>
    </row>
    <row r="350">
      <c r="A350" s="19" t="inlineStr">
        <is>
          <t>REQ-0349</t>
        </is>
      </c>
      <c r="B350" s="20" t="n">
        <v>44867.82708333333</v>
      </c>
      <c r="C350" s="20">
        <f>B350+1</f>
        <v/>
      </c>
      <c r="D350" s="21">
        <f>(C350-NOW())*24</f>
        <v/>
      </c>
      <c r="E350" s="19">
        <f>IF('Ram - Digital ToDo'!Q350="Escalate to call","CALL NOW",IF('Ram - Digital ToDo'!N350="Bad contact","CALL NOW (digital failed)","Ram is handling - no action"))</f>
        <v/>
      </c>
      <c r="F350" s="19">
        <f>IF(E350="Ram is handling - no action","No action needed",IF(M350="","CALL 1: ring candidate, offer to book on call (Playbook C1)",IF(OR(M350="Scheduled on call",M350="Booked on their behalf"),"DONE: scheduled on call",IF(M350="Not interested/Declined","CLOSED: candidate declined (log + tell lead)",IF(N350="","CALL 2: final attempt (Playbook C2)",IF(OR(N350="Scheduled on call",N350="Booked on their behalf"),"DONE: scheduled on call",IF(N350="Escalate to AM","ESCALATED TO LEAD","Review")))))))</f>
        <v/>
      </c>
      <c r="G350" s="20">
        <f>IF(E350="Ram is handling - no action","",IF(M350="",B350+6/24,IF(AND(M350&lt;&gt;"Scheduled on call",M350&lt;&gt;"Booked on their behalf",M350&lt;&gt;"Not interested/Declined",N350=""),B350+20/24,"")))</f>
        <v/>
      </c>
      <c r="H350" s="19" t="inlineStr">
        <is>
          <t>Chetan</t>
        </is>
      </c>
      <c r="I350" s="19" t="inlineStr">
        <is>
          <t>Google</t>
        </is>
      </c>
      <c r="J350" s="19" t="inlineStr">
        <is>
          <t>Round1</t>
        </is>
      </c>
      <c r="K350" s="22" t="inlineStr">
        <is>
          <t>+91 9920264452</t>
        </is>
      </c>
      <c r="L350" s="19" t="inlineStr">
        <is>
          <t>&lt;calendly_link&gt;</t>
        </is>
      </c>
      <c r="M350" s="19" t="n"/>
      <c r="N350" s="19" t="n"/>
      <c r="O350" s="19">
        <f>IF(OR(M350="Scheduled on call",M350="Booked on their behalf",N350="Scheduled on call",N350="Booked on their behalf"),"SCHEDULED (call)",IF(OR(M350="Not interested/Declined",N350="Not interested/Declined"),"DECLINED",IF(N350="Escalate to AM","ESCALATED TO LEAD",IF(E350="Ram is handling - no action","N/A",IF(M350="","PENDING CALL 1","IN PROGRESS")))))</f>
        <v/>
      </c>
      <c r="P350" s="19">
        <f>IF(OR('Ram - Digital ToDo'!O350="Scheduled",'Ram - Digital ToDo'!Q350="Scheduled"),"Scheduled within SLA (self-serve)",IF(OR(M350="Scheduled on call",M350="Booked on their behalf",N350="Scheduled on call",N350="Booked on their behalf"),"Scheduled within SLA (call)",IF(OR(M350="Not interested/Declined",N350="Not interested/Declined"),"Declined",IF(N350="Escalate to AM","SLA breach - unresolved","In progress"))))</f>
        <v/>
      </c>
      <c r="Q350" s="19" t="n"/>
    </row>
    <row r="351">
      <c r="A351" s="19" t="inlineStr">
        <is>
          <t>REQ-0350</t>
        </is>
      </c>
      <c r="B351" s="20" t="n">
        <v>44867.82708333333</v>
      </c>
      <c r="C351" s="20">
        <f>B351+1</f>
        <v/>
      </c>
      <c r="D351" s="21">
        <f>(C351-NOW())*24</f>
        <v/>
      </c>
      <c r="E351" s="19">
        <f>IF('Ram - Digital ToDo'!Q351="Escalate to call","CALL NOW",IF('Ram - Digital ToDo'!N351="Bad contact","CALL NOW (digital failed)","Ram is handling - no action"))</f>
        <v/>
      </c>
      <c r="F351" s="19">
        <f>IF(E351="Ram is handling - no action","No action needed",IF(M351="","CALL 1: ring candidate, offer to book on call (Playbook C1)",IF(OR(M351="Scheduled on call",M351="Booked on their behalf"),"DONE: scheduled on call",IF(M351="Not interested/Declined","CLOSED: candidate declined (log + tell lead)",IF(N351="","CALL 2: final attempt (Playbook C2)",IF(OR(N351="Scheduled on call",N351="Booked on their behalf"),"DONE: scheduled on call",IF(N351="Escalate to AM","ESCALATED TO LEAD","Review")))))))</f>
        <v/>
      </c>
      <c r="G351" s="20">
        <f>IF(E351="Ram is handling - no action","",IF(M351="",B351+6/24,IF(AND(M351&lt;&gt;"Scheduled on call",M351&lt;&gt;"Booked on their behalf",M351&lt;&gt;"Not interested/Declined",N351=""),B351+20/24,"")))</f>
        <v/>
      </c>
      <c r="H351" s="19" t="inlineStr">
        <is>
          <t>Chetan</t>
        </is>
      </c>
      <c r="I351" s="19" t="inlineStr">
        <is>
          <t>Google</t>
        </is>
      </c>
      <c r="J351" s="19" t="inlineStr">
        <is>
          <t>Round1</t>
        </is>
      </c>
      <c r="K351" s="22" t="inlineStr">
        <is>
          <t>+91 9920264452</t>
        </is>
      </c>
      <c r="L351" s="19" t="inlineStr">
        <is>
          <t>&lt;calendly_link&gt;</t>
        </is>
      </c>
      <c r="M351" s="19" t="n"/>
      <c r="N351" s="19" t="n"/>
      <c r="O351" s="19">
        <f>IF(OR(M351="Scheduled on call",M351="Booked on their behalf",N351="Scheduled on call",N351="Booked on their behalf"),"SCHEDULED (call)",IF(OR(M351="Not interested/Declined",N351="Not interested/Declined"),"DECLINED",IF(N351="Escalate to AM","ESCALATED TO LEAD",IF(E351="Ram is handling - no action","N/A",IF(M351="","PENDING CALL 1","IN PROGRESS")))))</f>
        <v/>
      </c>
      <c r="P351" s="19">
        <f>IF(OR('Ram - Digital ToDo'!O351="Scheduled",'Ram - Digital ToDo'!Q351="Scheduled"),"Scheduled within SLA (self-serve)",IF(OR(M351="Scheduled on call",M351="Booked on their behalf",N351="Scheduled on call",N351="Booked on their behalf"),"Scheduled within SLA (call)",IF(OR(M351="Not interested/Declined",N351="Not interested/Declined"),"Declined",IF(N351="Escalate to AM","SLA breach - unresolved","In progress"))))</f>
        <v/>
      </c>
      <c r="Q351" s="19" t="n"/>
    </row>
    <row r="352">
      <c r="A352" s="19" t="inlineStr">
        <is>
          <t>REQ-0351</t>
        </is>
      </c>
      <c r="B352" s="20" t="n">
        <v>44867.82708333333</v>
      </c>
      <c r="C352" s="20">
        <f>B352+1</f>
        <v/>
      </c>
      <c r="D352" s="21">
        <f>(C352-NOW())*24</f>
        <v/>
      </c>
      <c r="E352" s="19">
        <f>IF('Ram - Digital ToDo'!Q352="Escalate to call","CALL NOW",IF('Ram - Digital ToDo'!N352="Bad contact","CALL NOW (digital failed)","Ram is handling - no action"))</f>
        <v/>
      </c>
      <c r="F352" s="19">
        <f>IF(E352="Ram is handling - no action","No action needed",IF(M352="","CALL 1: ring candidate, offer to book on call (Playbook C1)",IF(OR(M352="Scheduled on call",M352="Booked on their behalf"),"DONE: scheduled on call",IF(M352="Not interested/Declined","CLOSED: candidate declined (log + tell lead)",IF(N352="","CALL 2: final attempt (Playbook C2)",IF(OR(N352="Scheduled on call",N352="Booked on their behalf"),"DONE: scheduled on call",IF(N352="Escalate to AM","ESCALATED TO LEAD","Review")))))))</f>
        <v/>
      </c>
      <c r="G352" s="20">
        <f>IF(E352="Ram is handling - no action","",IF(M352="",B352+6/24,IF(AND(M352&lt;&gt;"Scheduled on call",M352&lt;&gt;"Booked on their behalf",M352&lt;&gt;"Not interested/Declined",N352=""),B352+20/24,"")))</f>
        <v/>
      </c>
      <c r="H352" s="19" t="inlineStr">
        <is>
          <t>Chetan</t>
        </is>
      </c>
      <c r="I352" s="19" t="inlineStr">
        <is>
          <t>Google</t>
        </is>
      </c>
      <c r="J352" s="19" t="inlineStr">
        <is>
          <t>Round1</t>
        </is>
      </c>
      <c r="K352" s="22" t="inlineStr">
        <is>
          <t>+91 9920264452</t>
        </is>
      </c>
      <c r="L352" s="19" t="inlineStr">
        <is>
          <t>&lt;calendly_link&gt;</t>
        </is>
      </c>
      <c r="M352" s="19" t="n"/>
      <c r="N352" s="19" t="n"/>
      <c r="O352" s="19">
        <f>IF(OR(M352="Scheduled on call",M352="Booked on their behalf",N352="Scheduled on call",N352="Booked on their behalf"),"SCHEDULED (call)",IF(OR(M352="Not interested/Declined",N352="Not interested/Declined"),"DECLINED",IF(N352="Escalate to AM","ESCALATED TO LEAD",IF(E352="Ram is handling - no action","N/A",IF(M352="","PENDING CALL 1","IN PROGRESS")))))</f>
        <v/>
      </c>
      <c r="P352" s="19">
        <f>IF(OR('Ram - Digital ToDo'!O352="Scheduled",'Ram - Digital ToDo'!Q352="Scheduled"),"Scheduled within SLA (self-serve)",IF(OR(M352="Scheduled on call",M352="Booked on their behalf",N352="Scheduled on call",N352="Booked on their behalf"),"Scheduled within SLA (call)",IF(OR(M352="Not interested/Declined",N352="Not interested/Declined"),"Declined",IF(N352="Escalate to AM","SLA breach - unresolved","In progress"))))</f>
        <v/>
      </c>
      <c r="Q352" s="19" t="n"/>
    </row>
    <row r="353">
      <c r="A353" s="19" t="inlineStr">
        <is>
          <t>REQ-0352</t>
        </is>
      </c>
      <c r="B353" s="20" t="n">
        <v>44867.82708333333</v>
      </c>
      <c r="C353" s="20">
        <f>B353+1</f>
        <v/>
      </c>
      <c r="D353" s="21">
        <f>(C353-NOW())*24</f>
        <v/>
      </c>
      <c r="E353" s="19">
        <f>IF('Ram - Digital ToDo'!Q353="Escalate to call","CALL NOW",IF('Ram - Digital ToDo'!N353="Bad contact","CALL NOW (digital failed)","Ram is handling - no action"))</f>
        <v/>
      </c>
      <c r="F353" s="19">
        <f>IF(E353="Ram is handling - no action","No action needed",IF(M353="","CALL 1: ring candidate, offer to book on call (Playbook C1)",IF(OR(M353="Scheduled on call",M353="Booked on their behalf"),"DONE: scheduled on call",IF(M353="Not interested/Declined","CLOSED: candidate declined (log + tell lead)",IF(N353="","CALL 2: final attempt (Playbook C2)",IF(OR(N353="Scheduled on call",N353="Booked on their behalf"),"DONE: scheduled on call",IF(N353="Escalate to AM","ESCALATED TO LEAD","Review")))))))</f>
        <v/>
      </c>
      <c r="G353" s="20">
        <f>IF(E353="Ram is handling - no action","",IF(M353="",B353+6/24,IF(AND(M353&lt;&gt;"Scheduled on call",M353&lt;&gt;"Booked on their behalf",M353&lt;&gt;"Not interested/Declined",N353=""),B353+20/24,"")))</f>
        <v/>
      </c>
      <c r="H353" s="19" t="inlineStr">
        <is>
          <t>Chetan</t>
        </is>
      </c>
      <c r="I353" s="19" t="inlineStr">
        <is>
          <t>Google</t>
        </is>
      </c>
      <c r="J353" s="19" t="inlineStr">
        <is>
          <t>Round1</t>
        </is>
      </c>
      <c r="K353" s="22" t="inlineStr">
        <is>
          <t>+91 9920264452</t>
        </is>
      </c>
      <c r="L353" s="19" t="inlineStr">
        <is>
          <t>&lt;calendly_link&gt;</t>
        </is>
      </c>
      <c r="M353" s="19" t="n"/>
      <c r="N353" s="19" t="n"/>
      <c r="O353" s="19">
        <f>IF(OR(M353="Scheduled on call",M353="Booked on their behalf",N353="Scheduled on call",N353="Booked on their behalf"),"SCHEDULED (call)",IF(OR(M353="Not interested/Declined",N353="Not interested/Declined"),"DECLINED",IF(N353="Escalate to AM","ESCALATED TO LEAD",IF(E353="Ram is handling - no action","N/A",IF(M353="","PENDING CALL 1","IN PROGRESS")))))</f>
        <v/>
      </c>
      <c r="P353" s="19">
        <f>IF(OR('Ram - Digital ToDo'!O353="Scheduled",'Ram - Digital ToDo'!Q353="Scheduled"),"Scheduled within SLA (self-serve)",IF(OR(M353="Scheduled on call",M353="Booked on their behalf",N353="Scheduled on call",N353="Booked on their behalf"),"Scheduled within SLA (call)",IF(OR(M353="Not interested/Declined",N353="Not interested/Declined"),"Declined",IF(N353="Escalate to AM","SLA breach - unresolved","In progress"))))</f>
        <v/>
      </c>
      <c r="Q353" s="19" t="n"/>
    </row>
    <row r="354">
      <c r="A354" s="19" t="inlineStr">
        <is>
          <t>REQ-0353</t>
        </is>
      </c>
      <c r="B354" s="20" t="n">
        <v>44867.82708333333</v>
      </c>
      <c r="C354" s="20">
        <f>B354+1</f>
        <v/>
      </c>
      <c r="D354" s="21">
        <f>(C354-NOW())*24</f>
        <v/>
      </c>
      <c r="E354" s="19">
        <f>IF('Ram - Digital ToDo'!Q354="Escalate to call","CALL NOW",IF('Ram - Digital ToDo'!N354="Bad contact","CALL NOW (digital failed)","Ram is handling - no action"))</f>
        <v/>
      </c>
      <c r="F354" s="19">
        <f>IF(E354="Ram is handling - no action","No action needed",IF(M354="","CALL 1: ring candidate, offer to book on call (Playbook C1)",IF(OR(M354="Scheduled on call",M354="Booked on their behalf"),"DONE: scheduled on call",IF(M354="Not interested/Declined","CLOSED: candidate declined (log + tell lead)",IF(N354="","CALL 2: final attempt (Playbook C2)",IF(OR(N354="Scheduled on call",N354="Booked on their behalf"),"DONE: scheduled on call",IF(N354="Escalate to AM","ESCALATED TO LEAD","Review")))))))</f>
        <v/>
      </c>
      <c r="G354" s="20">
        <f>IF(E354="Ram is handling - no action","",IF(M354="",B354+6/24,IF(AND(M354&lt;&gt;"Scheduled on call",M354&lt;&gt;"Booked on their behalf",M354&lt;&gt;"Not interested/Declined",N354=""),B354+20/24,"")))</f>
        <v/>
      </c>
      <c r="H354" s="19" t="inlineStr">
        <is>
          <t>Chetan</t>
        </is>
      </c>
      <c r="I354" s="19" t="inlineStr">
        <is>
          <t>Google</t>
        </is>
      </c>
      <c r="J354" s="19" t="inlineStr">
        <is>
          <t>Round1</t>
        </is>
      </c>
      <c r="K354" s="22" t="inlineStr">
        <is>
          <t>+91 9920264452</t>
        </is>
      </c>
      <c r="L354" s="19" t="inlineStr">
        <is>
          <t>&lt;calendly_link&gt;</t>
        </is>
      </c>
      <c r="M354" s="19" t="n"/>
      <c r="N354" s="19" t="n"/>
      <c r="O354" s="19">
        <f>IF(OR(M354="Scheduled on call",M354="Booked on their behalf",N354="Scheduled on call",N354="Booked on their behalf"),"SCHEDULED (call)",IF(OR(M354="Not interested/Declined",N354="Not interested/Declined"),"DECLINED",IF(N354="Escalate to AM","ESCALATED TO LEAD",IF(E354="Ram is handling - no action","N/A",IF(M354="","PENDING CALL 1","IN PROGRESS")))))</f>
        <v/>
      </c>
      <c r="P354" s="19">
        <f>IF(OR('Ram - Digital ToDo'!O354="Scheduled",'Ram - Digital ToDo'!Q354="Scheduled"),"Scheduled within SLA (self-serve)",IF(OR(M354="Scheduled on call",M354="Booked on their behalf",N354="Scheduled on call",N354="Booked on their behalf"),"Scheduled within SLA (call)",IF(OR(M354="Not interested/Declined",N354="Not interested/Declined"),"Declined",IF(N354="Escalate to AM","SLA breach - unresolved","In progress"))))</f>
        <v/>
      </c>
      <c r="Q354" s="19" t="n"/>
    </row>
    <row r="355">
      <c r="A355" s="19" t="inlineStr">
        <is>
          <t>REQ-0354</t>
        </is>
      </c>
      <c r="B355" s="20" t="n">
        <v>44867.82708333333</v>
      </c>
      <c r="C355" s="20">
        <f>B355+1</f>
        <v/>
      </c>
      <c r="D355" s="21">
        <f>(C355-NOW())*24</f>
        <v/>
      </c>
      <c r="E355" s="19">
        <f>IF('Ram - Digital ToDo'!Q355="Escalate to call","CALL NOW",IF('Ram - Digital ToDo'!N355="Bad contact","CALL NOW (digital failed)","Ram is handling - no action"))</f>
        <v/>
      </c>
      <c r="F355" s="19">
        <f>IF(E355="Ram is handling - no action","No action needed",IF(M355="","CALL 1: ring candidate, offer to book on call (Playbook C1)",IF(OR(M355="Scheduled on call",M355="Booked on their behalf"),"DONE: scheduled on call",IF(M355="Not interested/Declined","CLOSED: candidate declined (log + tell lead)",IF(N355="","CALL 2: final attempt (Playbook C2)",IF(OR(N355="Scheduled on call",N355="Booked on their behalf"),"DONE: scheduled on call",IF(N355="Escalate to AM","ESCALATED TO LEAD","Review")))))))</f>
        <v/>
      </c>
      <c r="G355" s="20">
        <f>IF(E355="Ram is handling - no action","",IF(M355="",B355+6/24,IF(AND(M355&lt;&gt;"Scheduled on call",M355&lt;&gt;"Booked on their behalf",M355&lt;&gt;"Not interested/Declined",N355=""),B355+20/24,"")))</f>
        <v/>
      </c>
      <c r="H355" s="19" t="inlineStr">
        <is>
          <t>Chetan</t>
        </is>
      </c>
      <c r="I355" s="19" t="inlineStr">
        <is>
          <t>Google</t>
        </is>
      </c>
      <c r="J355" s="19" t="inlineStr">
        <is>
          <t>Round1</t>
        </is>
      </c>
      <c r="K355" s="22" t="inlineStr">
        <is>
          <t>+91 9920264452</t>
        </is>
      </c>
      <c r="L355" s="19" t="inlineStr">
        <is>
          <t>&lt;calendly_link&gt;</t>
        </is>
      </c>
      <c r="M355" s="19" t="n"/>
      <c r="N355" s="19" t="n"/>
      <c r="O355" s="19">
        <f>IF(OR(M355="Scheduled on call",M355="Booked on their behalf",N355="Scheduled on call",N355="Booked on their behalf"),"SCHEDULED (call)",IF(OR(M355="Not interested/Declined",N355="Not interested/Declined"),"DECLINED",IF(N355="Escalate to AM","ESCALATED TO LEAD",IF(E355="Ram is handling - no action","N/A",IF(M355="","PENDING CALL 1","IN PROGRESS")))))</f>
        <v/>
      </c>
      <c r="P355" s="19">
        <f>IF(OR('Ram - Digital ToDo'!O355="Scheduled",'Ram - Digital ToDo'!Q355="Scheduled"),"Scheduled within SLA (self-serve)",IF(OR(M355="Scheduled on call",M355="Booked on their behalf",N355="Scheduled on call",N355="Booked on their behalf"),"Scheduled within SLA (call)",IF(OR(M355="Not interested/Declined",N355="Not interested/Declined"),"Declined",IF(N355="Escalate to AM","SLA breach - unresolved","In progress"))))</f>
        <v/>
      </c>
      <c r="Q355" s="19" t="n"/>
    </row>
    <row r="356">
      <c r="A356" s="19" t="inlineStr">
        <is>
          <t>REQ-0355</t>
        </is>
      </c>
      <c r="B356" s="20" t="n">
        <v>44867.82708333333</v>
      </c>
      <c r="C356" s="20">
        <f>B356+1</f>
        <v/>
      </c>
      <c r="D356" s="21">
        <f>(C356-NOW())*24</f>
        <v/>
      </c>
      <c r="E356" s="19">
        <f>IF('Ram - Digital ToDo'!Q356="Escalate to call","CALL NOW",IF('Ram - Digital ToDo'!N356="Bad contact","CALL NOW (digital failed)","Ram is handling - no action"))</f>
        <v/>
      </c>
      <c r="F356" s="19">
        <f>IF(E356="Ram is handling - no action","No action needed",IF(M356="","CALL 1: ring candidate, offer to book on call (Playbook C1)",IF(OR(M356="Scheduled on call",M356="Booked on their behalf"),"DONE: scheduled on call",IF(M356="Not interested/Declined","CLOSED: candidate declined (log + tell lead)",IF(N356="","CALL 2: final attempt (Playbook C2)",IF(OR(N356="Scheduled on call",N356="Booked on their behalf"),"DONE: scheduled on call",IF(N356="Escalate to AM","ESCALATED TO LEAD","Review")))))))</f>
        <v/>
      </c>
      <c r="G356" s="20">
        <f>IF(E356="Ram is handling - no action","",IF(M356="",B356+6/24,IF(AND(M356&lt;&gt;"Scheduled on call",M356&lt;&gt;"Booked on their behalf",M356&lt;&gt;"Not interested/Declined",N356=""),B356+20/24,"")))</f>
        <v/>
      </c>
      <c r="H356" s="19" t="inlineStr">
        <is>
          <t>Chetan</t>
        </is>
      </c>
      <c r="I356" s="19" t="inlineStr">
        <is>
          <t>Google</t>
        </is>
      </c>
      <c r="J356" s="19" t="inlineStr">
        <is>
          <t>Round1</t>
        </is>
      </c>
      <c r="K356" s="22" t="inlineStr">
        <is>
          <t>+91 9920264452</t>
        </is>
      </c>
      <c r="L356" s="19" t="inlineStr">
        <is>
          <t>&lt;calendly_link&gt;</t>
        </is>
      </c>
      <c r="M356" s="19" t="n"/>
      <c r="N356" s="19" t="n"/>
      <c r="O356" s="19">
        <f>IF(OR(M356="Scheduled on call",M356="Booked on their behalf",N356="Scheduled on call",N356="Booked on their behalf"),"SCHEDULED (call)",IF(OR(M356="Not interested/Declined",N356="Not interested/Declined"),"DECLINED",IF(N356="Escalate to AM","ESCALATED TO LEAD",IF(E356="Ram is handling - no action","N/A",IF(M356="","PENDING CALL 1","IN PROGRESS")))))</f>
        <v/>
      </c>
      <c r="P356" s="19">
        <f>IF(OR('Ram - Digital ToDo'!O356="Scheduled",'Ram - Digital ToDo'!Q356="Scheduled"),"Scheduled within SLA (self-serve)",IF(OR(M356="Scheduled on call",M356="Booked on their behalf",N356="Scheduled on call",N356="Booked on their behalf"),"Scheduled within SLA (call)",IF(OR(M356="Not interested/Declined",N356="Not interested/Declined"),"Declined",IF(N356="Escalate to AM","SLA breach - unresolved","In progress"))))</f>
        <v/>
      </c>
      <c r="Q356" s="19" t="n"/>
    </row>
    <row r="357">
      <c r="A357" s="19" t="inlineStr">
        <is>
          <t>REQ-0356</t>
        </is>
      </c>
      <c r="B357" s="20" t="n">
        <v>44867.82708333333</v>
      </c>
      <c r="C357" s="20">
        <f>B357+1</f>
        <v/>
      </c>
      <c r="D357" s="21">
        <f>(C357-NOW())*24</f>
        <v/>
      </c>
      <c r="E357" s="19">
        <f>IF('Ram - Digital ToDo'!Q357="Escalate to call","CALL NOW",IF('Ram - Digital ToDo'!N357="Bad contact","CALL NOW (digital failed)","Ram is handling - no action"))</f>
        <v/>
      </c>
      <c r="F357" s="19">
        <f>IF(E357="Ram is handling - no action","No action needed",IF(M357="","CALL 1: ring candidate, offer to book on call (Playbook C1)",IF(OR(M357="Scheduled on call",M357="Booked on their behalf"),"DONE: scheduled on call",IF(M357="Not interested/Declined","CLOSED: candidate declined (log + tell lead)",IF(N357="","CALL 2: final attempt (Playbook C2)",IF(OR(N357="Scheduled on call",N357="Booked on their behalf"),"DONE: scheduled on call",IF(N357="Escalate to AM","ESCALATED TO LEAD","Review")))))))</f>
        <v/>
      </c>
      <c r="G357" s="20">
        <f>IF(E357="Ram is handling - no action","",IF(M357="",B357+6/24,IF(AND(M357&lt;&gt;"Scheduled on call",M357&lt;&gt;"Booked on their behalf",M357&lt;&gt;"Not interested/Declined",N357=""),B357+20/24,"")))</f>
        <v/>
      </c>
      <c r="H357" s="19" t="inlineStr">
        <is>
          <t>Chetan</t>
        </is>
      </c>
      <c r="I357" s="19" t="inlineStr">
        <is>
          <t>Google</t>
        </is>
      </c>
      <c r="J357" s="19" t="inlineStr">
        <is>
          <t>Round1</t>
        </is>
      </c>
      <c r="K357" s="22" t="inlineStr">
        <is>
          <t>+91 9920264452</t>
        </is>
      </c>
      <c r="L357" s="19" t="inlineStr">
        <is>
          <t>&lt;calendly_link&gt;</t>
        </is>
      </c>
      <c r="M357" s="19" t="n"/>
      <c r="N357" s="19" t="n"/>
      <c r="O357" s="19">
        <f>IF(OR(M357="Scheduled on call",M357="Booked on their behalf",N357="Scheduled on call",N357="Booked on their behalf"),"SCHEDULED (call)",IF(OR(M357="Not interested/Declined",N357="Not interested/Declined"),"DECLINED",IF(N357="Escalate to AM","ESCALATED TO LEAD",IF(E357="Ram is handling - no action","N/A",IF(M357="","PENDING CALL 1","IN PROGRESS")))))</f>
        <v/>
      </c>
      <c r="P357" s="19">
        <f>IF(OR('Ram - Digital ToDo'!O357="Scheduled",'Ram - Digital ToDo'!Q357="Scheduled"),"Scheduled within SLA (self-serve)",IF(OR(M357="Scheduled on call",M357="Booked on their behalf",N357="Scheduled on call",N357="Booked on their behalf"),"Scheduled within SLA (call)",IF(OR(M357="Not interested/Declined",N357="Not interested/Declined"),"Declined",IF(N357="Escalate to AM","SLA breach - unresolved","In progress"))))</f>
        <v/>
      </c>
      <c r="Q357" s="19" t="n"/>
    </row>
    <row r="358">
      <c r="A358" s="19" t="inlineStr">
        <is>
          <t>REQ-0357</t>
        </is>
      </c>
      <c r="B358" s="20" t="n">
        <v>44867.82708333333</v>
      </c>
      <c r="C358" s="20">
        <f>B358+1</f>
        <v/>
      </c>
      <c r="D358" s="21">
        <f>(C358-NOW())*24</f>
        <v/>
      </c>
      <c r="E358" s="19">
        <f>IF('Ram - Digital ToDo'!Q358="Escalate to call","CALL NOW",IF('Ram - Digital ToDo'!N358="Bad contact","CALL NOW (digital failed)","Ram is handling - no action"))</f>
        <v/>
      </c>
      <c r="F358" s="19">
        <f>IF(E358="Ram is handling - no action","No action needed",IF(M358="","CALL 1: ring candidate, offer to book on call (Playbook C1)",IF(OR(M358="Scheduled on call",M358="Booked on their behalf"),"DONE: scheduled on call",IF(M358="Not interested/Declined","CLOSED: candidate declined (log + tell lead)",IF(N358="","CALL 2: final attempt (Playbook C2)",IF(OR(N358="Scheduled on call",N358="Booked on their behalf"),"DONE: scheduled on call",IF(N358="Escalate to AM","ESCALATED TO LEAD","Review")))))))</f>
        <v/>
      </c>
      <c r="G358" s="20">
        <f>IF(E358="Ram is handling - no action","",IF(M358="",B358+6/24,IF(AND(M358&lt;&gt;"Scheduled on call",M358&lt;&gt;"Booked on their behalf",M358&lt;&gt;"Not interested/Declined",N358=""),B358+20/24,"")))</f>
        <v/>
      </c>
      <c r="H358" s="19" t="inlineStr">
        <is>
          <t>Chetan</t>
        </is>
      </c>
      <c r="I358" s="19" t="inlineStr">
        <is>
          <t>Google</t>
        </is>
      </c>
      <c r="J358" s="19" t="inlineStr">
        <is>
          <t>Round1</t>
        </is>
      </c>
      <c r="K358" s="22" t="inlineStr">
        <is>
          <t>+91 9920264452</t>
        </is>
      </c>
      <c r="L358" s="19" t="inlineStr">
        <is>
          <t>&lt;calendly_link&gt;</t>
        </is>
      </c>
      <c r="M358" s="19" t="n"/>
      <c r="N358" s="19" t="n"/>
      <c r="O358" s="19">
        <f>IF(OR(M358="Scheduled on call",M358="Booked on their behalf",N358="Scheduled on call",N358="Booked on their behalf"),"SCHEDULED (call)",IF(OR(M358="Not interested/Declined",N358="Not interested/Declined"),"DECLINED",IF(N358="Escalate to AM","ESCALATED TO LEAD",IF(E358="Ram is handling - no action","N/A",IF(M358="","PENDING CALL 1","IN PROGRESS")))))</f>
        <v/>
      </c>
      <c r="P358" s="19">
        <f>IF(OR('Ram - Digital ToDo'!O358="Scheduled",'Ram - Digital ToDo'!Q358="Scheduled"),"Scheduled within SLA (self-serve)",IF(OR(M358="Scheduled on call",M358="Booked on their behalf",N358="Scheduled on call",N358="Booked on their behalf"),"Scheduled within SLA (call)",IF(OR(M358="Not interested/Declined",N358="Not interested/Declined"),"Declined",IF(N358="Escalate to AM","SLA breach - unresolved","In progress"))))</f>
        <v/>
      </c>
      <c r="Q358" s="19" t="n"/>
    </row>
    <row r="359">
      <c r="A359" s="19" t="inlineStr">
        <is>
          <t>REQ-0358</t>
        </is>
      </c>
      <c r="B359" s="20" t="n">
        <v>44867.82708333333</v>
      </c>
      <c r="C359" s="20">
        <f>B359+1</f>
        <v/>
      </c>
      <c r="D359" s="21">
        <f>(C359-NOW())*24</f>
        <v/>
      </c>
      <c r="E359" s="19">
        <f>IF('Ram - Digital ToDo'!Q359="Escalate to call","CALL NOW",IF('Ram - Digital ToDo'!N359="Bad contact","CALL NOW (digital failed)","Ram is handling - no action"))</f>
        <v/>
      </c>
      <c r="F359" s="19">
        <f>IF(E359="Ram is handling - no action","No action needed",IF(M359="","CALL 1: ring candidate, offer to book on call (Playbook C1)",IF(OR(M359="Scheduled on call",M359="Booked on their behalf"),"DONE: scheduled on call",IF(M359="Not interested/Declined","CLOSED: candidate declined (log + tell lead)",IF(N359="","CALL 2: final attempt (Playbook C2)",IF(OR(N359="Scheduled on call",N359="Booked on their behalf"),"DONE: scheduled on call",IF(N359="Escalate to AM","ESCALATED TO LEAD","Review")))))))</f>
        <v/>
      </c>
      <c r="G359" s="20">
        <f>IF(E359="Ram is handling - no action","",IF(M359="",B359+6/24,IF(AND(M359&lt;&gt;"Scheduled on call",M359&lt;&gt;"Booked on their behalf",M359&lt;&gt;"Not interested/Declined",N359=""),B359+20/24,"")))</f>
        <v/>
      </c>
      <c r="H359" s="19" t="inlineStr">
        <is>
          <t>Chetan</t>
        </is>
      </c>
      <c r="I359" s="19" t="inlineStr">
        <is>
          <t>Google</t>
        </is>
      </c>
      <c r="J359" s="19" t="inlineStr">
        <is>
          <t>Round1</t>
        </is>
      </c>
      <c r="K359" s="22" t="inlineStr">
        <is>
          <t>+91 9920264452</t>
        </is>
      </c>
      <c r="L359" s="19" t="inlineStr">
        <is>
          <t>&lt;calendly_link&gt;</t>
        </is>
      </c>
      <c r="M359" s="19" t="n"/>
      <c r="N359" s="19" t="n"/>
      <c r="O359" s="19">
        <f>IF(OR(M359="Scheduled on call",M359="Booked on their behalf",N359="Scheduled on call",N359="Booked on their behalf"),"SCHEDULED (call)",IF(OR(M359="Not interested/Declined",N359="Not interested/Declined"),"DECLINED",IF(N359="Escalate to AM","ESCALATED TO LEAD",IF(E359="Ram is handling - no action","N/A",IF(M359="","PENDING CALL 1","IN PROGRESS")))))</f>
        <v/>
      </c>
      <c r="P359" s="19">
        <f>IF(OR('Ram - Digital ToDo'!O359="Scheduled",'Ram - Digital ToDo'!Q359="Scheduled"),"Scheduled within SLA (self-serve)",IF(OR(M359="Scheduled on call",M359="Booked on their behalf",N359="Scheduled on call",N359="Booked on their behalf"),"Scheduled within SLA (call)",IF(OR(M359="Not interested/Declined",N359="Not interested/Declined"),"Declined",IF(N359="Escalate to AM","SLA breach - unresolved","In progress"))))</f>
        <v/>
      </c>
      <c r="Q359" s="19" t="n"/>
    </row>
    <row r="360">
      <c r="A360" s="19" t="inlineStr">
        <is>
          <t>REQ-0359</t>
        </is>
      </c>
      <c r="B360" s="20" t="n">
        <v>44867.82708333333</v>
      </c>
      <c r="C360" s="20">
        <f>B360+1</f>
        <v/>
      </c>
      <c r="D360" s="21">
        <f>(C360-NOW())*24</f>
        <v/>
      </c>
      <c r="E360" s="19">
        <f>IF('Ram - Digital ToDo'!Q360="Escalate to call","CALL NOW",IF('Ram - Digital ToDo'!N360="Bad contact","CALL NOW (digital failed)","Ram is handling - no action"))</f>
        <v/>
      </c>
      <c r="F360" s="19">
        <f>IF(E360="Ram is handling - no action","No action needed",IF(M360="","CALL 1: ring candidate, offer to book on call (Playbook C1)",IF(OR(M360="Scheduled on call",M360="Booked on their behalf"),"DONE: scheduled on call",IF(M360="Not interested/Declined","CLOSED: candidate declined (log + tell lead)",IF(N360="","CALL 2: final attempt (Playbook C2)",IF(OR(N360="Scheduled on call",N360="Booked on their behalf"),"DONE: scheduled on call",IF(N360="Escalate to AM","ESCALATED TO LEAD","Review")))))))</f>
        <v/>
      </c>
      <c r="G360" s="20">
        <f>IF(E360="Ram is handling - no action","",IF(M360="",B360+6/24,IF(AND(M360&lt;&gt;"Scheduled on call",M360&lt;&gt;"Booked on their behalf",M360&lt;&gt;"Not interested/Declined",N360=""),B360+20/24,"")))</f>
        <v/>
      </c>
      <c r="H360" s="19" t="inlineStr">
        <is>
          <t>Chetan</t>
        </is>
      </c>
      <c r="I360" s="19" t="inlineStr">
        <is>
          <t>Google</t>
        </is>
      </c>
      <c r="J360" s="19" t="inlineStr">
        <is>
          <t>Round1</t>
        </is>
      </c>
      <c r="K360" s="22" t="inlineStr">
        <is>
          <t>+91 9920264452</t>
        </is>
      </c>
      <c r="L360" s="19" t="inlineStr">
        <is>
          <t>&lt;calendly_link&gt;</t>
        </is>
      </c>
      <c r="M360" s="19" t="n"/>
      <c r="N360" s="19" t="n"/>
      <c r="O360" s="19">
        <f>IF(OR(M360="Scheduled on call",M360="Booked on their behalf",N360="Scheduled on call",N360="Booked on their behalf"),"SCHEDULED (call)",IF(OR(M360="Not interested/Declined",N360="Not interested/Declined"),"DECLINED",IF(N360="Escalate to AM","ESCALATED TO LEAD",IF(E360="Ram is handling - no action","N/A",IF(M360="","PENDING CALL 1","IN PROGRESS")))))</f>
        <v/>
      </c>
      <c r="P360" s="19">
        <f>IF(OR('Ram - Digital ToDo'!O360="Scheduled",'Ram - Digital ToDo'!Q360="Scheduled"),"Scheduled within SLA (self-serve)",IF(OR(M360="Scheduled on call",M360="Booked on their behalf",N360="Scheduled on call",N360="Booked on their behalf"),"Scheduled within SLA (call)",IF(OR(M360="Not interested/Declined",N360="Not interested/Declined"),"Declined",IF(N360="Escalate to AM","SLA breach - unresolved","In progress"))))</f>
        <v/>
      </c>
      <c r="Q360" s="19" t="n"/>
    </row>
    <row r="361">
      <c r="A361" s="19" t="inlineStr">
        <is>
          <t>REQ-0360</t>
        </is>
      </c>
      <c r="B361" s="20" t="n">
        <v>44867.82708333333</v>
      </c>
      <c r="C361" s="20">
        <f>B361+1</f>
        <v/>
      </c>
      <c r="D361" s="21">
        <f>(C361-NOW())*24</f>
        <v/>
      </c>
      <c r="E361" s="19">
        <f>IF('Ram - Digital ToDo'!Q361="Escalate to call","CALL NOW",IF('Ram - Digital ToDo'!N361="Bad contact","CALL NOW (digital failed)","Ram is handling - no action"))</f>
        <v/>
      </c>
      <c r="F361" s="19">
        <f>IF(E361="Ram is handling - no action","No action needed",IF(M361="","CALL 1: ring candidate, offer to book on call (Playbook C1)",IF(OR(M361="Scheduled on call",M361="Booked on their behalf"),"DONE: scheduled on call",IF(M361="Not interested/Declined","CLOSED: candidate declined (log + tell lead)",IF(N361="","CALL 2: final attempt (Playbook C2)",IF(OR(N361="Scheduled on call",N361="Booked on their behalf"),"DONE: scheduled on call",IF(N361="Escalate to AM","ESCALATED TO LEAD","Review")))))))</f>
        <v/>
      </c>
      <c r="G361" s="20">
        <f>IF(E361="Ram is handling - no action","",IF(M361="",B361+6/24,IF(AND(M361&lt;&gt;"Scheduled on call",M361&lt;&gt;"Booked on their behalf",M361&lt;&gt;"Not interested/Declined",N361=""),B361+20/24,"")))</f>
        <v/>
      </c>
      <c r="H361" s="19" t="inlineStr">
        <is>
          <t>Chetan</t>
        </is>
      </c>
      <c r="I361" s="19" t="inlineStr">
        <is>
          <t>Google</t>
        </is>
      </c>
      <c r="J361" s="19" t="inlineStr">
        <is>
          <t>Round1</t>
        </is>
      </c>
      <c r="K361" s="22" t="inlineStr">
        <is>
          <t>+91 9920264452</t>
        </is>
      </c>
      <c r="L361" s="19" t="inlineStr">
        <is>
          <t>&lt;calendly_link&gt;</t>
        </is>
      </c>
      <c r="M361" s="19" t="n"/>
      <c r="N361" s="19" t="n"/>
      <c r="O361" s="19">
        <f>IF(OR(M361="Scheduled on call",M361="Booked on their behalf",N361="Scheduled on call",N361="Booked on their behalf"),"SCHEDULED (call)",IF(OR(M361="Not interested/Declined",N361="Not interested/Declined"),"DECLINED",IF(N361="Escalate to AM","ESCALATED TO LEAD",IF(E361="Ram is handling - no action","N/A",IF(M361="","PENDING CALL 1","IN PROGRESS")))))</f>
        <v/>
      </c>
      <c r="P361" s="19">
        <f>IF(OR('Ram - Digital ToDo'!O361="Scheduled",'Ram - Digital ToDo'!Q361="Scheduled"),"Scheduled within SLA (self-serve)",IF(OR(M361="Scheduled on call",M361="Booked on their behalf",N361="Scheduled on call",N361="Booked on their behalf"),"Scheduled within SLA (call)",IF(OR(M361="Not interested/Declined",N361="Not interested/Declined"),"Declined",IF(N361="Escalate to AM","SLA breach - unresolved","In progress"))))</f>
        <v/>
      </c>
      <c r="Q361" s="19" t="n"/>
    </row>
    <row r="362">
      <c r="A362" s="19" t="inlineStr">
        <is>
          <t>REQ-0361</t>
        </is>
      </c>
      <c r="B362" s="20" t="n">
        <v>44867.82708333333</v>
      </c>
      <c r="C362" s="20">
        <f>B362+1</f>
        <v/>
      </c>
      <c r="D362" s="21">
        <f>(C362-NOW())*24</f>
        <v/>
      </c>
      <c r="E362" s="19">
        <f>IF('Ram - Digital ToDo'!Q362="Escalate to call","CALL NOW",IF('Ram - Digital ToDo'!N362="Bad contact","CALL NOW (digital failed)","Ram is handling - no action"))</f>
        <v/>
      </c>
      <c r="F362" s="19">
        <f>IF(E362="Ram is handling - no action","No action needed",IF(M362="","CALL 1: ring candidate, offer to book on call (Playbook C1)",IF(OR(M362="Scheduled on call",M362="Booked on their behalf"),"DONE: scheduled on call",IF(M362="Not interested/Declined","CLOSED: candidate declined (log + tell lead)",IF(N362="","CALL 2: final attempt (Playbook C2)",IF(OR(N362="Scheduled on call",N362="Booked on their behalf"),"DONE: scheduled on call",IF(N362="Escalate to AM","ESCALATED TO LEAD","Review")))))))</f>
        <v/>
      </c>
      <c r="G362" s="20">
        <f>IF(E362="Ram is handling - no action","",IF(M362="",B362+6/24,IF(AND(M362&lt;&gt;"Scheduled on call",M362&lt;&gt;"Booked on their behalf",M362&lt;&gt;"Not interested/Declined",N362=""),B362+20/24,"")))</f>
        <v/>
      </c>
      <c r="H362" s="19" t="inlineStr">
        <is>
          <t>Chetan</t>
        </is>
      </c>
      <c r="I362" s="19" t="inlineStr">
        <is>
          <t>Google</t>
        </is>
      </c>
      <c r="J362" s="19" t="inlineStr">
        <is>
          <t>Round1</t>
        </is>
      </c>
      <c r="K362" s="22" t="inlineStr">
        <is>
          <t>+91 9920264452</t>
        </is>
      </c>
      <c r="L362" s="19" t="inlineStr">
        <is>
          <t>&lt;calendly_link&gt;</t>
        </is>
      </c>
      <c r="M362" s="19" t="n"/>
      <c r="N362" s="19" t="n"/>
      <c r="O362" s="19">
        <f>IF(OR(M362="Scheduled on call",M362="Booked on their behalf",N362="Scheduled on call",N362="Booked on their behalf"),"SCHEDULED (call)",IF(OR(M362="Not interested/Declined",N362="Not interested/Declined"),"DECLINED",IF(N362="Escalate to AM","ESCALATED TO LEAD",IF(E362="Ram is handling - no action","N/A",IF(M362="","PENDING CALL 1","IN PROGRESS")))))</f>
        <v/>
      </c>
      <c r="P362" s="19">
        <f>IF(OR('Ram - Digital ToDo'!O362="Scheduled",'Ram - Digital ToDo'!Q362="Scheduled"),"Scheduled within SLA (self-serve)",IF(OR(M362="Scheduled on call",M362="Booked on their behalf",N362="Scheduled on call",N362="Booked on their behalf"),"Scheduled within SLA (call)",IF(OR(M362="Not interested/Declined",N362="Not interested/Declined"),"Declined",IF(N362="Escalate to AM","SLA breach - unresolved","In progress"))))</f>
        <v/>
      </c>
      <c r="Q362" s="19" t="n"/>
    </row>
    <row r="363">
      <c r="A363" s="19" t="inlineStr">
        <is>
          <t>REQ-0362</t>
        </is>
      </c>
      <c r="B363" s="20" t="n">
        <v>44867.82708333333</v>
      </c>
      <c r="C363" s="20">
        <f>B363+1</f>
        <v/>
      </c>
      <c r="D363" s="21">
        <f>(C363-NOW())*24</f>
        <v/>
      </c>
      <c r="E363" s="19">
        <f>IF('Ram - Digital ToDo'!Q363="Escalate to call","CALL NOW",IF('Ram - Digital ToDo'!N363="Bad contact","CALL NOW (digital failed)","Ram is handling - no action"))</f>
        <v/>
      </c>
      <c r="F363" s="19">
        <f>IF(E363="Ram is handling - no action","No action needed",IF(M363="","CALL 1: ring candidate, offer to book on call (Playbook C1)",IF(OR(M363="Scheduled on call",M363="Booked on their behalf"),"DONE: scheduled on call",IF(M363="Not interested/Declined","CLOSED: candidate declined (log + tell lead)",IF(N363="","CALL 2: final attempt (Playbook C2)",IF(OR(N363="Scheduled on call",N363="Booked on their behalf"),"DONE: scheduled on call",IF(N363="Escalate to AM","ESCALATED TO LEAD","Review")))))))</f>
        <v/>
      </c>
      <c r="G363" s="20">
        <f>IF(E363="Ram is handling - no action","",IF(M363="",B363+6/24,IF(AND(M363&lt;&gt;"Scheduled on call",M363&lt;&gt;"Booked on their behalf",M363&lt;&gt;"Not interested/Declined",N363=""),B363+20/24,"")))</f>
        <v/>
      </c>
      <c r="H363" s="19" t="inlineStr">
        <is>
          <t>Chetan</t>
        </is>
      </c>
      <c r="I363" s="19" t="inlineStr">
        <is>
          <t>Google</t>
        </is>
      </c>
      <c r="J363" s="19" t="inlineStr">
        <is>
          <t>Round1</t>
        </is>
      </c>
      <c r="K363" s="22" t="inlineStr">
        <is>
          <t>+91 9920264452</t>
        </is>
      </c>
      <c r="L363" s="19" t="inlineStr">
        <is>
          <t>&lt;calendly_link&gt;</t>
        </is>
      </c>
      <c r="M363" s="19" t="n"/>
      <c r="N363" s="19" t="n"/>
      <c r="O363" s="19">
        <f>IF(OR(M363="Scheduled on call",M363="Booked on their behalf",N363="Scheduled on call",N363="Booked on their behalf"),"SCHEDULED (call)",IF(OR(M363="Not interested/Declined",N363="Not interested/Declined"),"DECLINED",IF(N363="Escalate to AM","ESCALATED TO LEAD",IF(E363="Ram is handling - no action","N/A",IF(M363="","PENDING CALL 1","IN PROGRESS")))))</f>
        <v/>
      </c>
      <c r="P363" s="19">
        <f>IF(OR('Ram - Digital ToDo'!O363="Scheduled",'Ram - Digital ToDo'!Q363="Scheduled"),"Scheduled within SLA (self-serve)",IF(OR(M363="Scheduled on call",M363="Booked on their behalf",N363="Scheduled on call",N363="Booked on their behalf"),"Scheduled within SLA (call)",IF(OR(M363="Not interested/Declined",N363="Not interested/Declined"),"Declined",IF(N363="Escalate to AM","SLA breach - unresolved","In progress"))))</f>
        <v/>
      </c>
      <c r="Q363" s="19" t="n"/>
    </row>
    <row r="364">
      <c r="A364" s="19" t="inlineStr">
        <is>
          <t>REQ-0363</t>
        </is>
      </c>
      <c r="B364" s="20" t="n">
        <v>44867.82708333333</v>
      </c>
      <c r="C364" s="20">
        <f>B364+1</f>
        <v/>
      </c>
      <c r="D364" s="21">
        <f>(C364-NOW())*24</f>
        <v/>
      </c>
      <c r="E364" s="19">
        <f>IF('Ram - Digital ToDo'!Q364="Escalate to call","CALL NOW",IF('Ram - Digital ToDo'!N364="Bad contact","CALL NOW (digital failed)","Ram is handling - no action"))</f>
        <v/>
      </c>
      <c r="F364" s="19">
        <f>IF(E364="Ram is handling - no action","No action needed",IF(M364="","CALL 1: ring candidate, offer to book on call (Playbook C1)",IF(OR(M364="Scheduled on call",M364="Booked on their behalf"),"DONE: scheduled on call",IF(M364="Not interested/Declined","CLOSED: candidate declined (log + tell lead)",IF(N364="","CALL 2: final attempt (Playbook C2)",IF(OR(N364="Scheduled on call",N364="Booked on their behalf"),"DONE: scheduled on call",IF(N364="Escalate to AM","ESCALATED TO LEAD","Review")))))))</f>
        <v/>
      </c>
      <c r="G364" s="20">
        <f>IF(E364="Ram is handling - no action","",IF(M364="",B364+6/24,IF(AND(M364&lt;&gt;"Scheduled on call",M364&lt;&gt;"Booked on their behalf",M364&lt;&gt;"Not interested/Declined",N364=""),B364+20/24,"")))</f>
        <v/>
      </c>
      <c r="H364" s="19" t="inlineStr">
        <is>
          <t>Chetan</t>
        </is>
      </c>
      <c r="I364" s="19" t="inlineStr">
        <is>
          <t>Google</t>
        </is>
      </c>
      <c r="J364" s="19" t="inlineStr">
        <is>
          <t>Round1</t>
        </is>
      </c>
      <c r="K364" s="22" t="inlineStr">
        <is>
          <t>+91 9920264452</t>
        </is>
      </c>
      <c r="L364" s="19" t="inlineStr">
        <is>
          <t>&lt;calendly_link&gt;</t>
        </is>
      </c>
      <c r="M364" s="19" t="n"/>
      <c r="N364" s="19" t="n"/>
      <c r="O364" s="19">
        <f>IF(OR(M364="Scheduled on call",M364="Booked on their behalf",N364="Scheduled on call",N364="Booked on their behalf"),"SCHEDULED (call)",IF(OR(M364="Not interested/Declined",N364="Not interested/Declined"),"DECLINED",IF(N364="Escalate to AM","ESCALATED TO LEAD",IF(E364="Ram is handling - no action","N/A",IF(M364="","PENDING CALL 1","IN PROGRESS")))))</f>
        <v/>
      </c>
      <c r="P364" s="19">
        <f>IF(OR('Ram - Digital ToDo'!O364="Scheduled",'Ram - Digital ToDo'!Q364="Scheduled"),"Scheduled within SLA (self-serve)",IF(OR(M364="Scheduled on call",M364="Booked on their behalf",N364="Scheduled on call",N364="Booked on their behalf"),"Scheduled within SLA (call)",IF(OR(M364="Not interested/Declined",N364="Not interested/Declined"),"Declined",IF(N364="Escalate to AM","SLA breach - unresolved","In progress"))))</f>
        <v/>
      </c>
      <c r="Q364" s="19" t="n"/>
    </row>
    <row r="365">
      <c r="A365" s="19" t="inlineStr">
        <is>
          <t>REQ-0364</t>
        </is>
      </c>
      <c r="B365" s="20" t="n">
        <v>44867.82708333333</v>
      </c>
      <c r="C365" s="20">
        <f>B365+1</f>
        <v/>
      </c>
      <c r="D365" s="21">
        <f>(C365-NOW())*24</f>
        <v/>
      </c>
      <c r="E365" s="19">
        <f>IF('Ram - Digital ToDo'!Q365="Escalate to call","CALL NOW",IF('Ram - Digital ToDo'!N365="Bad contact","CALL NOW (digital failed)","Ram is handling - no action"))</f>
        <v/>
      </c>
      <c r="F365" s="19">
        <f>IF(E365="Ram is handling - no action","No action needed",IF(M365="","CALL 1: ring candidate, offer to book on call (Playbook C1)",IF(OR(M365="Scheduled on call",M365="Booked on their behalf"),"DONE: scheduled on call",IF(M365="Not interested/Declined","CLOSED: candidate declined (log + tell lead)",IF(N365="","CALL 2: final attempt (Playbook C2)",IF(OR(N365="Scheduled on call",N365="Booked on their behalf"),"DONE: scheduled on call",IF(N365="Escalate to AM","ESCALATED TO LEAD","Review")))))))</f>
        <v/>
      </c>
      <c r="G365" s="20">
        <f>IF(E365="Ram is handling - no action","",IF(M365="",B365+6/24,IF(AND(M365&lt;&gt;"Scheduled on call",M365&lt;&gt;"Booked on their behalf",M365&lt;&gt;"Not interested/Declined",N365=""),B365+20/24,"")))</f>
        <v/>
      </c>
      <c r="H365" s="19" t="inlineStr">
        <is>
          <t>Chetan</t>
        </is>
      </c>
      <c r="I365" s="19" t="inlineStr">
        <is>
          <t>Google</t>
        </is>
      </c>
      <c r="J365" s="19" t="inlineStr">
        <is>
          <t>Round1</t>
        </is>
      </c>
      <c r="K365" s="22" t="inlineStr">
        <is>
          <t>+91 9920264452</t>
        </is>
      </c>
      <c r="L365" s="19" t="inlineStr">
        <is>
          <t>&lt;calendly_link&gt;</t>
        </is>
      </c>
      <c r="M365" s="19" t="n"/>
      <c r="N365" s="19" t="n"/>
      <c r="O365" s="19">
        <f>IF(OR(M365="Scheduled on call",M365="Booked on their behalf",N365="Scheduled on call",N365="Booked on their behalf"),"SCHEDULED (call)",IF(OR(M365="Not interested/Declined",N365="Not interested/Declined"),"DECLINED",IF(N365="Escalate to AM","ESCALATED TO LEAD",IF(E365="Ram is handling - no action","N/A",IF(M365="","PENDING CALL 1","IN PROGRESS")))))</f>
        <v/>
      </c>
      <c r="P365" s="19">
        <f>IF(OR('Ram - Digital ToDo'!O365="Scheduled",'Ram - Digital ToDo'!Q365="Scheduled"),"Scheduled within SLA (self-serve)",IF(OR(M365="Scheduled on call",M365="Booked on their behalf",N365="Scheduled on call",N365="Booked on their behalf"),"Scheduled within SLA (call)",IF(OR(M365="Not interested/Declined",N365="Not interested/Declined"),"Declined",IF(N365="Escalate to AM","SLA breach - unresolved","In progress"))))</f>
        <v/>
      </c>
      <c r="Q365" s="19" t="n"/>
    </row>
    <row r="366">
      <c r="A366" s="19" t="inlineStr">
        <is>
          <t>REQ-0365</t>
        </is>
      </c>
      <c r="B366" s="20" t="n">
        <v>44867.82708333333</v>
      </c>
      <c r="C366" s="20">
        <f>B366+1</f>
        <v/>
      </c>
      <c r="D366" s="21">
        <f>(C366-NOW())*24</f>
        <v/>
      </c>
      <c r="E366" s="19">
        <f>IF('Ram - Digital ToDo'!Q366="Escalate to call","CALL NOW",IF('Ram - Digital ToDo'!N366="Bad contact","CALL NOW (digital failed)","Ram is handling - no action"))</f>
        <v/>
      </c>
      <c r="F366" s="19">
        <f>IF(E366="Ram is handling - no action","No action needed",IF(M366="","CALL 1: ring candidate, offer to book on call (Playbook C1)",IF(OR(M366="Scheduled on call",M366="Booked on their behalf"),"DONE: scheduled on call",IF(M366="Not interested/Declined","CLOSED: candidate declined (log + tell lead)",IF(N366="","CALL 2: final attempt (Playbook C2)",IF(OR(N366="Scheduled on call",N366="Booked on their behalf"),"DONE: scheduled on call",IF(N366="Escalate to AM","ESCALATED TO LEAD","Review")))))))</f>
        <v/>
      </c>
      <c r="G366" s="20">
        <f>IF(E366="Ram is handling - no action","",IF(M366="",B366+6/24,IF(AND(M366&lt;&gt;"Scheduled on call",M366&lt;&gt;"Booked on their behalf",M366&lt;&gt;"Not interested/Declined",N366=""),B366+20/24,"")))</f>
        <v/>
      </c>
      <c r="H366" s="19" t="inlineStr">
        <is>
          <t>Chetan</t>
        </is>
      </c>
      <c r="I366" s="19" t="inlineStr">
        <is>
          <t>Google</t>
        </is>
      </c>
      <c r="J366" s="19" t="inlineStr">
        <is>
          <t>Round1</t>
        </is>
      </c>
      <c r="K366" s="22" t="inlineStr">
        <is>
          <t>+91 9920264452</t>
        </is>
      </c>
      <c r="L366" s="19" t="inlineStr">
        <is>
          <t>&lt;calendly_link&gt;</t>
        </is>
      </c>
      <c r="M366" s="19" t="n"/>
      <c r="N366" s="19" t="n"/>
      <c r="O366" s="19">
        <f>IF(OR(M366="Scheduled on call",M366="Booked on their behalf",N366="Scheduled on call",N366="Booked on their behalf"),"SCHEDULED (call)",IF(OR(M366="Not interested/Declined",N366="Not interested/Declined"),"DECLINED",IF(N366="Escalate to AM","ESCALATED TO LEAD",IF(E366="Ram is handling - no action","N/A",IF(M366="","PENDING CALL 1","IN PROGRESS")))))</f>
        <v/>
      </c>
      <c r="P366" s="19">
        <f>IF(OR('Ram - Digital ToDo'!O366="Scheduled",'Ram - Digital ToDo'!Q366="Scheduled"),"Scheduled within SLA (self-serve)",IF(OR(M366="Scheduled on call",M366="Booked on their behalf",N366="Scheduled on call",N366="Booked on their behalf"),"Scheduled within SLA (call)",IF(OR(M366="Not interested/Declined",N366="Not interested/Declined"),"Declined",IF(N366="Escalate to AM","SLA breach - unresolved","In progress"))))</f>
        <v/>
      </c>
      <c r="Q366" s="19" t="n"/>
    </row>
    <row r="367">
      <c r="A367" s="19" t="inlineStr">
        <is>
          <t>REQ-0366</t>
        </is>
      </c>
      <c r="B367" s="20" t="n">
        <v>44867.82708333333</v>
      </c>
      <c r="C367" s="20">
        <f>B367+1</f>
        <v/>
      </c>
      <c r="D367" s="21">
        <f>(C367-NOW())*24</f>
        <v/>
      </c>
      <c r="E367" s="19">
        <f>IF('Ram - Digital ToDo'!Q367="Escalate to call","CALL NOW",IF('Ram - Digital ToDo'!N367="Bad contact","CALL NOW (digital failed)","Ram is handling - no action"))</f>
        <v/>
      </c>
      <c r="F367" s="19">
        <f>IF(E367="Ram is handling - no action","No action needed",IF(M367="","CALL 1: ring candidate, offer to book on call (Playbook C1)",IF(OR(M367="Scheduled on call",M367="Booked on their behalf"),"DONE: scheduled on call",IF(M367="Not interested/Declined","CLOSED: candidate declined (log + tell lead)",IF(N367="","CALL 2: final attempt (Playbook C2)",IF(OR(N367="Scheduled on call",N367="Booked on their behalf"),"DONE: scheduled on call",IF(N367="Escalate to AM","ESCALATED TO LEAD","Review")))))))</f>
        <v/>
      </c>
      <c r="G367" s="20">
        <f>IF(E367="Ram is handling - no action","",IF(M367="",B367+6/24,IF(AND(M367&lt;&gt;"Scheduled on call",M367&lt;&gt;"Booked on their behalf",M367&lt;&gt;"Not interested/Declined",N367=""),B367+20/24,"")))</f>
        <v/>
      </c>
      <c r="H367" s="19" t="inlineStr">
        <is>
          <t>Chetan</t>
        </is>
      </c>
      <c r="I367" s="19" t="inlineStr">
        <is>
          <t>Google</t>
        </is>
      </c>
      <c r="J367" s="19" t="inlineStr">
        <is>
          <t>Round1</t>
        </is>
      </c>
      <c r="K367" s="22" t="inlineStr">
        <is>
          <t>+91 9920264452</t>
        </is>
      </c>
      <c r="L367" s="19" t="inlineStr">
        <is>
          <t>&lt;calendly_link&gt;</t>
        </is>
      </c>
      <c r="M367" s="19" t="n"/>
      <c r="N367" s="19" t="n"/>
      <c r="O367" s="19">
        <f>IF(OR(M367="Scheduled on call",M367="Booked on their behalf",N367="Scheduled on call",N367="Booked on their behalf"),"SCHEDULED (call)",IF(OR(M367="Not interested/Declined",N367="Not interested/Declined"),"DECLINED",IF(N367="Escalate to AM","ESCALATED TO LEAD",IF(E367="Ram is handling - no action","N/A",IF(M367="","PENDING CALL 1","IN PROGRESS")))))</f>
        <v/>
      </c>
      <c r="P367" s="19">
        <f>IF(OR('Ram - Digital ToDo'!O367="Scheduled",'Ram - Digital ToDo'!Q367="Scheduled"),"Scheduled within SLA (self-serve)",IF(OR(M367="Scheduled on call",M367="Booked on their behalf",N367="Scheduled on call",N367="Booked on their behalf"),"Scheduled within SLA (call)",IF(OR(M367="Not interested/Declined",N367="Not interested/Declined"),"Declined",IF(N367="Escalate to AM","SLA breach - unresolved","In progress"))))</f>
        <v/>
      </c>
      <c r="Q367" s="19" t="n"/>
    </row>
    <row r="368">
      <c r="A368" s="19" t="inlineStr">
        <is>
          <t>REQ-0367</t>
        </is>
      </c>
      <c r="B368" s="20" t="n">
        <v>44867.82708333333</v>
      </c>
      <c r="C368" s="20">
        <f>B368+1</f>
        <v/>
      </c>
      <c r="D368" s="21">
        <f>(C368-NOW())*24</f>
        <v/>
      </c>
      <c r="E368" s="19">
        <f>IF('Ram - Digital ToDo'!Q368="Escalate to call","CALL NOW",IF('Ram - Digital ToDo'!N368="Bad contact","CALL NOW (digital failed)","Ram is handling - no action"))</f>
        <v/>
      </c>
      <c r="F368" s="19">
        <f>IF(E368="Ram is handling - no action","No action needed",IF(M368="","CALL 1: ring candidate, offer to book on call (Playbook C1)",IF(OR(M368="Scheduled on call",M368="Booked on their behalf"),"DONE: scheduled on call",IF(M368="Not interested/Declined","CLOSED: candidate declined (log + tell lead)",IF(N368="","CALL 2: final attempt (Playbook C2)",IF(OR(N368="Scheduled on call",N368="Booked on their behalf"),"DONE: scheduled on call",IF(N368="Escalate to AM","ESCALATED TO LEAD","Review")))))))</f>
        <v/>
      </c>
      <c r="G368" s="20">
        <f>IF(E368="Ram is handling - no action","",IF(M368="",B368+6/24,IF(AND(M368&lt;&gt;"Scheduled on call",M368&lt;&gt;"Booked on their behalf",M368&lt;&gt;"Not interested/Declined",N368=""),B368+20/24,"")))</f>
        <v/>
      </c>
      <c r="H368" s="19" t="inlineStr">
        <is>
          <t>Chetan</t>
        </is>
      </c>
      <c r="I368" s="19" t="inlineStr">
        <is>
          <t>Google</t>
        </is>
      </c>
      <c r="J368" s="19" t="inlineStr">
        <is>
          <t>Round1</t>
        </is>
      </c>
      <c r="K368" s="22" t="inlineStr">
        <is>
          <t>+91 9920264452</t>
        </is>
      </c>
      <c r="L368" s="19" t="inlineStr">
        <is>
          <t>&lt;calendly_link&gt;</t>
        </is>
      </c>
      <c r="M368" s="19" t="n"/>
      <c r="N368" s="19" t="n"/>
      <c r="O368" s="19">
        <f>IF(OR(M368="Scheduled on call",M368="Booked on their behalf",N368="Scheduled on call",N368="Booked on their behalf"),"SCHEDULED (call)",IF(OR(M368="Not interested/Declined",N368="Not interested/Declined"),"DECLINED",IF(N368="Escalate to AM","ESCALATED TO LEAD",IF(E368="Ram is handling - no action","N/A",IF(M368="","PENDING CALL 1","IN PROGRESS")))))</f>
        <v/>
      </c>
      <c r="P368" s="19">
        <f>IF(OR('Ram - Digital ToDo'!O368="Scheduled",'Ram - Digital ToDo'!Q368="Scheduled"),"Scheduled within SLA (self-serve)",IF(OR(M368="Scheduled on call",M368="Booked on their behalf",N368="Scheduled on call",N368="Booked on their behalf"),"Scheduled within SLA (call)",IF(OR(M368="Not interested/Declined",N368="Not interested/Declined"),"Declined",IF(N368="Escalate to AM","SLA breach - unresolved","In progress"))))</f>
        <v/>
      </c>
      <c r="Q368" s="19" t="n"/>
    </row>
    <row r="369">
      <c r="A369" s="19" t="inlineStr">
        <is>
          <t>REQ-0368</t>
        </is>
      </c>
      <c r="B369" s="20" t="n">
        <v>44867.82708333333</v>
      </c>
      <c r="C369" s="20">
        <f>B369+1</f>
        <v/>
      </c>
      <c r="D369" s="21">
        <f>(C369-NOW())*24</f>
        <v/>
      </c>
      <c r="E369" s="19">
        <f>IF('Ram - Digital ToDo'!Q369="Escalate to call","CALL NOW",IF('Ram - Digital ToDo'!N369="Bad contact","CALL NOW (digital failed)","Ram is handling - no action"))</f>
        <v/>
      </c>
      <c r="F369" s="19">
        <f>IF(E369="Ram is handling - no action","No action needed",IF(M369="","CALL 1: ring candidate, offer to book on call (Playbook C1)",IF(OR(M369="Scheduled on call",M369="Booked on their behalf"),"DONE: scheduled on call",IF(M369="Not interested/Declined","CLOSED: candidate declined (log + tell lead)",IF(N369="","CALL 2: final attempt (Playbook C2)",IF(OR(N369="Scheduled on call",N369="Booked on their behalf"),"DONE: scheduled on call",IF(N369="Escalate to AM","ESCALATED TO LEAD","Review")))))))</f>
        <v/>
      </c>
      <c r="G369" s="20">
        <f>IF(E369="Ram is handling - no action","",IF(M369="",B369+6/24,IF(AND(M369&lt;&gt;"Scheduled on call",M369&lt;&gt;"Booked on their behalf",M369&lt;&gt;"Not interested/Declined",N369=""),B369+20/24,"")))</f>
        <v/>
      </c>
      <c r="H369" s="19" t="inlineStr">
        <is>
          <t>Chetan</t>
        </is>
      </c>
      <c r="I369" s="19" t="inlineStr">
        <is>
          <t>Google</t>
        </is>
      </c>
      <c r="J369" s="19" t="inlineStr">
        <is>
          <t>Round1</t>
        </is>
      </c>
      <c r="K369" s="22" t="inlineStr">
        <is>
          <t>+91 9920264452</t>
        </is>
      </c>
      <c r="L369" s="19" t="inlineStr">
        <is>
          <t>&lt;calendly_link&gt;</t>
        </is>
      </c>
      <c r="M369" s="19" t="n"/>
      <c r="N369" s="19" t="n"/>
      <c r="O369" s="19">
        <f>IF(OR(M369="Scheduled on call",M369="Booked on their behalf",N369="Scheduled on call",N369="Booked on their behalf"),"SCHEDULED (call)",IF(OR(M369="Not interested/Declined",N369="Not interested/Declined"),"DECLINED",IF(N369="Escalate to AM","ESCALATED TO LEAD",IF(E369="Ram is handling - no action","N/A",IF(M369="","PENDING CALL 1","IN PROGRESS")))))</f>
        <v/>
      </c>
      <c r="P369" s="19">
        <f>IF(OR('Ram - Digital ToDo'!O369="Scheduled",'Ram - Digital ToDo'!Q369="Scheduled"),"Scheduled within SLA (self-serve)",IF(OR(M369="Scheduled on call",M369="Booked on their behalf",N369="Scheduled on call",N369="Booked on their behalf"),"Scheduled within SLA (call)",IF(OR(M369="Not interested/Declined",N369="Not interested/Declined"),"Declined",IF(N369="Escalate to AM","SLA breach - unresolved","In progress"))))</f>
        <v/>
      </c>
      <c r="Q369" s="19" t="n"/>
    </row>
    <row r="370">
      <c r="A370" s="19" t="inlineStr">
        <is>
          <t>REQ-0369</t>
        </is>
      </c>
      <c r="B370" s="20" t="n">
        <v>44867.82708333333</v>
      </c>
      <c r="C370" s="20">
        <f>B370+1</f>
        <v/>
      </c>
      <c r="D370" s="21">
        <f>(C370-NOW())*24</f>
        <v/>
      </c>
      <c r="E370" s="19">
        <f>IF('Ram - Digital ToDo'!Q370="Escalate to call","CALL NOW",IF('Ram - Digital ToDo'!N370="Bad contact","CALL NOW (digital failed)","Ram is handling - no action"))</f>
        <v/>
      </c>
      <c r="F370" s="19">
        <f>IF(E370="Ram is handling - no action","No action needed",IF(M370="","CALL 1: ring candidate, offer to book on call (Playbook C1)",IF(OR(M370="Scheduled on call",M370="Booked on their behalf"),"DONE: scheduled on call",IF(M370="Not interested/Declined","CLOSED: candidate declined (log + tell lead)",IF(N370="","CALL 2: final attempt (Playbook C2)",IF(OR(N370="Scheduled on call",N370="Booked on their behalf"),"DONE: scheduled on call",IF(N370="Escalate to AM","ESCALATED TO LEAD","Review")))))))</f>
        <v/>
      </c>
      <c r="G370" s="20">
        <f>IF(E370="Ram is handling - no action","",IF(M370="",B370+6/24,IF(AND(M370&lt;&gt;"Scheduled on call",M370&lt;&gt;"Booked on their behalf",M370&lt;&gt;"Not interested/Declined",N370=""),B370+20/24,"")))</f>
        <v/>
      </c>
      <c r="H370" s="19" t="inlineStr">
        <is>
          <t>Chetan</t>
        </is>
      </c>
      <c r="I370" s="19" t="inlineStr">
        <is>
          <t>Google</t>
        </is>
      </c>
      <c r="J370" s="19" t="inlineStr">
        <is>
          <t>Round1</t>
        </is>
      </c>
      <c r="K370" s="22" t="inlineStr">
        <is>
          <t>+91 9920264452</t>
        </is>
      </c>
      <c r="L370" s="19" t="inlineStr">
        <is>
          <t>&lt;calendly_link&gt;</t>
        </is>
      </c>
      <c r="M370" s="19" t="n"/>
      <c r="N370" s="19" t="n"/>
      <c r="O370" s="19">
        <f>IF(OR(M370="Scheduled on call",M370="Booked on their behalf",N370="Scheduled on call",N370="Booked on their behalf"),"SCHEDULED (call)",IF(OR(M370="Not interested/Declined",N370="Not interested/Declined"),"DECLINED",IF(N370="Escalate to AM","ESCALATED TO LEAD",IF(E370="Ram is handling - no action","N/A",IF(M370="","PENDING CALL 1","IN PROGRESS")))))</f>
        <v/>
      </c>
      <c r="P370" s="19">
        <f>IF(OR('Ram - Digital ToDo'!O370="Scheduled",'Ram - Digital ToDo'!Q370="Scheduled"),"Scheduled within SLA (self-serve)",IF(OR(M370="Scheduled on call",M370="Booked on their behalf",N370="Scheduled on call",N370="Booked on their behalf"),"Scheduled within SLA (call)",IF(OR(M370="Not interested/Declined",N370="Not interested/Declined"),"Declined",IF(N370="Escalate to AM","SLA breach - unresolved","In progress"))))</f>
        <v/>
      </c>
      <c r="Q370" s="19" t="n"/>
    </row>
    <row r="371">
      <c r="A371" s="19" t="inlineStr">
        <is>
          <t>REQ-0370</t>
        </is>
      </c>
      <c r="B371" s="20" t="n">
        <v>44867.82708333333</v>
      </c>
      <c r="C371" s="20">
        <f>B371+1</f>
        <v/>
      </c>
      <c r="D371" s="21">
        <f>(C371-NOW())*24</f>
        <v/>
      </c>
      <c r="E371" s="19">
        <f>IF('Ram - Digital ToDo'!Q371="Escalate to call","CALL NOW",IF('Ram - Digital ToDo'!N371="Bad contact","CALL NOW (digital failed)","Ram is handling - no action"))</f>
        <v/>
      </c>
      <c r="F371" s="19">
        <f>IF(E371="Ram is handling - no action","No action needed",IF(M371="","CALL 1: ring candidate, offer to book on call (Playbook C1)",IF(OR(M371="Scheduled on call",M371="Booked on their behalf"),"DONE: scheduled on call",IF(M371="Not interested/Declined","CLOSED: candidate declined (log + tell lead)",IF(N371="","CALL 2: final attempt (Playbook C2)",IF(OR(N371="Scheduled on call",N371="Booked on their behalf"),"DONE: scheduled on call",IF(N371="Escalate to AM","ESCALATED TO LEAD","Review")))))))</f>
        <v/>
      </c>
      <c r="G371" s="20">
        <f>IF(E371="Ram is handling - no action","",IF(M371="",B371+6/24,IF(AND(M371&lt;&gt;"Scheduled on call",M371&lt;&gt;"Booked on their behalf",M371&lt;&gt;"Not interested/Declined",N371=""),B371+20/24,"")))</f>
        <v/>
      </c>
      <c r="H371" s="19" t="inlineStr">
        <is>
          <t>Chetan</t>
        </is>
      </c>
      <c r="I371" s="19" t="inlineStr">
        <is>
          <t>Google</t>
        </is>
      </c>
      <c r="J371" s="19" t="inlineStr">
        <is>
          <t>Round1</t>
        </is>
      </c>
      <c r="K371" s="22" t="inlineStr">
        <is>
          <t>+91 9920264452</t>
        </is>
      </c>
      <c r="L371" s="19" t="inlineStr">
        <is>
          <t>&lt;calendly_link&gt;</t>
        </is>
      </c>
      <c r="M371" s="19" t="n"/>
      <c r="N371" s="19" t="n"/>
      <c r="O371" s="19">
        <f>IF(OR(M371="Scheduled on call",M371="Booked on their behalf",N371="Scheduled on call",N371="Booked on their behalf"),"SCHEDULED (call)",IF(OR(M371="Not interested/Declined",N371="Not interested/Declined"),"DECLINED",IF(N371="Escalate to AM","ESCALATED TO LEAD",IF(E371="Ram is handling - no action","N/A",IF(M371="","PENDING CALL 1","IN PROGRESS")))))</f>
        <v/>
      </c>
      <c r="P371" s="19">
        <f>IF(OR('Ram - Digital ToDo'!O371="Scheduled",'Ram - Digital ToDo'!Q371="Scheduled"),"Scheduled within SLA (self-serve)",IF(OR(M371="Scheduled on call",M371="Booked on their behalf",N371="Scheduled on call",N371="Booked on their behalf"),"Scheduled within SLA (call)",IF(OR(M371="Not interested/Declined",N371="Not interested/Declined"),"Declined",IF(N371="Escalate to AM","SLA breach - unresolved","In progress"))))</f>
        <v/>
      </c>
      <c r="Q371" s="19" t="n"/>
    </row>
    <row r="372">
      <c r="A372" s="19" t="inlineStr">
        <is>
          <t>REQ-0371</t>
        </is>
      </c>
      <c r="B372" s="20" t="n">
        <v>44867.82708333333</v>
      </c>
      <c r="C372" s="20">
        <f>B372+1</f>
        <v/>
      </c>
      <c r="D372" s="21">
        <f>(C372-NOW())*24</f>
        <v/>
      </c>
      <c r="E372" s="19">
        <f>IF('Ram - Digital ToDo'!Q372="Escalate to call","CALL NOW",IF('Ram - Digital ToDo'!N372="Bad contact","CALL NOW (digital failed)","Ram is handling - no action"))</f>
        <v/>
      </c>
      <c r="F372" s="19">
        <f>IF(E372="Ram is handling - no action","No action needed",IF(M372="","CALL 1: ring candidate, offer to book on call (Playbook C1)",IF(OR(M372="Scheduled on call",M372="Booked on their behalf"),"DONE: scheduled on call",IF(M372="Not interested/Declined","CLOSED: candidate declined (log + tell lead)",IF(N372="","CALL 2: final attempt (Playbook C2)",IF(OR(N372="Scheduled on call",N372="Booked on their behalf"),"DONE: scheduled on call",IF(N372="Escalate to AM","ESCALATED TO LEAD","Review")))))))</f>
        <v/>
      </c>
      <c r="G372" s="20">
        <f>IF(E372="Ram is handling - no action","",IF(M372="",B372+6/24,IF(AND(M372&lt;&gt;"Scheduled on call",M372&lt;&gt;"Booked on their behalf",M372&lt;&gt;"Not interested/Declined",N372=""),B372+20/24,"")))</f>
        <v/>
      </c>
      <c r="H372" s="19" t="inlineStr">
        <is>
          <t>Chetan</t>
        </is>
      </c>
      <c r="I372" s="19" t="inlineStr">
        <is>
          <t>Google</t>
        </is>
      </c>
      <c r="J372" s="19" t="inlineStr">
        <is>
          <t>Round1</t>
        </is>
      </c>
      <c r="K372" s="22" t="inlineStr">
        <is>
          <t>+91 9920264452</t>
        </is>
      </c>
      <c r="L372" s="19" t="inlineStr">
        <is>
          <t>&lt;calendly_link&gt;</t>
        </is>
      </c>
      <c r="M372" s="19" t="n"/>
      <c r="N372" s="19" t="n"/>
      <c r="O372" s="19">
        <f>IF(OR(M372="Scheduled on call",M372="Booked on their behalf",N372="Scheduled on call",N372="Booked on their behalf"),"SCHEDULED (call)",IF(OR(M372="Not interested/Declined",N372="Not interested/Declined"),"DECLINED",IF(N372="Escalate to AM","ESCALATED TO LEAD",IF(E372="Ram is handling - no action","N/A",IF(M372="","PENDING CALL 1","IN PROGRESS")))))</f>
        <v/>
      </c>
      <c r="P372" s="19">
        <f>IF(OR('Ram - Digital ToDo'!O372="Scheduled",'Ram - Digital ToDo'!Q372="Scheduled"),"Scheduled within SLA (self-serve)",IF(OR(M372="Scheduled on call",M372="Booked on their behalf",N372="Scheduled on call",N372="Booked on their behalf"),"Scheduled within SLA (call)",IF(OR(M372="Not interested/Declined",N372="Not interested/Declined"),"Declined",IF(N372="Escalate to AM","SLA breach - unresolved","In progress"))))</f>
        <v/>
      </c>
      <c r="Q372" s="19" t="n"/>
    </row>
    <row r="373">
      <c r="A373" s="19" t="inlineStr">
        <is>
          <t>REQ-0372</t>
        </is>
      </c>
      <c r="B373" s="20" t="n">
        <v>44867.82708333333</v>
      </c>
      <c r="C373" s="20">
        <f>B373+1</f>
        <v/>
      </c>
      <c r="D373" s="21">
        <f>(C373-NOW())*24</f>
        <v/>
      </c>
      <c r="E373" s="19">
        <f>IF('Ram - Digital ToDo'!Q373="Escalate to call","CALL NOW",IF('Ram - Digital ToDo'!N373="Bad contact","CALL NOW (digital failed)","Ram is handling - no action"))</f>
        <v/>
      </c>
      <c r="F373" s="19">
        <f>IF(E373="Ram is handling - no action","No action needed",IF(M373="","CALL 1: ring candidate, offer to book on call (Playbook C1)",IF(OR(M373="Scheduled on call",M373="Booked on their behalf"),"DONE: scheduled on call",IF(M373="Not interested/Declined","CLOSED: candidate declined (log + tell lead)",IF(N373="","CALL 2: final attempt (Playbook C2)",IF(OR(N373="Scheduled on call",N373="Booked on their behalf"),"DONE: scheduled on call",IF(N373="Escalate to AM","ESCALATED TO LEAD","Review")))))))</f>
        <v/>
      </c>
      <c r="G373" s="20">
        <f>IF(E373="Ram is handling - no action","",IF(M373="",B373+6/24,IF(AND(M373&lt;&gt;"Scheduled on call",M373&lt;&gt;"Booked on their behalf",M373&lt;&gt;"Not interested/Declined",N373=""),B373+20/24,"")))</f>
        <v/>
      </c>
      <c r="H373" s="19" t="inlineStr">
        <is>
          <t>Chetan</t>
        </is>
      </c>
      <c r="I373" s="19" t="inlineStr">
        <is>
          <t>Google</t>
        </is>
      </c>
      <c r="J373" s="19" t="inlineStr">
        <is>
          <t>Round1</t>
        </is>
      </c>
      <c r="K373" s="22" t="inlineStr">
        <is>
          <t>+91 9920264452</t>
        </is>
      </c>
      <c r="L373" s="19" t="inlineStr">
        <is>
          <t>&lt;calendly_link&gt;</t>
        </is>
      </c>
      <c r="M373" s="19" t="n"/>
      <c r="N373" s="19" t="n"/>
      <c r="O373" s="19">
        <f>IF(OR(M373="Scheduled on call",M373="Booked on their behalf",N373="Scheduled on call",N373="Booked on their behalf"),"SCHEDULED (call)",IF(OR(M373="Not interested/Declined",N373="Not interested/Declined"),"DECLINED",IF(N373="Escalate to AM","ESCALATED TO LEAD",IF(E373="Ram is handling - no action","N/A",IF(M373="","PENDING CALL 1","IN PROGRESS")))))</f>
        <v/>
      </c>
      <c r="P373" s="19">
        <f>IF(OR('Ram - Digital ToDo'!O373="Scheduled",'Ram - Digital ToDo'!Q373="Scheduled"),"Scheduled within SLA (self-serve)",IF(OR(M373="Scheduled on call",M373="Booked on their behalf",N373="Scheduled on call",N373="Booked on their behalf"),"Scheduled within SLA (call)",IF(OR(M373="Not interested/Declined",N373="Not interested/Declined"),"Declined",IF(N373="Escalate to AM","SLA breach - unresolved","In progress"))))</f>
        <v/>
      </c>
      <c r="Q373" s="19" t="n"/>
    </row>
    <row r="374">
      <c r="A374" s="19" t="inlineStr">
        <is>
          <t>REQ-0373</t>
        </is>
      </c>
      <c r="B374" s="20" t="n">
        <v>44867.82708333333</v>
      </c>
      <c r="C374" s="20">
        <f>B374+1</f>
        <v/>
      </c>
      <c r="D374" s="21">
        <f>(C374-NOW())*24</f>
        <v/>
      </c>
      <c r="E374" s="19">
        <f>IF('Ram - Digital ToDo'!Q374="Escalate to call","CALL NOW",IF('Ram - Digital ToDo'!N374="Bad contact","CALL NOW (digital failed)","Ram is handling - no action"))</f>
        <v/>
      </c>
      <c r="F374" s="19">
        <f>IF(E374="Ram is handling - no action","No action needed",IF(M374="","CALL 1: ring candidate, offer to book on call (Playbook C1)",IF(OR(M374="Scheduled on call",M374="Booked on their behalf"),"DONE: scheduled on call",IF(M374="Not interested/Declined","CLOSED: candidate declined (log + tell lead)",IF(N374="","CALL 2: final attempt (Playbook C2)",IF(OR(N374="Scheduled on call",N374="Booked on their behalf"),"DONE: scheduled on call",IF(N374="Escalate to AM","ESCALATED TO LEAD","Review")))))))</f>
        <v/>
      </c>
      <c r="G374" s="20">
        <f>IF(E374="Ram is handling - no action","",IF(M374="",B374+6/24,IF(AND(M374&lt;&gt;"Scheduled on call",M374&lt;&gt;"Booked on their behalf",M374&lt;&gt;"Not interested/Declined",N374=""),B374+20/24,"")))</f>
        <v/>
      </c>
      <c r="H374" s="19" t="inlineStr">
        <is>
          <t>Chetan</t>
        </is>
      </c>
      <c r="I374" s="19" t="inlineStr">
        <is>
          <t>Google</t>
        </is>
      </c>
      <c r="J374" s="19" t="inlineStr">
        <is>
          <t>Round1</t>
        </is>
      </c>
      <c r="K374" s="22" t="inlineStr">
        <is>
          <t>+91 9920264452</t>
        </is>
      </c>
      <c r="L374" s="19" t="inlineStr">
        <is>
          <t>&lt;calendly_link&gt;</t>
        </is>
      </c>
      <c r="M374" s="19" t="n"/>
      <c r="N374" s="19" t="n"/>
      <c r="O374" s="19">
        <f>IF(OR(M374="Scheduled on call",M374="Booked on their behalf",N374="Scheduled on call",N374="Booked on their behalf"),"SCHEDULED (call)",IF(OR(M374="Not interested/Declined",N374="Not interested/Declined"),"DECLINED",IF(N374="Escalate to AM","ESCALATED TO LEAD",IF(E374="Ram is handling - no action","N/A",IF(M374="","PENDING CALL 1","IN PROGRESS")))))</f>
        <v/>
      </c>
      <c r="P374" s="19">
        <f>IF(OR('Ram - Digital ToDo'!O374="Scheduled",'Ram - Digital ToDo'!Q374="Scheduled"),"Scheduled within SLA (self-serve)",IF(OR(M374="Scheduled on call",M374="Booked on their behalf",N374="Scheduled on call",N374="Booked on their behalf"),"Scheduled within SLA (call)",IF(OR(M374="Not interested/Declined",N374="Not interested/Declined"),"Declined",IF(N374="Escalate to AM","SLA breach - unresolved","In progress"))))</f>
        <v/>
      </c>
      <c r="Q374" s="19" t="n"/>
    </row>
    <row r="375">
      <c r="A375" s="19" t="inlineStr">
        <is>
          <t>REQ-0374</t>
        </is>
      </c>
      <c r="B375" s="20" t="n">
        <v>44867.82708333333</v>
      </c>
      <c r="C375" s="20">
        <f>B375+1</f>
        <v/>
      </c>
      <c r="D375" s="21">
        <f>(C375-NOW())*24</f>
        <v/>
      </c>
      <c r="E375" s="19">
        <f>IF('Ram - Digital ToDo'!Q375="Escalate to call","CALL NOW",IF('Ram - Digital ToDo'!N375="Bad contact","CALL NOW (digital failed)","Ram is handling - no action"))</f>
        <v/>
      </c>
      <c r="F375" s="19">
        <f>IF(E375="Ram is handling - no action","No action needed",IF(M375="","CALL 1: ring candidate, offer to book on call (Playbook C1)",IF(OR(M375="Scheduled on call",M375="Booked on their behalf"),"DONE: scheduled on call",IF(M375="Not interested/Declined","CLOSED: candidate declined (log + tell lead)",IF(N375="","CALL 2: final attempt (Playbook C2)",IF(OR(N375="Scheduled on call",N375="Booked on their behalf"),"DONE: scheduled on call",IF(N375="Escalate to AM","ESCALATED TO LEAD","Review")))))))</f>
        <v/>
      </c>
      <c r="G375" s="20">
        <f>IF(E375="Ram is handling - no action","",IF(M375="",B375+6/24,IF(AND(M375&lt;&gt;"Scheduled on call",M375&lt;&gt;"Booked on their behalf",M375&lt;&gt;"Not interested/Declined",N375=""),B375+20/24,"")))</f>
        <v/>
      </c>
      <c r="H375" s="19" t="inlineStr">
        <is>
          <t>Chetan</t>
        </is>
      </c>
      <c r="I375" s="19" t="inlineStr">
        <is>
          <t>Google</t>
        </is>
      </c>
      <c r="J375" s="19" t="inlineStr">
        <is>
          <t>Round1</t>
        </is>
      </c>
      <c r="K375" s="22" t="inlineStr">
        <is>
          <t>+91 9920264452</t>
        </is>
      </c>
      <c r="L375" s="19" t="inlineStr">
        <is>
          <t>&lt;calendly_link&gt;</t>
        </is>
      </c>
      <c r="M375" s="19" t="n"/>
      <c r="N375" s="19" t="n"/>
      <c r="O375" s="19">
        <f>IF(OR(M375="Scheduled on call",M375="Booked on their behalf",N375="Scheduled on call",N375="Booked on their behalf"),"SCHEDULED (call)",IF(OR(M375="Not interested/Declined",N375="Not interested/Declined"),"DECLINED",IF(N375="Escalate to AM","ESCALATED TO LEAD",IF(E375="Ram is handling - no action","N/A",IF(M375="","PENDING CALL 1","IN PROGRESS")))))</f>
        <v/>
      </c>
      <c r="P375" s="19">
        <f>IF(OR('Ram - Digital ToDo'!O375="Scheduled",'Ram - Digital ToDo'!Q375="Scheduled"),"Scheduled within SLA (self-serve)",IF(OR(M375="Scheduled on call",M375="Booked on their behalf",N375="Scheduled on call",N375="Booked on their behalf"),"Scheduled within SLA (call)",IF(OR(M375="Not interested/Declined",N375="Not interested/Declined"),"Declined",IF(N375="Escalate to AM","SLA breach - unresolved","In progress"))))</f>
        <v/>
      </c>
      <c r="Q375" s="19" t="n"/>
    </row>
    <row r="376">
      <c r="A376" s="19" t="inlineStr">
        <is>
          <t>REQ-0375</t>
        </is>
      </c>
      <c r="B376" s="20" t="n">
        <v>44867.82708333333</v>
      </c>
      <c r="C376" s="20">
        <f>B376+1</f>
        <v/>
      </c>
      <c r="D376" s="21">
        <f>(C376-NOW())*24</f>
        <v/>
      </c>
      <c r="E376" s="19">
        <f>IF('Ram - Digital ToDo'!Q376="Escalate to call","CALL NOW",IF('Ram - Digital ToDo'!N376="Bad contact","CALL NOW (digital failed)","Ram is handling - no action"))</f>
        <v/>
      </c>
      <c r="F376" s="19">
        <f>IF(E376="Ram is handling - no action","No action needed",IF(M376="","CALL 1: ring candidate, offer to book on call (Playbook C1)",IF(OR(M376="Scheduled on call",M376="Booked on their behalf"),"DONE: scheduled on call",IF(M376="Not interested/Declined","CLOSED: candidate declined (log + tell lead)",IF(N376="","CALL 2: final attempt (Playbook C2)",IF(OR(N376="Scheduled on call",N376="Booked on their behalf"),"DONE: scheduled on call",IF(N376="Escalate to AM","ESCALATED TO LEAD","Review")))))))</f>
        <v/>
      </c>
      <c r="G376" s="20">
        <f>IF(E376="Ram is handling - no action","",IF(M376="",B376+6/24,IF(AND(M376&lt;&gt;"Scheduled on call",M376&lt;&gt;"Booked on their behalf",M376&lt;&gt;"Not interested/Declined",N376=""),B376+20/24,"")))</f>
        <v/>
      </c>
      <c r="H376" s="19" t="inlineStr">
        <is>
          <t>Chetan</t>
        </is>
      </c>
      <c r="I376" s="19" t="inlineStr">
        <is>
          <t>Google</t>
        </is>
      </c>
      <c r="J376" s="19" t="inlineStr">
        <is>
          <t>Round1</t>
        </is>
      </c>
      <c r="K376" s="22" t="inlineStr">
        <is>
          <t>+91 9920264452</t>
        </is>
      </c>
      <c r="L376" s="19" t="inlineStr">
        <is>
          <t>&lt;calendly_link&gt;</t>
        </is>
      </c>
      <c r="M376" s="19" t="n"/>
      <c r="N376" s="19" t="n"/>
      <c r="O376" s="19">
        <f>IF(OR(M376="Scheduled on call",M376="Booked on their behalf",N376="Scheduled on call",N376="Booked on their behalf"),"SCHEDULED (call)",IF(OR(M376="Not interested/Declined",N376="Not interested/Declined"),"DECLINED",IF(N376="Escalate to AM","ESCALATED TO LEAD",IF(E376="Ram is handling - no action","N/A",IF(M376="","PENDING CALL 1","IN PROGRESS")))))</f>
        <v/>
      </c>
      <c r="P376" s="19">
        <f>IF(OR('Ram - Digital ToDo'!O376="Scheduled",'Ram - Digital ToDo'!Q376="Scheduled"),"Scheduled within SLA (self-serve)",IF(OR(M376="Scheduled on call",M376="Booked on their behalf",N376="Scheduled on call",N376="Booked on their behalf"),"Scheduled within SLA (call)",IF(OR(M376="Not interested/Declined",N376="Not interested/Declined"),"Declined",IF(N376="Escalate to AM","SLA breach - unresolved","In progress"))))</f>
        <v/>
      </c>
      <c r="Q376" s="19" t="n"/>
    </row>
    <row r="377">
      <c r="A377" s="19" t="inlineStr">
        <is>
          <t>REQ-0376</t>
        </is>
      </c>
      <c r="B377" s="20" t="n">
        <v>44867.82708333333</v>
      </c>
      <c r="C377" s="20">
        <f>B377+1</f>
        <v/>
      </c>
      <c r="D377" s="21">
        <f>(C377-NOW())*24</f>
        <v/>
      </c>
      <c r="E377" s="19">
        <f>IF('Ram - Digital ToDo'!Q377="Escalate to call","CALL NOW",IF('Ram - Digital ToDo'!N377="Bad contact","CALL NOW (digital failed)","Ram is handling - no action"))</f>
        <v/>
      </c>
      <c r="F377" s="19">
        <f>IF(E377="Ram is handling - no action","No action needed",IF(M377="","CALL 1: ring candidate, offer to book on call (Playbook C1)",IF(OR(M377="Scheduled on call",M377="Booked on their behalf"),"DONE: scheduled on call",IF(M377="Not interested/Declined","CLOSED: candidate declined (log + tell lead)",IF(N377="","CALL 2: final attempt (Playbook C2)",IF(OR(N377="Scheduled on call",N377="Booked on their behalf"),"DONE: scheduled on call",IF(N377="Escalate to AM","ESCALATED TO LEAD","Review")))))))</f>
        <v/>
      </c>
      <c r="G377" s="20">
        <f>IF(E377="Ram is handling - no action","",IF(M377="",B377+6/24,IF(AND(M377&lt;&gt;"Scheduled on call",M377&lt;&gt;"Booked on their behalf",M377&lt;&gt;"Not interested/Declined",N377=""),B377+20/24,"")))</f>
        <v/>
      </c>
      <c r="H377" s="19" t="inlineStr">
        <is>
          <t>Chetan</t>
        </is>
      </c>
      <c r="I377" s="19" t="inlineStr">
        <is>
          <t>Google</t>
        </is>
      </c>
      <c r="J377" s="19" t="inlineStr">
        <is>
          <t>Round1</t>
        </is>
      </c>
      <c r="K377" s="22" t="inlineStr">
        <is>
          <t>+91 9920264452</t>
        </is>
      </c>
      <c r="L377" s="19" t="inlineStr">
        <is>
          <t>&lt;calendly_link&gt;</t>
        </is>
      </c>
      <c r="M377" s="19" t="n"/>
      <c r="N377" s="19" t="n"/>
      <c r="O377" s="19">
        <f>IF(OR(M377="Scheduled on call",M377="Booked on their behalf",N377="Scheduled on call",N377="Booked on their behalf"),"SCHEDULED (call)",IF(OR(M377="Not interested/Declined",N377="Not interested/Declined"),"DECLINED",IF(N377="Escalate to AM","ESCALATED TO LEAD",IF(E377="Ram is handling - no action","N/A",IF(M377="","PENDING CALL 1","IN PROGRESS")))))</f>
        <v/>
      </c>
      <c r="P377" s="19">
        <f>IF(OR('Ram - Digital ToDo'!O377="Scheduled",'Ram - Digital ToDo'!Q377="Scheduled"),"Scheduled within SLA (self-serve)",IF(OR(M377="Scheduled on call",M377="Booked on their behalf",N377="Scheduled on call",N377="Booked on their behalf"),"Scheduled within SLA (call)",IF(OR(M377="Not interested/Declined",N377="Not interested/Declined"),"Declined",IF(N377="Escalate to AM","SLA breach - unresolved","In progress"))))</f>
        <v/>
      </c>
      <c r="Q377" s="19" t="n"/>
    </row>
    <row r="378">
      <c r="A378" s="19" t="inlineStr">
        <is>
          <t>REQ-0377</t>
        </is>
      </c>
      <c r="B378" s="20" t="n">
        <v>44867.82708333333</v>
      </c>
      <c r="C378" s="20">
        <f>B378+1</f>
        <v/>
      </c>
      <c r="D378" s="21">
        <f>(C378-NOW())*24</f>
        <v/>
      </c>
      <c r="E378" s="19">
        <f>IF('Ram - Digital ToDo'!Q378="Escalate to call","CALL NOW",IF('Ram - Digital ToDo'!N378="Bad contact","CALL NOW (digital failed)","Ram is handling - no action"))</f>
        <v/>
      </c>
      <c r="F378" s="19">
        <f>IF(E378="Ram is handling - no action","No action needed",IF(M378="","CALL 1: ring candidate, offer to book on call (Playbook C1)",IF(OR(M378="Scheduled on call",M378="Booked on their behalf"),"DONE: scheduled on call",IF(M378="Not interested/Declined","CLOSED: candidate declined (log + tell lead)",IF(N378="","CALL 2: final attempt (Playbook C2)",IF(OR(N378="Scheduled on call",N378="Booked on their behalf"),"DONE: scheduled on call",IF(N378="Escalate to AM","ESCALATED TO LEAD","Review")))))))</f>
        <v/>
      </c>
      <c r="G378" s="20">
        <f>IF(E378="Ram is handling - no action","",IF(M378="",B378+6/24,IF(AND(M378&lt;&gt;"Scheduled on call",M378&lt;&gt;"Booked on their behalf",M378&lt;&gt;"Not interested/Declined",N378=""),B378+20/24,"")))</f>
        <v/>
      </c>
      <c r="H378" s="19" t="inlineStr">
        <is>
          <t>Chetan</t>
        </is>
      </c>
      <c r="I378" s="19" t="inlineStr">
        <is>
          <t>Google</t>
        </is>
      </c>
      <c r="J378" s="19" t="inlineStr">
        <is>
          <t>Round1</t>
        </is>
      </c>
      <c r="K378" s="22" t="inlineStr">
        <is>
          <t>+91 9920264452</t>
        </is>
      </c>
      <c r="L378" s="19" t="inlineStr">
        <is>
          <t>&lt;calendly_link&gt;</t>
        </is>
      </c>
      <c r="M378" s="19" t="n"/>
      <c r="N378" s="19" t="n"/>
      <c r="O378" s="19">
        <f>IF(OR(M378="Scheduled on call",M378="Booked on their behalf",N378="Scheduled on call",N378="Booked on their behalf"),"SCHEDULED (call)",IF(OR(M378="Not interested/Declined",N378="Not interested/Declined"),"DECLINED",IF(N378="Escalate to AM","ESCALATED TO LEAD",IF(E378="Ram is handling - no action","N/A",IF(M378="","PENDING CALL 1","IN PROGRESS")))))</f>
        <v/>
      </c>
      <c r="P378" s="19">
        <f>IF(OR('Ram - Digital ToDo'!O378="Scheduled",'Ram - Digital ToDo'!Q378="Scheduled"),"Scheduled within SLA (self-serve)",IF(OR(M378="Scheduled on call",M378="Booked on their behalf",N378="Scheduled on call",N378="Booked on their behalf"),"Scheduled within SLA (call)",IF(OR(M378="Not interested/Declined",N378="Not interested/Declined"),"Declined",IF(N378="Escalate to AM","SLA breach - unresolved","In progress"))))</f>
        <v/>
      </c>
      <c r="Q378" s="19" t="n"/>
    </row>
    <row r="379">
      <c r="A379" s="19" t="inlineStr">
        <is>
          <t>REQ-0378</t>
        </is>
      </c>
      <c r="B379" s="20" t="n">
        <v>44867.82708333333</v>
      </c>
      <c r="C379" s="20">
        <f>B379+1</f>
        <v/>
      </c>
      <c r="D379" s="21">
        <f>(C379-NOW())*24</f>
        <v/>
      </c>
      <c r="E379" s="19">
        <f>IF('Ram - Digital ToDo'!Q379="Escalate to call","CALL NOW",IF('Ram - Digital ToDo'!N379="Bad contact","CALL NOW (digital failed)","Ram is handling - no action"))</f>
        <v/>
      </c>
      <c r="F379" s="19">
        <f>IF(E379="Ram is handling - no action","No action needed",IF(M379="","CALL 1: ring candidate, offer to book on call (Playbook C1)",IF(OR(M379="Scheduled on call",M379="Booked on their behalf"),"DONE: scheduled on call",IF(M379="Not interested/Declined","CLOSED: candidate declined (log + tell lead)",IF(N379="","CALL 2: final attempt (Playbook C2)",IF(OR(N379="Scheduled on call",N379="Booked on their behalf"),"DONE: scheduled on call",IF(N379="Escalate to AM","ESCALATED TO LEAD","Review")))))))</f>
        <v/>
      </c>
      <c r="G379" s="20">
        <f>IF(E379="Ram is handling - no action","",IF(M379="",B379+6/24,IF(AND(M379&lt;&gt;"Scheduled on call",M379&lt;&gt;"Booked on their behalf",M379&lt;&gt;"Not interested/Declined",N379=""),B379+20/24,"")))</f>
        <v/>
      </c>
      <c r="H379" s="19" t="inlineStr">
        <is>
          <t>Chetan</t>
        </is>
      </c>
      <c r="I379" s="19" t="inlineStr">
        <is>
          <t>Google</t>
        </is>
      </c>
      <c r="J379" s="19" t="inlineStr">
        <is>
          <t>Round1</t>
        </is>
      </c>
      <c r="K379" s="22" t="inlineStr">
        <is>
          <t>+91 9920264452</t>
        </is>
      </c>
      <c r="L379" s="19" t="inlineStr">
        <is>
          <t>&lt;calendly_link&gt;</t>
        </is>
      </c>
      <c r="M379" s="19" t="n"/>
      <c r="N379" s="19" t="n"/>
      <c r="O379" s="19">
        <f>IF(OR(M379="Scheduled on call",M379="Booked on their behalf",N379="Scheduled on call",N379="Booked on their behalf"),"SCHEDULED (call)",IF(OR(M379="Not interested/Declined",N379="Not interested/Declined"),"DECLINED",IF(N379="Escalate to AM","ESCALATED TO LEAD",IF(E379="Ram is handling - no action","N/A",IF(M379="","PENDING CALL 1","IN PROGRESS")))))</f>
        <v/>
      </c>
      <c r="P379" s="19">
        <f>IF(OR('Ram - Digital ToDo'!O379="Scheduled",'Ram - Digital ToDo'!Q379="Scheduled"),"Scheduled within SLA (self-serve)",IF(OR(M379="Scheduled on call",M379="Booked on their behalf",N379="Scheduled on call",N379="Booked on their behalf"),"Scheduled within SLA (call)",IF(OR(M379="Not interested/Declined",N379="Not interested/Declined"),"Declined",IF(N379="Escalate to AM","SLA breach - unresolved","In progress"))))</f>
        <v/>
      </c>
      <c r="Q379" s="19" t="n"/>
    </row>
    <row r="380">
      <c r="A380" s="19" t="inlineStr">
        <is>
          <t>REQ-0379</t>
        </is>
      </c>
      <c r="B380" s="20" t="n">
        <v>44867.82708333333</v>
      </c>
      <c r="C380" s="20">
        <f>B380+1</f>
        <v/>
      </c>
      <c r="D380" s="21">
        <f>(C380-NOW())*24</f>
        <v/>
      </c>
      <c r="E380" s="19">
        <f>IF('Ram - Digital ToDo'!Q380="Escalate to call","CALL NOW",IF('Ram - Digital ToDo'!N380="Bad contact","CALL NOW (digital failed)","Ram is handling - no action"))</f>
        <v/>
      </c>
      <c r="F380" s="19">
        <f>IF(E380="Ram is handling - no action","No action needed",IF(M380="","CALL 1: ring candidate, offer to book on call (Playbook C1)",IF(OR(M380="Scheduled on call",M380="Booked on their behalf"),"DONE: scheduled on call",IF(M380="Not interested/Declined","CLOSED: candidate declined (log + tell lead)",IF(N380="","CALL 2: final attempt (Playbook C2)",IF(OR(N380="Scheduled on call",N380="Booked on their behalf"),"DONE: scheduled on call",IF(N380="Escalate to AM","ESCALATED TO LEAD","Review")))))))</f>
        <v/>
      </c>
      <c r="G380" s="20">
        <f>IF(E380="Ram is handling - no action","",IF(M380="",B380+6/24,IF(AND(M380&lt;&gt;"Scheduled on call",M380&lt;&gt;"Booked on their behalf",M380&lt;&gt;"Not interested/Declined",N380=""),B380+20/24,"")))</f>
        <v/>
      </c>
      <c r="H380" s="19" t="inlineStr">
        <is>
          <t>Chetan</t>
        </is>
      </c>
      <c r="I380" s="19" t="inlineStr">
        <is>
          <t>Google</t>
        </is>
      </c>
      <c r="J380" s="19" t="inlineStr">
        <is>
          <t>Round1</t>
        </is>
      </c>
      <c r="K380" s="22" t="inlineStr">
        <is>
          <t>+91 9920264452</t>
        </is>
      </c>
      <c r="L380" s="19" t="inlineStr">
        <is>
          <t>&lt;calendly_link&gt;</t>
        </is>
      </c>
      <c r="M380" s="19" t="n"/>
      <c r="N380" s="19" t="n"/>
      <c r="O380" s="19">
        <f>IF(OR(M380="Scheduled on call",M380="Booked on their behalf",N380="Scheduled on call",N380="Booked on their behalf"),"SCHEDULED (call)",IF(OR(M380="Not interested/Declined",N380="Not interested/Declined"),"DECLINED",IF(N380="Escalate to AM","ESCALATED TO LEAD",IF(E380="Ram is handling - no action","N/A",IF(M380="","PENDING CALL 1","IN PROGRESS")))))</f>
        <v/>
      </c>
      <c r="P380" s="19">
        <f>IF(OR('Ram - Digital ToDo'!O380="Scheduled",'Ram - Digital ToDo'!Q380="Scheduled"),"Scheduled within SLA (self-serve)",IF(OR(M380="Scheduled on call",M380="Booked on their behalf",N380="Scheduled on call",N380="Booked on their behalf"),"Scheduled within SLA (call)",IF(OR(M380="Not interested/Declined",N380="Not interested/Declined"),"Declined",IF(N380="Escalate to AM","SLA breach - unresolved","In progress"))))</f>
        <v/>
      </c>
      <c r="Q380" s="19" t="n"/>
    </row>
    <row r="381">
      <c r="A381" s="19" t="inlineStr">
        <is>
          <t>REQ-0380</t>
        </is>
      </c>
      <c r="B381" s="20" t="n">
        <v>44867.82708333333</v>
      </c>
      <c r="C381" s="20">
        <f>B381+1</f>
        <v/>
      </c>
      <c r="D381" s="21">
        <f>(C381-NOW())*24</f>
        <v/>
      </c>
      <c r="E381" s="19">
        <f>IF('Ram - Digital ToDo'!Q381="Escalate to call","CALL NOW",IF('Ram - Digital ToDo'!N381="Bad contact","CALL NOW (digital failed)","Ram is handling - no action"))</f>
        <v/>
      </c>
      <c r="F381" s="19">
        <f>IF(E381="Ram is handling - no action","No action needed",IF(M381="","CALL 1: ring candidate, offer to book on call (Playbook C1)",IF(OR(M381="Scheduled on call",M381="Booked on their behalf"),"DONE: scheduled on call",IF(M381="Not interested/Declined","CLOSED: candidate declined (log + tell lead)",IF(N381="","CALL 2: final attempt (Playbook C2)",IF(OR(N381="Scheduled on call",N381="Booked on their behalf"),"DONE: scheduled on call",IF(N381="Escalate to AM","ESCALATED TO LEAD","Review")))))))</f>
        <v/>
      </c>
      <c r="G381" s="20">
        <f>IF(E381="Ram is handling - no action","",IF(M381="",B381+6/24,IF(AND(M381&lt;&gt;"Scheduled on call",M381&lt;&gt;"Booked on their behalf",M381&lt;&gt;"Not interested/Declined",N381=""),B381+20/24,"")))</f>
        <v/>
      </c>
      <c r="H381" s="19" t="inlineStr">
        <is>
          <t>Chetan</t>
        </is>
      </c>
      <c r="I381" s="19" t="inlineStr">
        <is>
          <t>Google</t>
        </is>
      </c>
      <c r="J381" s="19" t="inlineStr">
        <is>
          <t>Round1</t>
        </is>
      </c>
      <c r="K381" s="22" t="inlineStr">
        <is>
          <t>+91 9920264452</t>
        </is>
      </c>
      <c r="L381" s="19" t="inlineStr">
        <is>
          <t>&lt;calendly_link&gt;</t>
        </is>
      </c>
      <c r="M381" s="19" t="n"/>
      <c r="N381" s="19" t="n"/>
      <c r="O381" s="19">
        <f>IF(OR(M381="Scheduled on call",M381="Booked on their behalf",N381="Scheduled on call",N381="Booked on their behalf"),"SCHEDULED (call)",IF(OR(M381="Not interested/Declined",N381="Not interested/Declined"),"DECLINED",IF(N381="Escalate to AM","ESCALATED TO LEAD",IF(E381="Ram is handling - no action","N/A",IF(M381="","PENDING CALL 1","IN PROGRESS")))))</f>
        <v/>
      </c>
      <c r="P381" s="19">
        <f>IF(OR('Ram - Digital ToDo'!O381="Scheduled",'Ram - Digital ToDo'!Q381="Scheduled"),"Scheduled within SLA (self-serve)",IF(OR(M381="Scheduled on call",M381="Booked on their behalf",N381="Scheduled on call",N381="Booked on their behalf"),"Scheduled within SLA (call)",IF(OR(M381="Not interested/Declined",N381="Not interested/Declined"),"Declined",IF(N381="Escalate to AM","SLA breach - unresolved","In progress"))))</f>
        <v/>
      </c>
      <c r="Q381" s="19" t="n"/>
    </row>
    <row r="382">
      <c r="A382" s="19" t="inlineStr">
        <is>
          <t>REQ-0381</t>
        </is>
      </c>
      <c r="B382" s="20" t="n">
        <v>44867.82708333333</v>
      </c>
      <c r="C382" s="20">
        <f>B382+1</f>
        <v/>
      </c>
      <c r="D382" s="21">
        <f>(C382-NOW())*24</f>
        <v/>
      </c>
      <c r="E382" s="19">
        <f>IF('Ram - Digital ToDo'!Q382="Escalate to call","CALL NOW",IF('Ram - Digital ToDo'!N382="Bad contact","CALL NOW (digital failed)","Ram is handling - no action"))</f>
        <v/>
      </c>
      <c r="F382" s="19">
        <f>IF(E382="Ram is handling - no action","No action needed",IF(M382="","CALL 1: ring candidate, offer to book on call (Playbook C1)",IF(OR(M382="Scheduled on call",M382="Booked on their behalf"),"DONE: scheduled on call",IF(M382="Not interested/Declined","CLOSED: candidate declined (log + tell lead)",IF(N382="","CALL 2: final attempt (Playbook C2)",IF(OR(N382="Scheduled on call",N382="Booked on their behalf"),"DONE: scheduled on call",IF(N382="Escalate to AM","ESCALATED TO LEAD","Review")))))))</f>
        <v/>
      </c>
      <c r="G382" s="20">
        <f>IF(E382="Ram is handling - no action","",IF(M382="",B382+6/24,IF(AND(M382&lt;&gt;"Scheduled on call",M382&lt;&gt;"Booked on their behalf",M382&lt;&gt;"Not interested/Declined",N382=""),B382+20/24,"")))</f>
        <v/>
      </c>
      <c r="H382" s="19" t="inlineStr">
        <is>
          <t>Chetan</t>
        </is>
      </c>
      <c r="I382" s="19" t="inlineStr">
        <is>
          <t>Google</t>
        </is>
      </c>
      <c r="J382" s="19" t="inlineStr">
        <is>
          <t>Round1</t>
        </is>
      </c>
      <c r="K382" s="22" t="inlineStr">
        <is>
          <t>+91 9920264452</t>
        </is>
      </c>
      <c r="L382" s="19" t="inlineStr">
        <is>
          <t>&lt;calendly_link&gt;</t>
        </is>
      </c>
      <c r="M382" s="19" t="n"/>
      <c r="N382" s="19" t="n"/>
      <c r="O382" s="19">
        <f>IF(OR(M382="Scheduled on call",M382="Booked on their behalf",N382="Scheduled on call",N382="Booked on their behalf"),"SCHEDULED (call)",IF(OR(M382="Not interested/Declined",N382="Not interested/Declined"),"DECLINED",IF(N382="Escalate to AM","ESCALATED TO LEAD",IF(E382="Ram is handling - no action","N/A",IF(M382="","PENDING CALL 1","IN PROGRESS")))))</f>
        <v/>
      </c>
      <c r="P382" s="19">
        <f>IF(OR('Ram - Digital ToDo'!O382="Scheduled",'Ram - Digital ToDo'!Q382="Scheduled"),"Scheduled within SLA (self-serve)",IF(OR(M382="Scheduled on call",M382="Booked on their behalf",N382="Scheduled on call",N382="Booked on their behalf"),"Scheduled within SLA (call)",IF(OR(M382="Not interested/Declined",N382="Not interested/Declined"),"Declined",IF(N382="Escalate to AM","SLA breach - unresolved","In progress"))))</f>
        <v/>
      </c>
      <c r="Q382" s="19" t="n"/>
    </row>
    <row r="383">
      <c r="A383" s="19" t="inlineStr">
        <is>
          <t>REQ-0382</t>
        </is>
      </c>
      <c r="B383" s="20" t="n">
        <v>44867.82708333333</v>
      </c>
      <c r="C383" s="20">
        <f>B383+1</f>
        <v/>
      </c>
      <c r="D383" s="21">
        <f>(C383-NOW())*24</f>
        <v/>
      </c>
      <c r="E383" s="19">
        <f>IF('Ram - Digital ToDo'!Q383="Escalate to call","CALL NOW",IF('Ram - Digital ToDo'!N383="Bad contact","CALL NOW (digital failed)","Ram is handling - no action"))</f>
        <v/>
      </c>
      <c r="F383" s="19">
        <f>IF(E383="Ram is handling - no action","No action needed",IF(M383="","CALL 1: ring candidate, offer to book on call (Playbook C1)",IF(OR(M383="Scheduled on call",M383="Booked on their behalf"),"DONE: scheduled on call",IF(M383="Not interested/Declined","CLOSED: candidate declined (log + tell lead)",IF(N383="","CALL 2: final attempt (Playbook C2)",IF(OR(N383="Scheduled on call",N383="Booked on their behalf"),"DONE: scheduled on call",IF(N383="Escalate to AM","ESCALATED TO LEAD","Review")))))))</f>
        <v/>
      </c>
      <c r="G383" s="20">
        <f>IF(E383="Ram is handling - no action","",IF(M383="",B383+6/24,IF(AND(M383&lt;&gt;"Scheduled on call",M383&lt;&gt;"Booked on their behalf",M383&lt;&gt;"Not interested/Declined",N383=""),B383+20/24,"")))</f>
        <v/>
      </c>
      <c r="H383" s="19" t="inlineStr">
        <is>
          <t>Chetan</t>
        </is>
      </c>
      <c r="I383" s="19" t="inlineStr">
        <is>
          <t>Google</t>
        </is>
      </c>
      <c r="J383" s="19" t="inlineStr">
        <is>
          <t>Round1</t>
        </is>
      </c>
      <c r="K383" s="22" t="inlineStr">
        <is>
          <t>+91 9920264452</t>
        </is>
      </c>
      <c r="L383" s="19" t="inlineStr">
        <is>
          <t>&lt;calendly_link&gt;</t>
        </is>
      </c>
      <c r="M383" s="19" t="n"/>
      <c r="N383" s="19" t="n"/>
      <c r="O383" s="19">
        <f>IF(OR(M383="Scheduled on call",M383="Booked on their behalf",N383="Scheduled on call",N383="Booked on their behalf"),"SCHEDULED (call)",IF(OR(M383="Not interested/Declined",N383="Not interested/Declined"),"DECLINED",IF(N383="Escalate to AM","ESCALATED TO LEAD",IF(E383="Ram is handling - no action","N/A",IF(M383="","PENDING CALL 1","IN PROGRESS")))))</f>
        <v/>
      </c>
      <c r="P383" s="19">
        <f>IF(OR('Ram - Digital ToDo'!O383="Scheduled",'Ram - Digital ToDo'!Q383="Scheduled"),"Scheduled within SLA (self-serve)",IF(OR(M383="Scheduled on call",M383="Booked on their behalf",N383="Scheduled on call",N383="Booked on their behalf"),"Scheduled within SLA (call)",IF(OR(M383="Not interested/Declined",N383="Not interested/Declined"),"Declined",IF(N383="Escalate to AM","SLA breach - unresolved","In progress"))))</f>
        <v/>
      </c>
      <c r="Q383" s="19" t="n"/>
    </row>
    <row r="384">
      <c r="A384" s="19" t="inlineStr">
        <is>
          <t>REQ-0383</t>
        </is>
      </c>
      <c r="B384" s="20" t="n">
        <v>44867.82708333333</v>
      </c>
      <c r="C384" s="20">
        <f>B384+1</f>
        <v/>
      </c>
      <c r="D384" s="21">
        <f>(C384-NOW())*24</f>
        <v/>
      </c>
      <c r="E384" s="19">
        <f>IF('Ram - Digital ToDo'!Q384="Escalate to call","CALL NOW",IF('Ram - Digital ToDo'!N384="Bad contact","CALL NOW (digital failed)","Ram is handling - no action"))</f>
        <v/>
      </c>
      <c r="F384" s="19">
        <f>IF(E384="Ram is handling - no action","No action needed",IF(M384="","CALL 1: ring candidate, offer to book on call (Playbook C1)",IF(OR(M384="Scheduled on call",M384="Booked on their behalf"),"DONE: scheduled on call",IF(M384="Not interested/Declined","CLOSED: candidate declined (log + tell lead)",IF(N384="","CALL 2: final attempt (Playbook C2)",IF(OR(N384="Scheduled on call",N384="Booked on their behalf"),"DONE: scheduled on call",IF(N384="Escalate to AM","ESCALATED TO LEAD","Review")))))))</f>
        <v/>
      </c>
      <c r="G384" s="20">
        <f>IF(E384="Ram is handling - no action","",IF(M384="",B384+6/24,IF(AND(M384&lt;&gt;"Scheduled on call",M384&lt;&gt;"Booked on their behalf",M384&lt;&gt;"Not interested/Declined",N384=""),B384+20/24,"")))</f>
        <v/>
      </c>
      <c r="H384" s="19" t="inlineStr">
        <is>
          <t>Chetan</t>
        </is>
      </c>
      <c r="I384" s="19" t="inlineStr">
        <is>
          <t>Google</t>
        </is>
      </c>
      <c r="J384" s="19" t="inlineStr">
        <is>
          <t>Round1</t>
        </is>
      </c>
      <c r="K384" s="22" t="inlineStr">
        <is>
          <t>+91 9920264452</t>
        </is>
      </c>
      <c r="L384" s="19" t="inlineStr">
        <is>
          <t>&lt;calendly_link&gt;</t>
        </is>
      </c>
      <c r="M384" s="19" t="n"/>
      <c r="N384" s="19" t="n"/>
      <c r="O384" s="19">
        <f>IF(OR(M384="Scheduled on call",M384="Booked on their behalf",N384="Scheduled on call",N384="Booked on their behalf"),"SCHEDULED (call)",IF(OR(M384="Not interested/Declined",N384="Not interested/Declined"),"DECLINED",IF(N384="Escalate to AM","ESCALATED TO LEAD",IF(E384="Ram is handling - no action","N/A",IF(M384="","PENDING CALL 1","IN PROGRESS")))))</f>
        <v/>
      </c>
      <c r="P384" s="19">
        <f>IF(OR('Ram - Digital ToDo'!O384="Scheduled",'Ram - Digital ToDo'!Q384="Scheduled"),"Scheduled within SLA (self-serve)",IF(OR(M384="Scheduled on call",M384="Booked on their behalf",N384="Scheduled on call",N384="Booked on their behalf"),"Scheduled within SLA (call)",IF(OR(M384="Not interested/Declined",N384="Not interested/Declined"),"Declined",IF(N384="Escalate to AM","SLA breach - unresolved","In progress"))))</f>
        <v/>
      </c>
      <c r="Q384" s="19" t="n"/>
    </row>
    <row r="385">
      <c r="A385" s="19" t="inlineStr">
        <is>
          <t>REQ-0384</t>
        </is>
      </c>
      <c r="B385" s="20" t="n">
        <v>44867.82708333333</v>
      </c>
      <c r="C385" s="20">
        <f>B385+1</f>
        <v/>
      </c>
      <c r="D385" s="21">
        <f>(C385-NOW())*24</f>
        <v/>
      </c>
      <c r="E385" s="19">
        <f>IF('Ram - Digital ToDo'!Q385="Escalate to call","CALL NOW",IF('Ram - Digital ToDo'!N385="Bad contact","CALL NOW (digital failed)","Ram is handling - no action"))</f>
        <v/>
      </c>
      <c r="F385" s="19">
        <f>IF(E385="Ram is handling - no action","No action needed",IF(M385="","CALL 1: ring candidate, offer to book on call (Playbook C1)",IF(OR(M385="Scheduled on call",M385="Booked on their behalf"),"DONE: scheduled on call",IF(M385="Not interested/Declined","CLOSED: candidate declined (log + tell lead)",IF(N385="","CALL 2: final attempt (Playbook C2)",IF(OR(N385="Scheduled on call",N385="Booked on their behalf"),"DONE: scheduled on call",IF(N385="Escalate to AM","ESCALATED TO LEAD","Review")))))))</f>
        <v/>
      </c>
      <c r="G385" s="20">
        <f>IF(E385="Ram is handling - no action","",IF(M385="",B385+6/24,IF(AND(M385&lt;&gt;"Scheduled on call",M385&lt;&gt;"Booked on their behalf",M385&lt;&gt;"Not interested/Declined",N385=""),B385+20/24,"")))</f>
        <v/>
      </c>
      <c r="H385" s="19" t="inlineStr">
        <is>
          <t>Chetan</t>
        </is>
      </c>
      <c r="I385" s="19" t="inlineStr">
        <is>
          <t>Google</t>
        </is>
      </c>
      <c r="J385" s="19" t="inlineStr">
        <is>
          <t>Round1</t>
        </is>
      </c>
      <c r="K385" s="22" t="inlineStr">
        <is>
          <t>+91 9920264452</t>
        </is>
      </c>
      <c r="L385" s="19" t="inlineStr">
        <is>
          <t>&lt;calendly_link&gt;</t>
        </is>
      </c>
      <c r="M385" s="19" t="n"/>
      <c r="N385" s="19" t="n"/>
      <c r="O385" s="19">
        <f>IF(OR(M385="Scheduled on call",M385="Booked on their behalf",N385="Scheduled on call",N385="Booked on their behalf"),"SCHEDULED (call)",IF(OR(M385="Not interested/Declined",N385="Not interested/Declined"),"DECLINED",IF(N385="Escalate to AM","ESCALATED TO LEAD",IF(E385="Ram is handling - no action","N/A",IF(M385="","PENDING CALL 1","IN PROGRESS")))))</f>
        <v/>
      </c>
      <c r="P385" s="19">
        <f>IF(OR('Ram - Digital ToDo'!O385="Scheduled",'Ram - Digital ToDo'!Q385="Scheduled"),"Scheduled within SLA (self-serve)",IF(OR(M385="Scheduled on call",M385="Booked on their behalf",N385="Scheduled on call",N385="Booked on their behalf"),"Scheduled within SLA (call)",IF(OR(M385="Not interested/Declined",N385="Not interested/Declined"),"Declined",IF(N385="Escalate to AM","SLA breach - unresolved","In progress"))))</f>
        <v/>
      </c>
      <c r="Q385" s="19" t="n"/>
    </row>
    <row r="386">
      <c r="A386" s="19" t="inlineStr">
        <is>
          <t>REQ-0385</t>
        </is>
      </c>
      <c r="B386" s="20" t="n">
        <v>44867.82708333333</v>
      </c>
      <c r="C386" s="20">
        <f>B386+1</f>
        <v/>
      </c>
      <c r="D386" s="21">
        <f>(C386-NOW())*24</f>
        <v/>
      </c>
      <c r="E386" s="19">
        <f>IF('Ram - Digital ToDo'!Q386="Escalate to call","CALL NOW",IF('Ram - Digital ToDo'!N386="Bad contact","CALL NOW (digital failed)","Ram is handling - no action"))</f>
        <v/>
      </c>
      <c r="F386" s="19">
        <f>IF(E386="Ram is handling - no action","No action needed",IF(M386="","CALL 1: ring candidate, offer to book on call (Playbook C1)",IF(OR(M386="Scheduled on call",M386="Booked on their behalf"),"DONE: scheduled on call",IF(M386="Not interested/Declined","CLOSED: candidate declined (log + tell lead)",IF(N386="","CALL 2: final attempt (Playbook C2)",IF(OR(N386="Scheduled on call",N386="Booked on their behalf"),"DONE: scheduled on call",IF(N386="Escalate to AM","ESCALATED TO LEAD","Review")))))))</f>
        <v/>
      </c>
      <c r="G386" s="20">
        <f>IF(E386="Ram is handling - no action","",IF(M386="",B386+6/24,IF(AND(M386&lt;&gt;"Scheduled on call",M386&lt;&gt;"Booked on their behalf",M386&lt;&gt;"Not interested/Declined",N386=""),B386+20/24,"")))</f>
        <v/>
      </c>
      <c r="H386" s="19" t="inlineStr">
        <is>
          <t>Chetan</t>
        </is>
      </c>
      <c r="I386" s="19" t="inlineStr">
        <is>
          <t>Google</t>
        </is>
      </c>
      <c r="J386" s="19" t="inlineStr">
        <is>
          <t>Round1</t>
        </is>
      </c>
      <c r="K386" s="22" t="inlineStr">
        <is>
          <t>+91 9920264452</t>
        </is>
      </c>
      <c r="L386" s="19" t="inlineStr">
        <is>
          <t>&lt;calendly_link&gt;</t>
        </is>
      </c>
      <c r="M386" s="19" t="n"/>
      <c r="N386" s="19" t="n"/>
      <c r="O386" s="19">
        <f>IF(OR(M386="Scheduled on call",M386="Booked on their behalf",N386="Scheduled on call",N386="Booked on their behalf"),"SCHEDULED (call)",IF(OR(M386="Not interested/Declined",N386="Not interested/Declined"),"DECLINED",IF(N386="Escalate to AM","ESCALATED TO LEAD",IF(E386="Ram is handling - no action","N/A",IF(M386="","PENDING CALL 1","IN PROGRESS")))))</f>
        <v/>
      </c>
      <c r="P386" s="19">
        <f>IF(OR('Ram - Digital ToDo'!O386="Scheduled",'Ram - Digital ToDo'!Q386="Scheduled"),"Scheduled within SLA (self-serve)",IF(OR(M386="Scheduled on call",M386="Booked on their behalf",N386="Scheduled on call",N386="Booked on their behalf"),"Scheduled within SLA (call)",IF(OR(M386="Not interested/Declined",N386="Not interested/Declined"),"Declined",IF(N386="Escalate to AM","SLA breach - unresolved","In progress"))))</f>
        <v/>
      </c>
      <c r="Q386" s="19" t="n"/>
    </row>
    <row r="387">
      <c r="A387" s="19" t="inlineStr">
        <is>
          <t>REQ-0386</t>
        </is>
      </c>
      <c r="B387" s="20" t="n">
        <v>44867.82708333333</v>
      </c>
      <c r="C387" s="20">
        <f>B387+1</f>
        <v/>
      </c>
      <c r="D387" s="21">
        <f>(C387-NOW())*24</f>
        <v/>
      </c>
      <c r="E387" s="19">
        <f>IF('Ram - Digital ToDo'!Q387="Escalate to call","CALL NOW",IF('Ram - Digital ToDo'!N387="Bad contact","CALL NOW (digital failed)","Ram is handling - no action"))</f>
        <v/>
      </c>
      <c r="F387" s="19">
        <f>IF(E387="Ram is handling - no action","No action needed",IF(M387="","CALL 1: ring candidate, offer to book on call (Playbook C1)",IF(OR(M387="Scheduled on call",M387="Booked on their behalf"),"DONE: scheduled on call",IF(M387="Not interested/Declined","CLOSED: candidate declined (log + tell lead)",IF(N387="","CALL 2: final attempt (Playbook C2)",IF(OR(N387="Scheduled on call",N387="Booked on their behalf"),"DONE: scheduled on call",IF(N387="Escalate to AM","ESCALATED TO LEAD","Review")))))))</f>
        <v/>
      </c>
      <c r="G387" s="20">
        <f>IF(E387="Ram is handling - no action","",IF(M387="",B387+6/24,IF(AND(M387&lt;&gt;"Scheduled on call",M387&lt;&gt;"Booked on their behalf",M387&lt;&gt;"Not interested/Declined",N387=""),B387+20/24,"")))</f>
        <v/>
      </c>
      <c r="H387" s="19" t="inlineStr">
        <is>
          <t>Chetan</t>
        </is>
      </c>
      <c r="I387" s="19" t="inlineStr">
        <is>
          <t>Google</t>
        </is>
      </c>
      <c r="J387" s="19" t="inlineStr">
        <is>
          <t>Round1</t>
        </is>
      </c>
      <c r="K387" s="22" t="inlineStr">
        <is>
          <t>+91 9920264452</t>
        </is>
      </c>
      <c r="L387" s="19" t="inlineStr">
        <is>
          <t>&lt;calendly_link&gt;</t>
        </is>
      </c>
      <c r="M387" s="19" t="n"/>
      <c r="N387" s="19" t="n"/>
      <c r="O387" s="19">
        <f>IF(OR(M387="Scheduled on call",M387="Booked on their behalf",N387="Scheduled on call",N387="Booked on their behalf"),"SCHEDULED (call)",IF(OR(M387="Not interested/Declined",N387="Not interested/Declined"),"DECLINED",IF(N387="Escalate to AM","ESCALATED TO LEAD",IF(E387="Ram is handling - no action","N/A",IF(M387="","PENDING CALL 1","IN PROGRESS")))))</f>
        <v/>
      </c>
      <c r="P387" s="19">
        <f>IF(OR('Ram - Digital ToDo'!O387="Scheduled",'Ram - Digital ToDo'!Q387="Scheduled"),"Scheduled within SLA (self-serve)",IF(OR(M387="Scheduled on call",M387="Booked on their behalf",N387="Scheduled on call",N387="Booked on their behalf"),"Scheduled within SLA (call)",IF(OR(M387="Not interested/Declined",N387="Not interested/Declined"),"Declined",IF(N387="Escalate to AM","SLA breach - unresolved","In progress"))))</f>
        <v/>
      </c>
      <c r="Q387" s="19" t="n"/>
    </row>
    <row r="388">
      <c r="A388" s="19" t="inlineStr">
        <is>
          <t>REQ-0387</t>
        </is>
      </c>
      <c r="B388" s="20" t="n">
        <v>44867.82708333333</v>
      </c>
      <c r="C388" s="20">
        <f>B388+1</f>
        <v/>
      </c>
      <c r="D388" s="21">
        <f>(C388-NOW())*24</f>
        <v/>
      </c>
      <c r="E388" s="19">
        <f>IF('Ram - Digital ToDo'!Q388="Escalate to call","CALL NOW",IF('Ram - Digital ToDo'!N388="Bad contact","CALL NOW (digital failed)","Ram is handling - no action"))</f>
        <v/>
      </c>
      <c r="F388" s="19">
        <f>IF(E388="Ram is handling - no action","No action needed",IF(M388="","CALL 1: ring candidate, offer to book on call (Playbook C1)",IF(OR(M388="Scheduled on call",M388="Booked on their behalf"),"DONE: scheduled on call",IF(M388="Not interested/Declined","CLOSED: candidate declined (log + tell lead)",IF(N388="","CALL 2: final attempt (Playbook C2)",IF(OR(N388="Scheduled on call",N388="Booked on their behalf"),"DONE: scheduled on call",IF(N388="Escalate to AM","ESCALATED TO LEAD","Review")))))))</f>
        <v/>
      </c>
      <c r="G388" s="20">
        <f>IF(E388="Ram is handling - no action","",IF(M388="",B388+6/24,IF(AND(M388&lt;&gt;"Scheduled on call",M388&lt;&gt;"Booked on their behalf",M388&lt;&gt;"Not interested/Declined",N388=""),B388+20/24,"")))</f>
        <v/>
      </c>
      <c r="H388" s="19" t="inlineStr">
        <is>
          <t>Chetan</t>
        </is>
      </c>
      <c r="I388" s="19" t="inlineStr">
        <is>
          <t>Google</t>
        </is>
      </c>
      <c r="J388" s="19" t="inlineStr">
        <is>
          <t>Round1</t>
        </is>
      </c>
      <c r="K388" s="22" t="inlineStr">
        <is>
          <t>+91 9920264452</t>
        </is>
      </c>
      <c r="L388" s="19" t="inlineStr">
        <is>
          <t>&lt;calendly_link&gt;</t>
        </is>
      </c>
      <c r="M388" s="19" t="n"/>
      <c r="N388" s="19" t="n"/>
      <c r="O388" s="19">
        <f>IF(OR(M388="Scheduled on call",M388="Booked on their behalf",N388="Scheduled on call",N388="Booked on their behalf"),"SCHEDULED (call)",IF(OR(M388="Not interested/Declined",N388="Not interested/Declined"),"DECLINED",IF(N388="Escalate to AM","ESCALATED TO LEAD",IF(E388="Ram is handling - no action","N/A",IF(M388="","PENDING CALL 1","IN PROGRESS")))))</f>
        <v/>
      </c>
      <c r="P388" s="19">
        <f>IF(OR('Ram - Digital ToDo'!O388="Scheduled",'Ram - Digital ToDo'!Q388="Scheduled"),"Scheduled within SLA (self-serve)",IF(OR(M388="Scheduled on call",M388="Booked on their behalf",N388="Scheduled on call",N388="Booked on their behalf"),"Scheduled within SLA (call)",IF(OR(M388="Not interested/Declined",N388="Not interested/Declined"),"Declined",IF(N388="Escalate to AM","SLA breach - unresolved","In progress"))))</f>
        <v/>
      </c>
      <c r="Q388" s="19" t="n"/>
    </row>
    <row r="389">
      <c r="A389" s="19" t="inlineStr">
        <is>
          <t>REQ-0388</t>
        </is>
      </c>
      <c r="B389" s="20" t="n">
        <v>44867.82708333333</v>
      </c>
      <c r="C389" s="20">
        <f>B389+1</f>
        <v/>
      </c>
      <c r="D389" s="21">
        <f>(C389-NOW())*24</f>
        <v/>
      </c>
      <c r="E389" s="19">
        <f>IF('Ram - Digital ToDo'!Q389="Escalate to call","CALL NOW",IF('Ram - Digital ToDo'!N389="Bad contact","CALL NOW (digital failed)","Ram is handling - no action"))</f>
        <v/>
      </c>
      <c r="F389" s="19">
        <f>IF(E389="Ram is handling - no action","No action needed",IF(M389="","CALL 1: ring candidate, offer to book on call (Playbook C1)",IF(OR(M389="Scheduled on call",M389="Booked on their behalf"),"DONE: scheduled on call",IF(M389="Not interested/Declined","CLOSED: candidate declined (log + tell lead)",IF(N389="","CALL 2: final attempt (Playbook C2)",IF(OR(N389="Scheduled on call",N389="Booked on their behalf"),"DONE: scheduled on call",IF(N389="Escalate to AM","ESCALATED TO LEAD","Review")))))))</f>
        <v/>
      </c>
      <c r="G389" s="20">
        <f>IF(E389="Ram is handling - no action","",IF(M389="",B389+6/24,IF(AND(M389&lt;&gt;"Scheduled on call",M389&lt;&gt;"Booked on their behalf",M389&lt;&gt;"Not interested/Declined",N389=""),B389+20/24,"")))</f>
        <v/>
      </c>
      <c r="H389" s="19" t="inlineStr">
        <is>
          <t>Chetan</t>
        </is>
      </c>
      <c r="I389" s="19" t="inlineStr">
        <is>
          <t>Google</t>
        </is>
      </c>
      <c r="J389" s="19" t="inlineStr">
        <is>
          <t>Round1</t>
        </is>
      </c>
      <c r="K389" s="22" t="inlineStr">
        <is>
          <t>+91 9920264452</t>
        </is>
      </c>
      <c r="L389" s="19" t="inlineStr">
        <is>
          <t>&lt;calendly_link&gt;</t>
        </is>
      </c>
      <c r="M389" s="19" t="n"/>
      <c r="N389" s="19" t="n"/>
      <c r="O389" s="19">
        <f>IF(OR(M389="Scheduled on call",M389="Booked on their behalf",N389="Scheduled on call",N389="Booked on their behalf"),"SCHEDULED (call)",IF(OR(M389="Not interested/Declined",N389="Not interested/Declined"),"DECLINED",IF(N389="Escalate to AM","ESCALATED TO LEAD",IF(E389="Ram is handling - no action","N/A",IF(M389="","PENDING CALL 1","IN PROGRESS")))))</f>
        <v/>
      </c>
      <c r="P389" s="19">
        <f>IF(OR('Ram - Digital ToDo'!O389="Scheduled",'Ram - Digital ToDo'!Q389="Scheduled"),"Scheduled within SLA (self-serve)",IF(OR(M389="Scheduled on call",M389="Booked on their behalf",N389="Scheduled on call",N389="Booked on their behalf"),"Scheduled within SLA (call)",IF(OR(M389="Not interested/Declined",N389="Not interested/Declined"),"Declined",IF(N389="Escalate to AM","SLA breach - unresolved","In progress"))))</f>
        <v/>
      </c>
      <c r="Q389" s="19" t="n"/>
    </row>
    <row r="390">
      <c r="A390" s="19" t="inlineStr">
        <is>
          <t>REQ-0389</t>
        </is>
      </c>
      <c r="B390" s="20" t="n">
        <v>44867.82708333333</v>
      </c>
      <c r="C390" s="20">
        <f>B390+1</f>
        <v/>
      </c>
      <c r="D390" s="21">
        <f>(C390-NOW())*24</f>
        <v/>
      </c>
      <c r="E390" s="19">
        <f>IF('Ram - Digital ToDo'!Q390="Escalate to call","CALL NOW",IF('Ram - Digital ToDo'!N390="Bad contact","CALL NOW (digital failed)","Ram is handling - no action"))</f>
        <v/>
      </c>
      <c r="F390" s="19">
        <f>IF(E390="Ram is handling - no action","No action needed",IF(M390="","CALL 1: ring candidate, offer to book on call (Playbook C1)",IF(OR(M390="Scheduled on call",M390="Booked on their behalf"),"DONE: scheduled on call",IF(M390="Not interested/Declined","CLOSED: candidate declined (log + tell lead)",IF(N390="","CALL 2: final attempt (Playbook C2)",IF(OR(N390="Scheduled on call",N390="Booked on their behalf"),"DONE: scheduled on call",IF(N390="Escalate to AM","ESCALATED TO LEAD","Review")))))))</f>
        <v/>
      </c>
      <c r="G390" s="20">
        <f>IF(E390="Ram is handling - no action","",IF(M390="",B390+6/24,IF(AND(M390&lt;&gt;"Scheduled on call",M390&lt;&gt;"Booked on their behalf",M390&lt;&gt;"Not interested/Declined",N390=""),B390+20/24,"")))</f>
        <v/>
      </c>
      <c r="H390" s="19" t="inlineStr">
        <is>
          <t>Chetan</t>
        </is>
      </c>
      <c r="I390" s="19" t="inlineStr">
        <is>
          <t>Google</t>
        </is>
      </c>
      <c r="J390" s="19" t="inlineStr">
        <is>
          <t>Round1</t>
        </is>
      </c>
      <c r="K390" s="22" t="inlineStr">
        <is>
          <t>+91 9920264452</t>
        </is>
      </c>
      <c r="L390" s="19" t="inlineStr">
        <is>
          <t>&lt;calendly_link&gt;</t>
        </is>
      </c>
      <c r="M390" s="19" t="n"/>
      <c r="N390" s="19" t="n"/>
      <c r="O390" s="19">
        <f>IF(OR(M390="Scheduled on call",M390="Booked on their behalf",N390="Scheduled on call",N390="Booked on their behalf"),"SCHEDULED (call)",IF(OR(M390="Not interested/Declined",N390="Not interested/Declined"),"DECLINED",IF(N390="Escalate to AM","ESCALATED TO LEAD",IF(E390="Ram is handling - no action","N/A",IF(M390="","PENDING CALL 1","IN PROGRESS")))))</f>
        <v/>
      </c>
      <c r="P390" s="19">
        <f>IF(OR('Ram - Digital ToDo'!O390="Scheduled",'Ram - Digital ToDo'!Q390="Scheduled"),"Scheduled within SLA (self-serve)",IF(OR(M390="Scheduled on call",M390="Booked on their behalf",N390="Scheduled on call",N390="Booked on their behalf"),"Scheduled within SLA (call)",IF(OR(M390="Not interested/Declined",N390="Not interested/Declined"),"Declined",IF(N390="Escalate to AM","SLA breach - unresolved","In progress"))))</f>
        <v/>
      </c>
      <c r="Q390" s="19" t="n"/>
    </row>
    <row r="391">
      <c r="A391" s="19" t="inlineStr">
        <is>
          <t>REQ-0390</t>
        </is>
      </c>
      <c r="B391" s="20" t="n">
        <v>44867.82708333333</v>
      </c>
      <c r="C391" s="20">
        <f>B391+1</f>
        <v/>
      </c>
      <c r="D391" s="21">
        <f>(C391-NOW())*24</f>
        <v/>
      </c>
      <c r="E391" s="19">
        <f>IF('Ram - Digital ToDo'!Q391="Escalate to call","CALL NOW",IF('Ram - Digital ToDo'!N391="Bad contact","CALL NOW (digital failed)","Ram is handling - no action"))</f>
        <v/>
      </c>
      <c r="F391" s="19">
        <f>IF(E391="Ram is handling - no action","No action needed",IF(M391="","CALL 1: ring candidate, offer to book on call (Playbook C1)",IF(OR(M391="Scheduled on call",M391="Booked on their behalf"),"DONE: scheduled on call",IF(M391="Not interested/Declined","CLOSED: candidate declined (log + tell lead)",IF(N391="","CALL 2: final attempt (Playbook C2)",IF(OR(N391="Scheduled on call",N391="Booked on their behalf"),"DONE: scheduled on call",IF(N391="Escalate to AM","ESCALATED TO LEAD","Review")))))))</f>
        <v/>
      </c>
      <c r="G391" s="20">
        <f>IF(E391="Ram is handling - no action","",IF(M391="",B391+6/24,IF(AND(M391&lt;&gt;"Scheduled on call",M391&lt;&gt;"Booked on their behalf",M391&lt;&gt;"Not interested/Declined",N391=""),B391+20/24,"")))</f>
        <v/>
      </c>
      <c r="H391" s="19" t="inlineStr">
        <is>
          <t>Chetan</t>
        </is>
      </c>
      <c r="I391" s="19" t="inlineStr">
        <is>
          <t>Google</t>
        </is>
      </c>
      <c r="J391" s="19" t="inlineStr">
        <is>
          <t>Round1</t>
        </is>
      </c>
      <c r="K391" s="22" t="inlineStr">
        <is>
          <t>+91 9920264452</t>
        </is>
      </c>
      <c r="L391" s="19" t="inlineStr">
        <is>
          <t>&lt;calendly_link&gt;</t>
        </is>
      </c>
      <c r="M391" s="19" t="n"/>
      <c r="N391" s="19" t="n"/>
      <c r="O391" s="19">
        <f>IF(OR(M391="Scheduled on call",M391="Booked on their behalf",N391="Scheduled on call",N391="Booked on their behalf"),"SCHEDULED (call)",IF(OR(M391="Not interested/Declined",N391="Not interested/Declined"),"DECLINED",IF(N391="Escalate to AM","ESCALATED TO LEAD",IF(E391="Ram is handling - no action","N/A",IF(M391="","PENDING CALL 1","IN PROGRESS")))))</f>
        <v/>
      </c>
      <c r="P391" s="19">
        <f>IF(OR('Ram - Digital ToDo'!O391="Scheduled",'Ram - Digital ToDo'!Q391="Scheduled"),"Scheduled within SLA (self-serve)",IF(OR(M391="Scheduled on call",M391="Booked on their behalf",N391="Scheduled on call",N391="Booked on their behalf"),"Scheduled within SLA (call)",IF(OR(M391="Not interested/Declined",N391="Not interested/Declined"),"Declined",IF(N391="Escalate to AM","SLA breach - unresolved","In progress"))))</f>
        <v/>
      </c>
      <c r="Q391" s="19" t="n"/>
    </row>
    <row r="392">
      <c r="A392" s="19" t="inlineStr">
        <is>
          <t>REQ-0391</t>
        </is>
      </c>
      <c r="B392" s="20" t="n">
        <v>44867.82708333333</v>
      </c>
      <c r="C392" s="20">
        <f>B392+1</f>
        <v/>
      </c>
      <c r="D392" s="21">
        <f>(C392-NOW())*24</f>
        <v/>
      </c>
      <c r="E392" s="19">
        <f>IF('Ram - Digital ToDo'!Q392="Escalate to call","CALL NOW",IF('Ram - Digital ToDo'!N392="Bad contact","CALL NOW (digital failed)","Ram is handling - no action"))</f>
        <v/>
      </c>
      <c r="F392" s="19">
        <f>IF(E392="Ram is handling - no action","No action needed",IF(M392="","CALL 1: ring candidate, offer to book on call (Playbook C1)",IF(OR(M392="Scheduled on call",M392="Booked on their behalf"),"DONE: scheduled on call",IF(M392="Not interested/Declined","CLOSED: candidate declined (log + tell lead)",IF(N392="","CALL 2: final attempt (Playbook C2)",IF(OR(N392="Scheduled on call",N392="Booked on their behalf"),"DONE: scheduled on call",IF(N392="Escalate to AM","ESCALATED TO LEAD","Review")))))))</f>
        <v/>
      </c>
      <c r="G392" s="20">
        <f>IF(E392="Ram is handling - no action","",IF(M392="",B392+6/24,IF(AND(M392&lt;&gt;"Scheduled on call",M392&lt;&gt;"Booked on their behalf",M392&lt;&gt;"Not interested/Declined",N392=""),B392+20/24,"")))</f>
        <v/>
      </c>
      <c r="H392" s="19" t="inlineStr">
        <is>
          <t>Chetan</t>
        </is>
      </c>
      <c r="I392" s="19" t="inlineStr">
        <is>
          <t>Google</t>
        </is>
      </c>
      <c r="J392" s="19" t="inlineStr">
        <is>
          <t>Round1</t>
        </is>
      </c>
      <c r="K392" s="22" t="inlineStr">
        <is>
          <t>+91 9920264452</t>
        </is>
      </c>
      <c r="L392" s="19" t="inlineStr">
        <is>
          <t>&lt;calendly_link&gt;</t>
        </is>
      </c>
      <c r="M392" s="19" t="n"/>
      <c r="N392" s="19" t="n"/>
      <c r="O392" s="19">
        <f>IF(OR(M392="Scheduled on call",M392="Booked on their behalf",N392="Scheduled on call",N392="Booked on their behalf"),"SCHEDULED (call)",IF(OR(M392="Not interested/Declined",N392="Not interested/Declined"),"DECLINED",IF(N392="Escalate to AM","ESCALATED TO LEAD",IF(E392="Ram is handling - no action","N/A",IF(M392="","PENDING CALL 1","IN PROGRESS")))))</f>
        <v/>
      </c>
      <c r="P392" s="19">
        <f>IF(OR('Ram - Digital ToDo'!O392="Scheduled",'Ram - Digital ToDo'!Q392="Scheduled"),"Scheduled within SLA (self-serve)",IF(OR(M392="Scheduled on call",M392="Booked on their behalf",N392="Scheduled on call",N392="Booked on their behalf"),"Scheduled within SLA (call)",IF(OR(M392="Not interested/Declined",N392="Not interested/Declined"),"Declined",IF(N392="Escalate to AM","SLA breach - unresolved","In progress"))))</f>
        <v/>
      </c>
      <c r="Q392" s="19" t="n"/>
    </row>
    <row r="393">
      <c r="A393" s="19" t="inlineStr">
        <is>
          <t>REQ-0392</t>
        </is>
      </c>
      <c r="B393" s="20" t="n">
        <v>44867.82708333333</v>
      </c>
      <c r="C393" s="20">
        <f>B393+1</f>
        <v/>
      </c>
      <c r="D393" s="21">
        <f>(C393-NOW())*24</f>
        <v/>
      </c>
      <c r="E393" s="19">
        <f>IF('Ram - Digital ToDo'!Q393="Escalate to call","CALL NOW",IF('Ram - Digital ToDo'!N393="Bad contact","CALL NOW (digital failed)","Ram is handling - no action"))</f>
        <v/>
      </c>
      <c r="F393" s="19">
        <f>IF(E393="Ram is handling - no action","No action needed",IF(M393="","CALL 1: ring candidate, offer to book on call (Playbook C1)",IF(OR(M393="Scheduled on call",M393="Booked on their behalf"),"DONE: scheduled on call",IF(M393="Not interested/Declined","CLOSED: candidate declined (log + tell lead)",IF(N393="","CALL 2: final attempt (Playbook C2)",IF(OR(N393="Scheduled on call",N393="Booked on their behalf"),"DONE: scheduled on call",IF(N393="Escalate to AM","ESCALATED TO LEAD","Review")))))))</f>
        <v/>
      </c>
      <c r="G393" s="20">
        <f>IF(E393="Ram is handling - no action","",IF(M393="",B393+6/24,IF(AND(M393&lt;&gt;"Scheduled on call",M393&lt;&gt;"Booked on their behalf",M393&lt;&gt;"Not interested/Declined",N393=""),B393+20/24,"")))</f>
        <v/>
      </c>
      <c r="H393" s="19" t="inlineStr">
        <is>
          <t>Chetan</t>
        </is>
      </c>
      <c r="I393" s="19" t="inlineStr">
        <is>
          <t>Google</t>
        </is>
      </c>
      <c r="J393" s="19" t="inlineStr">
        <is>
          <t>Round1</t>
        </is>
      </c>
      <c r="K393" s="22" t="inlineStr">
        <is>
          <t>+91 9920264452</t>
        </is>
      </c>
      <c r="L393" s="19" t="inlineStr">
        <is>
          <t>&lt;calendly_link&gt;</t>
        </is>
      </c>
      <c r="M393" s="19" t="n"/>
      <c r="N393" s="19" t="n"/>
      <c r="O393" s="19">
        <f>IF(OR(M393="Scheduled on call",M393="Booked on their behalf",N393="Scheduled on call",N393="Booked on their behalf"),"SCHEDULED (call)",IF(OR(M393="Not interested/Declined",N393="Not interested/Declined"),"DECLINED",IF(N393="Escalate to AM","ESCALATED TO LEAD",IF(E393="Ram is handling - no action","N/A",IF(M393="","PENDING CALL 1","IN PROGRESS")))))</f>
        <v/>
      </c>
      <c r="P393" s="19">
        <f>IF(OR('Ram - Digital ToDo'!O393="Scheduled",'Ram - Digital ToDo'!Q393="Scheduled"),"Scheduled within SLA (self-serve)",IF(OR(M393="Scheduled on call",M393="Booked on their behalf",N393="Scheduled on call",N393="Booked on their behalf"),"Scheduled within SLA (call)",IF(OR(M393="Not interested/Declined",N393="Not interested/Declined"),"Declined",IF(N393="Escalate to AM","SLA breach - unresolved","In progress"))))</f>
        <v/>
      </c>
      <c r="Q393" s="19" t="n"/>
    </row>
    <row r="394">
      <c r="A394" s="19" t="inlineStr">
        <is>
          <t>REQ-0393</t>
        </is>
      </c>
      <c r="B394" s="20" t="n">
        <v>44867.82708333333</v>
      </c>
      <c r="C394" s="20">
        <f>B394+1</f>
        <v/>
      </c>
      <c r="D394" s="21">
        <f>(C394-NOW())*24</f>
        <v/>
      </c>
      <c r="E394" s="19">
        <f>IF('Ram - Digital ToDo'!Q394="Escalate to call","CALL NOW",IF('Ram - Digital ToDo'!N394="Bad contact","CALL NOW (digital failed)","Ram is handling - no action"))</f>
        <v/>
      </c>
      <c r="F394" s="19">
        <f>IF(E394="Ram is handling - no action","No action needed",IF(M394="","CALL 1: ring candidate, offer to book on call (Playbook C1)",IF(OR(M394="Scheduled on call",M394="Booked on their behalf"),"DONE: scheduled on call",IF(M394="Not interested/Declined","CLOSED: candidate declined (log + tell lead)",IF(N394="","CALL 2: final attempt (Playbook C2)",IF(OR(N394="Scheduled on call",N394="Booked on their behalf"),"DONE: scheduled on call",IF(N394="Escalate to AM","ESCALATED TO LEAD","Review")))))))</f>
        <v/>
      </c>
      <c r="G394" s="20">
        <f>IF(E394="Ram is handling - no action","",IF(M394="",B394+6/24,IF(AND(M394&lt;&gt;"Scheduled on call",M394&lt;&gt;"Booked on their behalf",M394&lt;&gt;"Not interested/Declined",N394=""),B394+20/24,"")))</f>
        <v/>
      </c>
      <c r="H394" s="19" t="inlineStr">
        <is>
          <t>Chetan</t>
        </is>
      </c>
      <c r="I394" s="19" t="inlineStr">
        <is>
          <t>Google</t>
        </is>
      </c>
      <c r="J394" s="19" t="inlineStr">
        <is>
          <t>Round1</t>
        </is>
      </c>
      <c r="K394" s="22" t="inlineStr">
        <is>
          <t>+91 9920264452</t>
        </is>
      </c>
      <c r="L394" s="19" t="inlineStr">
        <is>
          <t>&lt;calendly_link&gt;</t>
        </is>
      </c>
      <c r="M394" s="19" t="n"/>
      <c r="N394" s="19" t="n"/>
      <c r="O394" s="19">
        <f>IF(OR(M394="Scheduled on call",M394="Booked on their behalf",N394="Scheduled on call",N394="Booked on their behalf"),"SCHEDULED (call)",IF(OR(M394="Not interested/Declined",N394="Not interested/Declined"),"DECLINED",IF(N394="Escalate to AM","ESCALATED TO LEAD",IF(E394="Ram is handling - no action","N/A",IF(M394="","PENDING CALL 1","IN PROGRESS")))))</f>
        <v/>
      </c>
      <c r="P394" s="19">
        <f>IF(OR('Ram - Digital ToDo'!O394="Scheduled",'Ram - Digital ToDo'!Q394="Scheduled"),"Scheduled within SLA (self-serve)",IF(OR(M394="Scheduled on call",M394="Booked on their behalf",N394="Scheduled on call",N394="Booked on their behalf"),"Scheduled within SLA (call)",IF(OR(M394="Not interested/Declined",N394="Not interested/Declined"),"Declined",IF(N394="Escalate to AM","SLA breach - unresolved","In progress"))))</f>
        <v/>
      </c>
      <c r="Q394" s="19" t="n"/>
    </row>
    <row r="395">
      <c r="A395" s="19" t="inlineStr">
        <is>
          <t>REQ-0394</t>
        </is>
      </c>
      <c r="B395" s="20" t="n">
        <v>44867.82708333333</v>
      </c>
      <c r="C395" s="20">
        <f>B395+1</f>
        <v/>
      </c>
      <c r="D395" s="21">
        <f>(C395-NOW())*24</f>
        <v/>
      </c>
      <c r="E395" s="19">
        <f>IF('Ram - Digital ToDo'!Q395="Escalate to call","CALL NOW",IF('Ram - Digital ToDo'!N395="Bad contact","CALL NOW (digital failed)","Ram is handling - no action"))</f>
        <v/>
      </c>
      <c r="F395" s="19">
        <f>IF(E395="Ram is handling - no action","No action needed",IF(M395="","CALL 1: ring candidate, offer to book on call (Playbook C1)",IF(OR(M395="Scheduled on call",M395="Booked on their behalf"),"DONE: scheduled on call",IF(M395="Not interested/Declined","CLOSED: candidate declined (log + tell lead)",IF(N395="","CALL 2: final attempt (Playbook C2)",IF(OR(N395="Scheduled on call",N395="Booked on their behalf"),"DONE: scheduled on call",IF(N395="Escalate to AM","ESCALATED TO LEAD","Review")))))))</f>
        <v/>
      </c>
      <c r="G395" s="20">
        <f>IF(E395="Ram is handling - no action","",IF(M395="",B395+6/24,IF(AND(M395&lt;&gt;"Scheduled on call",M395&lt;&gt;"Booked on their behalf",M395&lt;&gt;"Not interested/Declined",N395=""),B395+20/24,"")))</f>
        <v/>
      </c>
      <c r="H395" s="19" t="inlineStr">
        <is>
          <t>Chetan</t>
        </is>
      </c>
      <c r="I395" s="19" t="inlineStr">
        <is>
          <t>Google</t>
        </is>
      </c>
      <c r="J395" s="19" t="inlineStr">
        <is>
          <t>Round1</t>
        </is>
      </c>
      <c r="K395" s="22" t="inlineStr">
        <is>
          <t>+91 9920264452</t>
        </is>
      </c>
      <c r="L395" s="19" t="inlineStr">
        <is>
          <t>&lt;calendly_link&gt;</t>
        </is>
      </c>
      <c r="M395" s="19" t="n"/>
      <c r="N395" s="19" t="n"/>
      <c r="O395" s="19">
        <f>IF(OR(M395="Scheduled on call",M395="Booked on their behalf",N395="Scheduled on call",N395="Booked on their behalf"),"SCHEDULED (call)",IF(OR(M395="Not interested/Declined",N395="Not interested/Declined"),"DECLINED",IF(N395="Escalate to AM","ESCALATED TO LEAD",IF(E395="Ram is handling - no action","N/A",IF(M395="","PENDING CALL 1","IN PROGRESS")))))</f>
        <v/>
      </c>
      <c r="P395" s="19">
        <f>IF(OR('Ram - Digital ToDo'!O395="Scheduled",'Ram - Digital ToDo'!Q395="Scheduled"),"Scheduled within SLA (self-serve)",IF(OR(M395="Scheduled on call",M395="Booked on their behalf",N395="Scheduled on call",N395="Booked on their behalf"),"Scheduled within SLA (call)",IF(OR(M395="Not interested/Declined",N395="Not interested/Declined"),"Declined",IF(N395="Escalate to AM","SLA breach - unresolved","In progress"))))</f>
        <v/>
      </c>
      <c r="Q395" s="19" t="n"/>
    </row>
    <row r="396">
      <c r="A396" s="19" t="inlineStr">
        <is>
          <t>REQ-0395</t>
        </is>
      </c>
      <c r="B396" s="20" t="n">
        <v>44867.82708333333</v>
      </c>
      <c r="C396" s="20">
        <f>B396+1</f>
        <v/>
      </c>
      <c r="D396" s="21">
        <f>(C396-NOW())*24</f>
        <v/>
      </c>
      <c r="E396" s="19">
        <f>IF('Ram - Digital ToDo'!Q396="Escalate to call","CALL NOW",IF('Ram - Digital ToDo'!N396="Bad contact","CALL NOW (digital failed)","Ram is handling - no action"))</f>
        <v/>
      </c>
      <c r="F396" s="19">
        <f>IF(E396="Ram is handling - no action","No action needed",IF(M396="","CALL 1: ring candidate, offer to book on call (Playbook C1)",IF(OR(M396="Scheduled on call",M396="Booked on their behalf"),"DONE: scheduled on call",IF(M396="Not interested/Declined","CLOSED: candidate declined (log + tell lead)",IF(N396="","CALL 2: final attempt (Playbook C2)",IF(OR(N396="Scheduled on call",N396="Booked on their behalf"),"DONE: scheduled on call",IF(N396="Escalate to AM","ESCALATED TO LEAD","Review")))))))</f>
        <v/>
      </c>
      <c r="G396" s="20">
        <f>IF(E396="Ram is handling - no action","",IF(M396="",B396+6/24,IF(AND(M396&lt;&gt;"Scheduled on call",M396&lt;&gt;"Booked on their behalf",M396&lt;&gt;"Not interested/Declined",N396=""),B396+20/24,"")))</f>
        <v/>
      </c>
      <c r="H396" s="19" t="inlineStr">
        <is>
          <t>Chetan</t>
        </is>
      </c>
      <c r="I396" s="19" t="inlineStr">
        <is>
          <t>Google</t>
        </is>
      </c>
      <c r="J396" s="19" t="inlineStr">
        <is>
          <t>Round1</t>
        </is>
      </c>
      <c r="K396" s="22" t="inlineStr">
        <is>
          <t>+91 9920264452</t>
        </is>
      </c>
      <c r="L396" s="19" t="inlineStr">
        <is>
          <t>&lt;calendly_link&gt;</t>
        </is>
      </c>
      <c r="M396" s="19" t="n"/>
      <c r="N396" s="19" t="n"/>
      <c r="O396" s="19">
        <f>IF(OR(M396="Scheduled on call",M396="Booked on their behalf",N396="Scheduled on call",N396="Booked on their behalf"),"SCHEDULED (call)",IF(OR(M396="Not interested/Declined",N396="Not interested/Declined"),"DECLINED",IF(N396="Escalate to AM","ESCALATED TO LEAD",IF(E396="Ram is handling - no action","N/A",IF(M396="","PENDING CALL 1","IN PROGRESS")))))</f>
        <v/>
      </c>
      <c r="P396" s="19">
        <f>IF(OR('Ram - Digital ToDo'!O396="Scheduled",'Ram - Digital ToDo'!Q396="Scheduled"),"Scheduled within SLA (self-serve)",IF(OR(M396="Scheduled on call",M396="Booked on their behalf",N396="Scheduled on call",N396="Booked on their behalf"),"Scheduled within SLA (call)",IF(OR(M396="Not interested/Declined",N396="Not interested/Declined"),"Declined",IF(N396="Escalate to AM","SLA breach - unresolved","In progress"))))</f>
        <v/>
      </c>
      <c r="Q396" s="19" t="n"/>
    </row>
    <row r="397">
      <c r="A397" s="19" t="inlineStr">
        <is>
          <t>REQ-0396</t>
        </is>
      </c>
      <c r="B397" s="20" t="n">
        <v>44867.82708333333</v>
      </c>
      <c r="C397" s="20">
        <f>B397+1</f>
        <v/>
      </c>
      <c r="D397" s="21">
        <f>(C397-NOW())*24</f>
        <v/>
      </c>
      <c r="E397" s="19">
        <f>IF('Ram - Digital ToDo'!Q397="Escalate to call","CALL NOW",IF('Ram - Digital ToDo'!N397="Bad contact","CALL NOW (digital failed)","Ram is handling - no action"))</f>
        <v/>
      </c>
      <c r="F397" s="19">
        <f>IF(E397="Ram is handling - no action","No action needed",IF(M397="","CALL 1: ring candidate, offer to book on call (Playbook C1)",IF(OR(M397="Scheduled on call",M397="Booked on their behalf"),"DONE: scheduled on call",IF(M397="Not interested/Declined","CLOSED: candidate declined (log + tell lead)",IF(N397="","CALL 2: final attempt (Playbook C2)",IF(OR(N397="Scheduled on call",N397="Booked on their behalf"),"DONE: scheduled on call",IF(N397="Escalate to AM","ESCALATED TO LEAD","Review")))))))</f>
        <v/>
      </c>
      <c r="G397" s="20">
        <f>IF(E397="Ram is handling - no action","",IF(M397="",B397+6/24,IF(AND(M397&lt;&gt;"Scheduled on call",M397&lt;&gt;"Booked on their behalf",M397&lt;&gt;"Not interested/Declined",N397=""),B397+20/24,"")))</f>
        <v/>
      </c>
      <c r="H397" s="19" t="inlineStr">
        <is>
          <t>Chetan</t>
        </is>
      </c>
      <c r="I397" s="19" t="inlineStr">
        <is>
          <t>Google</t>
        </is>
      </c>
      <c r="J397" s="19" t="inlineStr">
        <is>
          <t>Round1</t>
        </is>
      </c>
      <c r="K397" s="22" t="inlineStr">
        <is>
          <t>+91 9920264452</t>
        </is>
      </c>
      <c r="L397" s="19" t="inlineStr">
        <is>
          <t>&lt;calendly_link&gt;</t>
        </is>
      </c>
      <c r="M397" s="19" t="n"/>
      <c r="N397" s="19" t="n"/>
      <c r="O397" s="19">
        <f>IF(OR(M397="Scheduled on call",M397="Booked on their behalf",N397="Scheduled on call",N397="Booked on their behalf"),"SCHEDULED (call)",IF(OR(M397="Not interested/Declined",N397="Not interested/Declined"),"DECLINED",IF(N397="Escalate to AM","ESCALATED TO LEAD",IF(E397="Ram is handling - no action","N/A",IF(M397="","PENDING CALL 1","IN PROGRESS")))))</f>
        <v/>
      </c>
      <c r="P397" s="19">
        <f>IF(OR('Ram - Digital ToDo'!O397="Scheduled",'Ram - Digital ToDo'!Q397="Scheduled"),"Scheduled within SLA (self-serve)",IF(OR(M397="Scheduled on call",M397="Booked on their behalf",N397="Scheduled on call",N397="Booked on their behalf"),"Scheduled within SLA (call)",IF(OR(M397="Not interested/Declined",N397="Not interested/Declined"),"Declined",IF(N397="Escalate to AM","SLA breach - unresolved","In progress"))))</f>
        <v/>
      </c>
      <c r="Q397" s="19" t="n"/>
    </row>
    <row r="398">
      <c r="A398" s="19" t="inlineStr">
        <is>
          <t>REQ-0397</t>
        </is>
      </c>
      <c r="B398" s="20" t="n">
        <v>44867.82708333333</v>
      </c>
      <c r="C398" s="20">
        <f>B398+1</f>
        <v/>
      </c>
      <c r="D398" s="21">
        <f>(C398-NOW())*24</f>
        <v/>
      </c>
      <c r="E398" s="19">
        <f>IF('Ram - Digital ToDo'!Q398="Escalate to call","CALL NOW",IF('Ram - Digital ToDo'!N398="Bad contact","CALL NOW (digital failed)","Ram is handling - no action"))</f>
        <v/>
      </c>
      <c r="F398" s="19">
        <f>IF(E398="Ram is handling - no action","No action needed",IF(M398="","CALL 1: ring candidate, offer to book on call (Playbook C1)",IF(OR(M398="Scheduled on call",M398="Booked on their behalf"),"DONE: scheduled on call",IF(M398="Not interested/Declined","CLOSED: candidate declined (log + tell lead)",IF(N398="","CALL 2: final attempt (Playbook C2)",IF(OR(N398="Scheduled on call",N398="Booked on their behalf"),"DONE: scheduled on call",IF(N398="Escalate to AM","ESCALATED TO LEAD","Review")))))))</f>
        <v/>
      </c>
      <c r="G398" s="20">
        <f>IF(E398="Ram is handling - no action","",IF(M398="",B398+6/24,IF(AND(M398&lt;&gt;"Scheduled on call",M398&lt;&gt;"Booked on their behalf",M398&lt;&gt;"Not interested/Declined",N398=""),B398+20/24,"")))</f>
        <v/>
      </c>
      <c r="H398" s="19" t="inlineStr">
        <is>
          <t>Chetan</t>
        </is>
      </c>
      <c r="I398" s="19" t="inlineStr">
        <is>
          <t>Google</t>
        </is>
      </c>
      <c r="J398" s="19" t="inlineStr">
        <is>
          <t>Round1</t>
        </is>
      </c>
      <c r="K398" s="22" t="inlineStr">
        <is>
          <t>+91 9920264452</t>
        </is>
      </c>
      <c r="L398" s="19" t="inlineStr">
        <is>
          <t>&lt;calendly_link&gt;</t>
        </is>
      </c>
      <c r="M398" s="19" t="n"/>
      <c r="N398" s="19" t="n"/>
      <c r="O398" s="19">
        <f>IF(OR(M398="Scheduled on call",M398="Booked on their behalf",N398="Scheduled on call",N398="Booked on their behalf"),"SCHEDULED (call)",IF(OR(M398="Not interested/Declined",N398="Not interested/Declined"),"DECLINED",IF(N398="Escalate to AM","ESCALATED TO LEAD",IF(E398="Ram is handling - no action","N/A",IF(M398="","PENDING CALL 1","IN PROGRESS")))))</f>
        <v/>
      </c>
      <c r="P398" s="19">
        <f>IF(OR('Ram - Digital ToDo'!O398="Scheduled",'Ram - Digital ToDo'!Q398="Scheduled"),"Scheduled within SLA (self-serve)",IF(OR(M398="Scheduled on call",M398="Booked on their behalf",N398="Scheduled on call",N398="Booked on their behalf"),"Scheduled within SLA (call)",IF(OR(M398="Not interested/Declined",N398="Not interested/Declined"),"Declined",IF(N398="Escalate to AM","SLA breach - unresolved","In progress"))))</f>
        <v/>
      </c>
      <c r="Q398" s="19" t="n"/>
    </row>
    <row r="399">
      <c r="A399" s="19" t="inlineStr">
        <is>
          <t>REQ-0398</t>
        </is>
      </c>
      <c r="B399" s="20" t="n">
        <v>44867.82708333333</v>
      </c>
      <c r="C399" s="20">
        <f>B399+1</f>
        <v/>
      </c>
      <c r="D399" s="21">
        <f>(C399-NOW())*24</f>
        <v/>
      </c>
      <c r="E399" s="19">
        <f>IF('Ram - Digital ToDo'!Q399="Escalate to call","CALL NOW",IF('Ram - Digital ToDo'!N399="Bad contact","CALL NOW (digital failed)","Ram is handling - no action"))</f>
        <v/>
      </c>
      <c r="F399" s="19">
        <f>IF(E399="Ram is handling - no action","No action needed",IF(M399="","CALL 1: ring candidate, offer to book on call (Playbook C1)",IF(OR(M399="Scheduled on call",M399="Booked on their behalf"),"DONE: scheduled on call",IF(M399="Not interested/Declined","CLOSED: candidate declined (log + tell lead)",IF(N399="","CALL 2: final attempt (Playbook C2)",IF(OR(N399="Scheduled on call",N399="Booked on their behalf"),"DONE: scheduled on call",IF(N399="Escalate to AM","ESCALATED TO LEAD","Review")))))))</f>
        <v/>
      </c>
      <c r="G399" s="20">
        <f>IF(E399="Ram is handling - no action","",IF(M399="",B399+6/24,IF(AND(M399&lt;&gt;"Scheduled on call",M399&lt;&gt;"Booked on their behalf",M399&lt;&gt;"Not interested/Declined",N399=""),B399+20/24,"")))</f>
        <v/>
      </c>
      <c r="H399" s="19" t="inlineStr">
        <is>
          <t>Chetan</t>
        </is>
      </c>
      <c r="I399" s="19" t="inlineStr">
        <is>
          <t>Google</t>
        </is>
      </c>
      <c r="J399" s="19" t="inlineStr">
        <is>
          <t>Round1</t>
        </is>
      </c>
      <c r="K399" s="22" t="inlineStr">
        <is>
          <t>+91 9920264452</t>
        </is>
      </c>
      <c r="L399" s="19" t="inlineStr">
        <is>
          <t>&lt;calendly_link&gt;</t>
        </is>
      </c>
      <c r="M399" s="19" t="n"/>
      <c r="N399" s="19" t="n"/>
      <c r="O399" s="19">
        <f>IF(OR(M399="Scheduled on call",M399="Booked on their behalf",N399="Scheduled on call",N399="Booked on their behalf"),"SCHEDULED (call)",IF(OR(M399="Not interested/Declined",N399="Not interested/Declined"),"DECLINED",IF(N399="Escalate to AM","ESCALATED TO LEAD",IF(E399="Ram is handling - no action","N/A",IF(M399="","PENDING CALL 1","IN PROGRESS")))))</f>
        <v/>
      </c>
      <c r="P399" s="19">
        <f>IF(OR('Ram - Digital ToDo'!O399="Scheduled",'Ram - Digital ToDo'!Q399="Scheduled"),"Scheduled within SLA (self-serve)",IF(OR(M399="Scheduled on call",M399="Booked on their behalf",N399="Scheduled on call",N399="Booked on their behalf"),"Scheduled within SLA (call)",IF(OR(M399="Not interested/Declined",N399="Not interested/Declined"),"Declined",IF(N399="Escalate to AM","SLA breach - unresolved","In progress"))))</f>
        <v/>
      </c>
      <c r="Q399" s="19" t="n"/>
    </row>
    <row r="400">
      <c r="A400" s="19" t="inlineStr">
        <is>
          <t>REQ-0399</t>
        </is>
      </c>
      <c r="B400" s="20" t="n">
        <v>44867.82708333333</v>
      </c>
      <c r="C400" s="20">
        <f>B400+1</f>
        <v/>
      </c>
      <c r="D400" s="21">
        <f>(C400-NOW())*24</f>
        <v/>
      </c>
      <c r="E400" s="19">
        <f>IF('Ram - Digital ToDo'!Q400="Escalate to call","CALL NOW",IF('Ram - Digital ToDo'!N400="Bad contact","CALL NOW (digital failed)","Ram is handling - no action"))</f>
        <v/>
      </c>
      <c r="F400" s="19">
        <f>IF(E400="Ram is handling - no action","No action needed",IF(M400="","CALL 1: ring candidate, offer to book on call (Playbook C1)",IF(OR(M400="Scheduled on call",M400="Booked on their behalf"),"DONE: scheduled on call",IF(M400="Not interested/Declined","CLOSED: candidate declined (log + tell lead)",IF(N400="","CALL 2: final attempt (Playbook C2)",IF(OR(N400="Scheduled on call",N400="Booked on their behalf"),"DONE: scheduled on call",IF(N400="Escalate to AM","ESCALATED TO LEAD","Review")))))))</f>
        <v/>
      </c>
      <c r="G400" s="20">
        <f>IF(E400="Ram is handling - no action","",IF(M400="",B400+6/24,IF(AND(M400&lt;&gt;"Scheduled on call",M400&lt;&gt;"Booked on their behalf",M400&lt;&gt;"Not interested/Declined",N400=""),B400+20/24,"")))</f>
        <v/>
      </c>
      <c r="H400" s="19" t="inlineStr">
        <is>
          <t>Chetan</t>
        </is>
      </c>
      <c r="I400" s="19" t="inlineStr">
        <is>
          <t>Google</t>
        </is>
      </c>
      <c r="J400" s="19" t="inlineStr">
        <is>
          <t>Round1</t>
        </is>
      </c>
      <c r="K400" s="22" t="inlineStr">
        <is>
          <t>+91 9920264452</t>
        </is>
      </c>
      <c r="L400" s="19" t="inlineStr">
        <is>
          <t>&lt;calendly_link&gt;</t>
        </is>
      </c>
      <c r="M400" s="19" t="n"/>
      <c r="N400" s="19" t="n"/>
      <c r="O400" s="19">
        <f>IF(OR(M400="Scheduled on call",M400="Booked on their behalf",N400="Scheduled on call",N400="Booked on their behalf"),"SCHEDULED (call)",IF(OR(M400="Not interested/Declined",N400="Not interested/Declined"),"DECLINED",IF(N400="Escalate to AM","ESCALATED TO LEAD",IF(E400="Ram is handling - no action","N/A",IF(M400="","PENDING CALL 1","IN PROGRESS")))))</f>
        <v/>
      </c>
      <c r="P400" s="19">
        <f>IF(OR('Ram - Digital ToDo'!O400="Scheduled",'Ram - Digital ToDo'!Q400="Scheduled"),"Scheduled within SLA (self-serve)",IF(OR(M400="Scheduled on call",M400="Booked on their behalf",N400="Scheduled on call",N400="Booked on their behalf"),"Scheduled within SLA (call)",IF(OR(M400="Not interested/Declined",N400="Not interested/Declined"),"Declined",IF(N400="Escalate to AM","SLA breach - unresolved","In progress"))))</f>
        <v/>
      </c>
      <c r="Q400" s="19" t="n"/>
    </row>
    <row r="401">
      <c r="A401" s="19" t="inlineStr">
        <is>
          <t>REQ-0400</t>
        </is>
      </c>
      <c r="B401" s="20" t="n">
        <v>44867.82708333333</v>
      </c>
      <c r="C401" s="20">
        <f>B401+1</f>
        <v/>
      </c>
      <c r="D401" s="21">
        <f>(C401-NOW())*24</f>
        <v/>
      </c>
      <c r="E401" s="19">
        <f>IF('Ram - Digital ToDo'!Q401="Escalate to call","CALL NOW",IF('Ram - Digital ToDo'!N401="Bad contact","CALL NOW (digital failed)","Ram is handling - no action"))</f>
        <v/>
      </c>
      <c r="F401" s="19">
        <f>IF(E401="Ram is handling - no action","No action needed",IF(M401="","CALL 1: ring candidate, offer to book on call (Playbook C1)",IF(OR(M401="Scheduled on call",M401="Booked on their behalf"),"DONE: scheduled on call",IF(M401="Not interested/Declined","CLOSED: candidate declined (log + tell lead)",IF(N401="","CALL 2: final attempt (Playbook C2)",IF(OR(N401="Scheduled on call",N401="Booked on their behalf"),"DONE: scheduled on call",IF(N401="Escalate to AM","ESCALATED TO LEAD","Review")))))))</f>
        <v/>
      </c>
      <c r="G401" s="20">
        <f>IF(E401="Ram is handling - no action","",IF(M401="",B401+6/24,IF(AND(M401&lt;&gt;"Scheduled on call",M401&lt;&gt;"Booked on their behalf",M401&lt;&gt;"Not interested/Declined",N401=""),B401+20/24,"")))</f>
        <v/>
      </c>
      <c r="H401" s="19" t="inlineStr">
        <is>
          <t>Chetan</t>
        </is>
      </c>
      <c r="I401" s="19" t="inlineStr">
        <is>
          <t>Google</t>
        </is>
      </c>
      <c r="J401" s="19" t="inlineStr">
        <is>
          <t>Round1</t>
        </is>
      </c>
      <c r="K401" s="22" t="inlineStr">
        <is>
          <t>+91 9920264452</t>
        </is>
      </c>
      <c r="L401" s="19" t="inlineStr">
        <is>
          <t>&lt;calendly_link&gt;</t>
        </is>
      </c>
      <c r="M401" s="19" t="n"/>
      <c r="N401" s="19" t="n"/>
      <c r="O401" s="19">
        <f>IF(OR(M401="Scheduled on call",M401="Booked on their behalf",N401="Scheduled on call",N401="Booked on their behalf"),"SCHEDULED (call)",IF(OR(M401="Not interested/Declined",N401="Not interested/Declined"),"DECLINED",IF(N401="Escalate to AM","ESCALATED TO LEAD",IF(E401="Ram is handling - no action","N/A",IF(M401="","PENDING CALL 1","IN PROGRESS")))))</f>
        <v/>
      </c>
      <c r="P401" s="19">
        <f>IF(OR('Ram - Digital ToDo'!O401="Scheduled",'Ram - Digital ToDo'!Q401="Scheduled"),"Scheduled within SLA (self-serve)",IF(OR(M401="Scheduled on call",M401="Booked on their behalf",N401="Scheduled on call",N401="Booked on their behalf"),"Scheduled within SLA (call)",IF(OR(M401="Not interested/Declined",N401="Not interested/Declined"),"Declined",IF(N401="Escalate to AM","SLA breach - unresolved","In progress"))))</f>
        <v/>
      </c>
      <c r="Q401" s="19" t="n"/>
    </row>
    <row r="402">
      <c r="A402" s="19" t="inlineStr">
        <is>
          <t>REQ-0401</t>
        </is>
      </c>
      <c r="B402" s="20" t="n">
        <v>44867.82708333333</v>
      </c>
      <c r="C402" s="20">
        <f>B402+1</f>
        <v/>
      </c>
      <c r="D402" s="21">
        <f>(C402-NOW())*24</f>
        <v/>
      </c>
      <c r="E402" s="19">
        <f>IF('Ram - Digital ToDo'!Q402="Escalate to call","CALL NOW",IF('Ram - Digital ToDo'!N402="Bad contact","CALL NOW (digital failed)","Ram is handling - no action"))</f>
        <v/>
      </c>
      <c r="F402" s="19">
        <f>IF(E402="Ram is handling - no action","No action needed",IF(M402="","CALL 1: ring candidate, offer to book on call (Playbook C1)",IF(OR(M402="Scheduled on call",M402="Booked on their behalf"),"DONE: scheduled on call",IF(M402="Not interested/Declined","CLOSED: candidate declined (log + tell lead)",IF(N402="","CALL 2: final attempt (Playbook C2)",IF(OR(N402="Scheduled on call",N402="Booked on their behalf"),"DONE: scheduled on call",IF(N402="Escalate to AM","ESCALATED TO LEAD","Review")))))))</f>
        <v/>
      </c>
      <c r="G402" s="20">
        <f>IF(E402="Ram is handling - no action","",IF(M402="",B402+6/24,IF(AND(M402&lt;&gt;"Scheduled on call",M402&lt;&gt;"Booked on their behalf",M402&lt;&gt;"Not interested/Declined",N402=""),B402+20/24,"")))</f>
        <v/>
      </c>
      <c r="H402" s="19" t="inlineStr">
        <is>
          <t>Chetan</t>
        </is>
      </c>
      <c r="I402" s="19" t="inlineStr">
        <is>
          <t>Google</t>
        </is>
      </c>
      <c r="J402" s="19" t="inlineStr">
        <is>
          <t>Round1</t>
        </is>
      </c>
      <c r="K402" s="22" t="inlineStr">
        <is>
          <t>+91 9920264452</t>
        </is>
      </c>
      <c r="L402" s="19" t="inlineStr">
        <is>
          <t>&lt;calendly_link&gt;</t>
        </is>
      </c>
      <c r="M402" s="19" t="n"/>
      <c r="N402" s="19" t="n"/>
      <c r="O402" s="19">
        <f>IF(OR(M402="Scheduled on call",M402="Booked on their behalf",N402="Scheduled on call",N402="Booked on their behalf"),"SCHEDULED (call)",IF(OR(M402="Not interested/Declined",N402="Not interested/Declined"),"DECLINED",IF(N402="Escalate to AM","ESCALATED TO LEAD",IF(E402="Ram is handling - no action","N/A",IF(M402="","PENDING CALL 1","IN PROGRESS")))))</f>
        <v/>
      </c>
      <c r="P402" s="19">
        <f>IF(OR('Ram - Digital ToDo'!O402="Scheduled",'Ram - Digital ToDo'!Q402="Scheduled"),"Scheduled within SLA (self-serve)",IF(OR(M402="Scheduled on call",M402="Booked on their behalf",N402="Scheduled on call",N402="Booked on their behalf"),"Scheduled within SLA (call)",IF(OR(M402="Not interested/Declined",N402="Not interested/Declined"),"Declined",IF(N402="Escalate to AM","SLA breach - unresolved","In progress"))))</f>
        <v/>
      </c>
      <c r="Q402" s="19" t="n"/>
    </row>
    <row r="403">
      <c r="A403" s="19" t="inlineStr">
        <is>
          <t>REQ-0402</t>
        </is>
      </c>
      <c r="B403" s="20" t="n">
        <v>44867.82708333333</v>
      </c>
      <c r="C403" s="20">
        <f>B403+1</f>
        <v/>
      </c>
      <c r="D403" s="21">
        <f>(C403-NOW())*24</f>
        <v/>
      </c>
      <c r="E403" s="19">
        <f>IF('Ram - Digital ToDo'!Q403="Escalate to call","CALL NOW",IF('Ram - Digital ToDo'!N403="Bad contact","CALL NOW (digital failed)","Ram is handling - no action"))</f>
        <v/>
      </c>
      <c r="F403" s="19">
        <f>IF(E403="Ram is handling - no action","No action needed",IF(M403="","CALL 1: ring candidate, offer to book on call (Playbook C1)",IF(OR(M403="Scheduled on call",M403="Booked on their behalf"),"DONE: scheduled on call",IF(M403="Not interested/Declined","CLOSED: candidate declined (log + tell lead)",IF(N403="","CALL 2: final attempt (Playbook C2)",IF(OR(N403="Scheduled on call",N403="Booked on their behalf"),"DONE: scheduled on call",IF(N403="Escalate to AM","ESCALATED TO LEAD","Review")))))))</f>
        <v/>
      </c>
      <c r="G403" s="20">
        <f>IF(E403="Ram is handling - no action","",IF(M403="",B403+6/24,IF(AND(M403&lt;&gt;"Scheduled on call",M403&lt;&gt;"Booked on their behalf",M403&lt;&gt;"Not interested/Declined",N403=""),B403+20/24,"")))</f>
        <v/>
      </c>
      <c r="H403" s="19" t="inlineStr">
        <is>
          <t>Chetan</t>
        </is>
      </c>
      <c r="I403" s="19" t="inlineStr">
        <is>
          <t>Google</t>
        </is>
      </c>
      <c r="J403" s="19" t="inlineStr">
        <is>
          <t>Round1</t>
        </is>
      </c>
      <c r="K403" s="22" t="inlineStr">
        <is>
          <t>+91 9920264452</t>
        </is>
      </c>
      <c r="L403" s="19" t="inlineStr">
        <is>
          <t>&lt;calendly_link&gt;</t>
        </is>
      </c>
      <c r="M403" s="19" t="n"/>
      <c r="N403" s="19" t="n"/>
      <c r="O403" s="19">
        <f>IF(OR(M403="Scheduled on call",M403="Booked on their behalf",N403="Scheduled on call",N403="Booked on their behalf"),"SCHEDULED (call)",IF(OR(M403="Not interested/Declined",N403="Not interested/Declined"),"DECLINED",IF(N403="Escalate to AM","ESCALATED TO LEAD",IF(E403="Ram is handling - no action","N/A",IF(M403="","PENDING CALL 1","IN PROGRESS")))))</f>
        <v/>
      </c>
      <c r="P403" s="19">
        <f>IF(OR('Ram - Digital ToDo'!O403="Scheduled",'Ram - Digital ToDo'!Q403="Scheduled"),"Scheduled within SLA (self-serve)",IF(OR(M403="Scheduled on call",M403="Booked on their behalf",N403="Scheduled on call",N403="Booked on their behalf"),"Scheduled within SLA (call)",IF(OR(M403="Not interested/Declined",N403="Not interested/Declined"),"Declined",IF(N403="Escalate to AM","SLA breach - unresolved","In progress"))))</f>
        <v/>
      </c>
      <c r="Q403" s="19" t="n"/>
    </row>
    <row r="404">
      <c r="A404" s="19" t="inlineStr">
        <is>
          <t>REQ-0403</t>
        </is>
      </c>
      <c r="B404" s="20" t="n">
        <v>44867.82708333333</v>
      </c>
      <c r="C404" s="20">
        <f>B404+1</f>
        <v/>
      </c>
      <c r="D404" s="21">
        <f>(C404-NOW())*24</f>
        <v/>
      </c>
      <c r="E404" s="19">
        <f>IF('Ram - Digital ToDo'!Q404="Escalate to call","CALL NOW",IF('Ram - Digital ToDo'!N404="Bad contact","CALL NOW (digital failed)","Ram is handling - no action"))</f>
        <v/>
      </c>
      <c r="F404" s="19">
        <f>IF(E404="Ram is handling - no action","No action needed",IF(M404="","CALL 1: ring candidate, offer to book on call (Playbook C1)",IF(OR(M404="Scheduled on call",M404="Booked on their behalf"),"DONE: scheduled on call",IF(M404="Not interested/Declined","CLOSED: candidate declined (log + tell lead)",IF(N404="","CALL 2: final attempt (Playbook C2)",IF(OR(N404="Scheduled on call",N404="Booked on their behalf"),"DONE: scheduled on call",IF(N404="Escalate to AM","ESCALATED TO LEAD","Review")))))))</f>
        <v/>
      </c>
      <c r="G404" s="20">
        <f>IF(E404="Ram is handling - no action","",IF(M404="",B404+6/24,IF(AND(M404&lt;&gt;"Scheduled on call",M404&lt;&gt;"Booked on their behalf",M404&lt;&gt;"Not interested/Declined",N404=""),B404+20/24,"")))</f>
        <v/>
      </c>
      <c r="H404" s="19" t="inlineStr">
        <is>
          <t>Chetan</t>
        </is>
      </c>
      <c r="I404" s="19" t="inlineStr">
        <is>
          <t>Google</t>
        </is>
      </c>
      <c r="J404" s="19" t="inlineStr">
        <is>
          <t>Round1</t>
        </is>
      </c>
      <c r="K404" s="22" t="inlineStr">
        <is>
          <t>+91 9920264452</t>
        </is>
      </c>
      <c r="L404" s="19" t="inlineStr">
        <is>
          <t>&lt;calendly_link&gt;</t>
        </is>
      </c>
      <c r="M404" s="19" t="n"/>
      <c r="N404" s="19" t="n"/>
      <c r="O404" s="19">
        <f>IF(OR(M404="Scheduled on call",M404="Booked on their behalf",N404="Scheduled on call",N404="Booked on their behalf"),"SCHEDULED (call)",IF(OR(M404="Not interested/Declined",N404="Not interested/Declined"),"DECLINED",IF(N404="Escalate to AM","ESCALATED TO LEAD",IF(E404="Ram is handling - no action","N/A",IF(M404="","PENDING CALL 1","IN PROGRESS")))))</f>
        <v/>
      </c>
      <c r="P404" s="19">
        <f>IF(OR('Ram - Digital ToDo'!O404="Scheduled",'Ram - Digital ToDo'!Q404="Scheduled"),"Scheduled within SLA (self-serve)",IF(OR(M404="Scheduled on call",M404="Booked on their behalf",N404="Scheduled on call",N404="Booked on their behalf"),"Scheduled within SLA (call)",IF(OR(M404="Not interested/Declined",N404="Not interested/Declined"),"Declined",IF(N404="Escalate to AM","SLA breach - unresolved","In progress"))))</f>
        <v/>
      </c>
      <c r="Q404" s="19" t="n"/>
    </row>
    <row r="405">
      <c r="A405" s="19" t="inlineStr">
        <is>
          <t>REQ-0404</t>
        </is>
      </c>
      <c r="B405" s="20" t="n">
        <v>44867.82708333333</v>
      </c>
      <c r="C405" s="20">
        <f>B405+1</f>
        <v/>
      </c>
      <c r="D405" s="21">
        <f>(C405-NOW())*24</f>
        <v/>
      </c>
      <c r="E405" s="19">
        <f>IF('Ram - Digital ToDo'!Q405="Escalate to call","CALL NOW",IF('Ram - Digital ToDo'!N405="Bad contact","CALL NOW (digital failed)","Ram is handling - no action"))</f>
        <v/>
      </c>
      <c r="F405" s="19">
        <f>IF(E405="Ram is handling - no action","No action needed",IF(M405="","CALL 1: ring candidate, offer to book on call (Playbook C1)",IF(OR(M405="Scheduled on call",M405="Booked on their behalf"),"DONE: scheduled on call",IF(M405="Not interested/Declined","CLOSED: candidate declined (log + tell lead)",IF(N405="","CALL 2: final attempt (Playbook C2)",IF(OR(N405="Scheduled on call",N405="Booked on their behalf"),"DONE: scheduled on call",IF(N405="Escalate to AM","ESCALATED TO LEAD","Review")))))))</f>
        <v/>
      </c>
      <c r="G405" s="20">
        <f>IF(E405="Ram is handling - no action","",IF(M405="",B405+6/24,IF(AND(M405&lt;&gt;"Scheduled on call",M405&lt;&gt;"Booked on their behalf",M405&lt;&gt;"Not interested/Declined",N405=""),B405+20/24,"")))</f>
        <v/>
      </c>
      <c r="H405" s="19" t="inlineStr">
        <is>
          <t>Chetan</t>
        </is>
      </c>
      <c r="I405" s="19" t="inlineStr">
        <is>
          <t>Google</t>
        </is>
      </c>
      <c r="J405" s="19" t="inlineStr">
        <is>
          <t>Round1</t>
        </is>
      </c>
      <c r="K405" s="22" t="inlineStr">
        <is>
          <t>+91 9920264452</t>
        </is>
      </c>
      <c r="L405" s="19" t="inlineStr">
        <is>
          <t>&lt;calendly_link&gt;</t>
        </is>
      </c>
      <c r="M405" s="19" t="n"/>
      <c r="N405" s="19" t="n"/>
      <c r="O405" s="19">
        <f>IF(OR(M405="Scheduled on call",M405="Booked on their behalf",N405="Scheduled on call",N405="Booked on their behalf"),"SCHEDULED (call)",IF(OR(M405="Not interested/Declined",N405="Not interested/Declined"),"DECLINED",IF(N405="Escalate to AM","ESCALATED TO LEAD",IF(E405="Ram is handling - no action","N/A",IF(M405="","PENDING CALL 1","IN PROGRESS")))))</f>
        <v/>
      </c>
      <c r="P405" s="19">
        <f>IF(OR('Ram - Digital ToDo'!O405="Scheduled",'Ram - Digital ToDo'!Q405="Scheduled"),"Scheduled within SLA (self-serve)",IF(OR(M405="Scheduled on call",M405="Booked on their behalf",N405="Scheduled on call",N405="Booked on their behalf"),"Scheduled within SLA (call)",IF(OR(M405="Not interested/Declined",N405="Not interested/Declined"),"Declined",IF(N405="Escalate to AM","SLA breach - unresolved","In progress"))))</f>
        <v/>
      </c>
      <c r="Q405" s="19" t="n"/>
    </row>
    <row r="406">
      <c r="A406" s="19" t="inlineStr">
        <is>
          <t>REQ-0405</t>
        </is>
      </c>
      <c r="B406" s="20" t="n">
        <v>44867.82708333333</v>
      </c>
      <c r="C406" s="20">
        <f>B406+1</f>
        <v/>
      </c>
      <c r="D406" s="21">
        <f>(C406-NOW())*24</f>
        <v/>
      </c>
      <c r="E406" s="19">
        <f>IF('Ram - Digital ToDo'!Q406="Escalate to call","CALL NOW",IF('Ram - Digital ToDo'!N406="Bad contact","CALL NOW (digital failed)","Ram is handling - no action"))</f>
        <v/>
      </c>
      <c r="F406" s="19">
        <f>IF(E406="Ram is handling - no action","No action needed",IF(M406="","CALL 1: ring candidate, offer to book on call (Playbook C1)",IF(OR(M406="Scheduled on call",M406="Booked on their behalf"),"DONE: scheduled on call",IF(M406="Not interested/Declined","CLOSED: candidate declined (log + tell lead)",IF(N406="","CALL 2: final attempt (Playbook C2)",IF(OR(N406="Scheduled on call",N406="Booked on their behalf"),"DONE: scheduled on call",IF(N406="Escalate to AM","ESCALATED TO LEAD","Review")))))))</f>
        <v/>
      </c>
      <c r="G406" s="20">
        <f>IF(E406="Ram is handling - no action","",IF(M406="",B406+6/24,IF(AND(M406&lt;&gt;"Scheduled on call",M406&lt;&gt;"Booked on their behalf",M406&lt;&gt;"Not interested/Declined",N406=""),B406+20/24,"")))</f>
        <v/>
      </c>
      <c r="H406" s="19" t="inlineStr">
        <is>
          <t>Chetan</t>
        </is>
      </c>
      <c r="I406" s="19" t="inlineStr">
        <is>
          <t>Google</t>
        </is>
      </c>
      <c r="J406" s="19" t="inlineStr">
        <is>
          <t>Round1</t>
        </is>
      </c>
      <c r="K406" s="22" t="inlineStr">
        <is>
          <t>+91 9920264452</t>
        </is>
      </c>
      <c r="L406" s="19" t="inlineStr">
        <is>
          <t>&lt;calendly_link&gt;</t>
        </is>
      </c>
      <c r="M406" s="19" t="n"/>
      <c r="N406" s="19" t="n"/>
      <c r="O406" s="19">
        <f>IF(OR(M406="Scheduled on call",M406="Booked on their behalf",N406="Scheduled on call",N406="Booked on their behalf"),"SCHEDULED (call)",IF(OR(M406="Not interested/Declined",N406="Not interested/Declined"),"DECLINED",IF(N406="Escalate to AM","ESCALATED TO LEAD",IF(E406="Ram is handling - no action","N/A",IF(M406="","PENDING CALL 1","IN PROGRESS")))))</f>
        <v/>
      </c>
      <c r="P406" s="19">
        <f>IF(OR('Ram - Digital ToDo'!O406="Scheduled",'Ram - Digital ToDo'!Q406="Scheduled"),"Scheduled within SLA (self-serve)",IF(OR(M406="Scheduled on call",M406="Booked on their behalf",N406="Scheduled on call",N406="Booked on their behalf"),"Scheduled within SLA (call)",IF(OR(M406="Not interested/Declined",N406="Not interested/Declined"),"Declined",IF(N406="Escalate to AM","SLA breach - unresolved","In progress"))))</f>
        <v/>
      </c>
      <c r="Q406" s="19" t="n"/>
    </row>
    <row r="407">
      <c r="A407" s="19" t="inlineStr">
        <is>
          <t>REQ-0406</t>
        </is>
      </c>
      <c r="B407" s="20" t="n">
        <v>44867.82708333333</v>
      </c>
      <c r="C407" s="20">
        <f>B407+1</f>
        <v/>
      </c>
      <c r="D407" s="21">
        <f>(C407-NOW())*24</f>
        <v/>
      </c>
      <c r="E407" s="19">
        <f>IF('Ram - Digital ToDo'!Q407="Escalate to call","CALL NOW",IF('Ram - Digital ToDo'!N407="Bad contact","CALL NOW (digital failed)","Ram is handling - no action"))</f>
        <v/>
      </c>
      <c r="F407" s="19">
        <f>IF(E407="Ram is handling - no action","No action needed",IF(M407="","CALL 1: ring candidate, offer to book on call (Playbook C1)",IF(OR(M407="Scheduled on call",M407="Booked on their behalf"),"DONE: scheduled on call",IF(M407="Not interested/Declined","CLOSED: candidate declined (log + tell lead)",IF(N407="","CALL 2: final attempt (Playbook C2)",IF(OR(N407="Scheduled on call",N407="Booked on their behalf"),"DONE: scheduled on call",IF(N407="Escalate to AM","ESCALATED TO LEAD","Review")))))))</f>
        <v/>
      </c>
      <c r="G407" s="20">
        <f>IF(E407="Ram is handling - no action","",IF(M407="",B407+6/24,IF(AND(M407&lt;&gt;"Scheduled on call",M407&lt;&gt;"Booked on their behalf",M407&lt;&gt;"Not interested/Declined",N407=""),B407+20/24,"")))</f>
        <v/>
      </c>
      <c r="H407" s="19" t="inlineStr">
        <is>
          <t>Chetan</t>
        </is>
      </c>
      <c r="I407" s="19" t="inlineStr">
        <is>
          <t>Google</t>
        </is>
      </c>
      <c r="J407" s="19" t="inlineStr">
        <is>
          <t>Round1</t>
        </is>
      </c>
      <c r="K407" s="22" t="inlineStr">
        <is>
          <t>+91 9920264452</t>
        </is>
      </c>
      <c r="L407" s="19" t="inlineStr">
        <is>
          <t>&lt;calendly_link&gt;</t>
        </is>
      </c>
      <c r="M407" s="19" t="n"/>
      <c r="N407" s="19" t="n"/>
      <c r="O407" s="19">
        <f>IF(OR(M407="Scheduled on call",M407="Booked on their behalf",N407="Scheduled on call",N407="Booked on their behalf"),"SCHEDULED (call)",IF(OR(M407="Not interested/Declined",N407="Not interested/Declined"),"DECLINED",IF(N407="Escalate to AM","ESCALATED TO LEAD",IF(E407="Ram is handling - no action","N/A",IF(M407="","PENDING CALL 1","IN PROGRESS")))))</f>
        <v/>
      </c>
      <c r="P407" s="19">
        <f>IF(OR('Ram - Digital ToDo'!O407="Scheduled",'Ram - Digital ToDo'!Q407="Scheduled"),"Scheduled within SLA (self-serve)",IF(OR(M407="Scheduled on call",M407="Booked on their behalf",N407="Scheduled on call",N407="Booked on their behalf"),"Scheduled within SLA (call)",IF(OR(M407="Not interested/Declined",N407="Not interested/Declined"),"Declined",IF(N407="Escalate to AM","SLA breach - unresolved","In progress"))))</f>
        <v/>
      </c>
      <c r="Q407" s="19" t="n"/>
    </row>
    <row r="408">
      <c r="A408" s="19" t="inlineStr">
        <is>
          <t>REQ-0407</t>
        </is>
      </c>
      <c r="B408" s="20" t="n">
        <v>44867.82708333333</v>
      </c>
      <c r="C408" s="20">
        <f>B408+1</f>
        <v/>
      </c>
      <c r="D408" s="21">
        <f>(C408-NOW())*24</f>
        <v/>
      </c>
      <c r="E408" s="19">
        <f>IF('Ram - Digital ToDo'!Q408="Escalate to call","CALL NOW",IF('Ram - Digital ToDo'!N408="Bad contact","CALL NOW (digital failed)","Ram is handling - no action"))</f>
        <v/>
      </c>
      <c r="F408" s="19">
        <f>IF(E408="Ram is handling - no action","No action needed",IF(M408="","CALL 1: ring candidate, offer to book on call (Playbook C1)",IF(OR(M408="Scheduled on call",M408="Booked on their behalf"),"DONE: scheduled on call",IF(M408="Not interested/Declined","CLOSED: candidate declined (log + tell lead)",IF(N408="","CALL 2: final attempt (Playbook C2)",IF(OR(N408="Scheduled on call",N408="Booked on their behalf"),"DONE: scheduled on call",IF(N408="Escalate to AM","ESCALATED TO LEAD","Review")))))))</f>
        <v/>
      </c>
      <c r="G408" s="20">
        <f>IF(E408="Ram is handling - no action","",IF(M408="",B408+6/24,IF(AND(M408&lt;&gt;"Scheduled on call",M408&lt;&gt;"Booked on their behalf",M408&lt;&gt;"Not interested/Declined",N408=""),B408+20/24,"")))</f>
        <v/>
      </c>
      <c r="H408" s="19" t="inlineStr">
        <is>
          <t>Chetan</t>
        </is>
      </c>
      <c r="I408" s="19" t="inlineStr">
        <is>
          <t>Google</t>
        </is>
      </c>
      <c r="J408" s="19" t="inlineStr">
        <is>
          <t>Round1</t>
        </is>
      </c>
      <c r="K408" s="22" t="inlineStr">
        <is>
          <t>+91 9920264452</t>
        </is>
      </c>
      <c r="L408" s="19" t="inlineStr">
        <is>
          <t>&lt;calendly_link&gt;</t>
        </is>
      </c>
      <c r="M408" s="19" t="n"/>
      <c r="N408" s="19" t="n"/>
      <c r="O408" s="19">
        <f>IF(OR(M408="Scheduled on call",M408="Booked on their behalf",N408="Scheduled on call",N408="Booked on their behalf"),"SCHEDULED (call)",IF(OR(M408="Not interested/Declined",N408="Not interested/Declined"),"DECLINED",IF(N408="Escalate to AM","ESCALATED TO LEAD",IF(E408="Ram is handling - no action","N/A",IF(M408="","PENDING CALL 1","IN PROGRESS")))))</f>
        <v/>
      </c>
      <c r="P408" s="19">
        <f>IF(OR('Ram - Digital ToDo'!O408="Scheduled",'Ram - Digital ToDo'!Q408="Scheduled"),"Scheduled within SLA (self-serve)",IF(OR(M408="Scheduled on call",M408="Booked on their behalf",N408="Scheduled on call",N408="Booked on their behalf"),"Scheduled within SLA (call)",IF(OR(M408="Not interested/Declined",N408="Not interested/Declined"),"Declined",IF(N408="Escalate to AM","SLA breach - unresolved","In progress"))))</f>
        <v/>
      </c>
      <c r="Q408" s="19" t="n"/>
    </row>
    <row r="409">
      <c r="A409" s="19" t="inlineStr">
        <is>
          <t>REQ-0408</t>
        </is>
      </c>
      <c r="B409" s="20" t="n">
        <v>44867.82708333333</v>
      </c>
      <c r="C409" s="20">
        <f>B409+1</f>
        <v/>
      </c>
      <c r="D409" s="21">
        <f>(C409-NOW())*24</f>
        <v/>
      </c>
      <c r="E409" s="19">
        <f>IF('Ram - Digital ToDo'!Q409="Escalate to call","CALL NOW",IF('Ram - Digital ToDo'!N409="Bad contact","CALL NOW (digital failed)","Ram is handling - no action"))</f>
        <v/>
      </c>
      <c r="F409" s="19">
        <f>IF(E409="Ram is handling - no action","No action needed",IF(M409="","CALL 1: ring candidate, offer to book on call (Playbook C1)",IF(OR(M409="Scheduled on call",M409="Booked on their behalf"),"DONE: scheduled on call",IF(M409="Not interested/Declined","CLOSED: candidate declined (log + tell lead)",IF(N409="","CALL 2: final attempt (Playbook C2)",IF(OR(N409="Scheduled on call",N409="Booked on their behalf"),"DONE: scheduled on call",IF(N409="Escalate to AM","ESCALATED TO LEAD","Review")))))))</f>
        <v/>
      </c>
      <c r="G409" s="20">
        <f>IF(E409="Ram is handling - no action","",IF(M409="",B409+6/24,IF(AND(M409&lt;&gt;"Scheduled on call",M409&lt;&gt;"Booked on their behalf",M409&lt;&gt;"Not interested/Declined",N409=""),B409+20/24,"")))</f>
        <v/>
      </c>
      <c r="H409" s="19" t="inlineStr">
        <is>
          <t>Chetan</t>
        </is>
      </c>
      <c r="I409" s="19" t="inlineStr">
        <is>
          <t>Google</t>
        </is>
      </c>
      <c r="J409" s="19" t="inlineStr">
        <is>
          <t>Round1</t>
        </is>
      </c>
      <c r="K409" s="22" t="inlineStr">
        <is>
          <t>+91 9920264452</t>
        </is>
      </c>
      <c r="L409" s="19" t="inlineStr">
        <is>
          <t>&lt;calendly_link&gt;</t>
        </is>
      </c>
      <c r="M409" s="19" t="n"/>
      <c r="N409" s="19" t="n"/>
      <c r="O409" s="19">
        <f>IF(OR(M409="Scheduled on call",M409="Booked on their behalf",N409="Scheduled on call",N409="Booked on their behalf"),"SCHEDULED (call)",IF(OR(M409="Not interested/Declined",N409="Not interested/Declined"),"DECLINED",IF(N409="Escalate to AM","ESCALATED TO LEAD",IF(E409="Ram is handling - no action","N/A",IF(M409="","PENDING CALL 1","IN PROGRESS")))))</f>
        <v/>
      </c>
      <c r="P409" s="19">
        <f>IF(OR('Ram - Digital ToDo'!O409="Scheduled",'Ram - Digital ToDo'!Q409="Scheduled"),"Scheduled within SLA (self-serve)",IF(OR(M409="Scheduled on call",M409="Booked on their behalf",N409="Scheduled on call",N409="Booked on their behalf"),"Scheduled within SLA (call)",IF(OR(M409="Not interested/Declined",N409="Not interested/Declined"),"Declined",IF(N409="Escalate to AM","SLA breach - unresolved","In progress"))))</f>
        <v/>
      </c>
      <c r="Q409" s="19" t="n"/>
    </row>
    <row r="410">
      <c r="A410" s="19" t="inlineStr">
        <is>
          <t>REQ-0409</t>
        </is>
      </c>
      <c r="B410" s="20" t="n">
        <v>44867.82708333333</v>
      </c>
      <c r="C410" s="20">
        <f>B410+1</f>
        <v/>
      </c>
      <c r="D410" s="21">
        <f>(C410-NOW())*24</f>
        <v/>
      </c>
      <c r="E410" s="19">
        <f>IF('Ram - Digital ToDo'!Q410="Escalate to call","CALL NOW",IF('Ram - Digital ToDo'!N410="Bad contact","CALL NOW (digital failed)","Ram is handling - no action"))</f>
        <v/>
      </c>
      <c r="F410" s="19">
        <f>IF(E410="Ram is handling - no action","No action needed",IF(M410="","CALL 1: ring candidate, offer to book on call (Playbook C1)",IF(OR(M410="Scheduled on call",M410="Booked on their behalf"),"DONE: scheduled on call",IF(M410="Not interested/Declined","CLOSED: candidate declined (log + tell lead)",IF(N410="","CALL 2: final attempt (Playbook C2)",IF(OR(N410="Scheduled on call",N410="Booked on their behalf"),"DONE: scheduled on call",IF(N410="Escalate to AM","ESCALATED TO LEAD","Review")))))))</f>
        <v/>
      </c>
      <c r="G410" s="20">
        <f>IF(E410="Ram is handling - no action","",IF(M410="",B410+6/24,IF(AND(M410&lt;&gt;"Scheduled on call",M410&lt;&gt;"Booked on their behalf",M410&lt;&gt;"Not interested/Declined",N410=""),B410+20/24,"")))</f>
        <v/>
      </c>
      <c r="H410" s="19" t="inlineStr">
        <is>
          <t>Chetan</t>
        </is>
      </c>
      <c r="I410" s="19" t="inlineStr">
        <is>
          <t>Google</t>
        </is>
      </c>
      <c r="J410" s="19" t="inlineStr">
        <is>
          <t>Round1</t>
        </is>
      </c>
      <c r="K410" s="22" t="inlineStr">
        <is>
          <t>+91 9920264452</t>
        </is>
      </c>
      <c r="L410" s="19" t="inlineStr">
        <is>
          <t>&lt;calendly_link&gt;</t>
        </is>
      </c>
      <c r="M410" s="19" t="n"/>
      <c r="N410" s="19" t="n"/>
      <c r="O410" s="19">
        <f>IF(OR(M410="Scheduled on call",M410="Booked on their behalf",N410="Scheduled on call",N410="Booked on their behalf"),"SCHEDULED (call)",IF(OR(M410="Not interested/Declined",N410="Not interested/Declined"),"DECLINED",IF(N410="Escalate to AM","ESCALATED TO LEAD",IF(E410="Ram is handling - no action","N/A",IF(M410="","PENDING CALL 1","IN PROGRESS")))))</f>
        <v/>
      </c>
      <c r="P410" s="19">
        <f>IF(OR('Ram - Digital ToDo'!O410="Scheduled",'Ram - Digital ToDo'!Q410="Scheduled"),"Scheduled within SLA (self-serve)",IF(OR(M410="Scheduled on call",M410="Booked on their behalf",N410="Scheduled on call",N410="Booked on their behalf"),"Scheduled within SLA (call)",IF(OR(M410="Not interested/Declined",N410="Not interested/Declined"),"Declined",IF(N410="Escalate to AM","SLA breach - unresolved","In progress"))))</f>
        <v/>
      </c>
      <c r="Q410" s="19" t="n"/>
    </row>
    <row r="411">
      <c r="A411" s="19" t="inlineStr">
        <is>
          <t>REQ-0410</t>
        </is>
      </c>
      <c r="B411" s="20" t="n">
        <v>44867.82708333333</v>
      </c>
      <c r="C411" s="20">
        <f>B411+1</f>
        <v/>
      </c>
      <c r="D411" s="21">
        <f>(C411-NOW())*24</f>
        <v/>
      </c>
      <c r="E411" s="19">
        <f>IF('Ram - Digital ToDo'!Q411="Escalate to call","CALL NOW",IF('Ram - Digital ToDo'!N411="Bad contact","CALL NOW (digital failed)","Ram is handling - no action"))</f>
        <v/>
      </c>
      <c r="F411" s="19">
        <f>IF(E411="Ram is handling - no action","No action needed",IF(M411="","CALL 1: ring candidate, offer to book on call (Playbook C1)",IF(OR(M411="Scheduled on call",M411="Booked on their behalf"),"DONE: scheduled on call",IF(M411="Not interested/Declined","CLOSED: candidate declined (log + tell lead)",IF(N411="","CALL 2: final attempt (Playbook C2)",IF(OR(N411="Scheduled on call",N411="Booked on their behalf"),"DONE: scheduled on call",IF(N411="Escalate to AM","ESCALATED TO LEAD","Review")))))))</f>
        <v/>
      </c>
      <c r="G411" s="20">
        <f>IF(E411="Ram is handling - no action","",IF(M411="",B411+6/24,IF(AND(M411&lt;&gt;"Scheduled on call",M411&lt;&gt;"Booked on their behalf",M411&lt;&gt;"Not interested/Declined",N411=""),B411+20/24,"")))</f>
        <v/>
      </c>
      <c r="H411" s="19" t="inlineStr">
        <is>
          <t>Chetan</t>
        </is>
      </c>
      <c r="I411" s="19" t="inlineStr">
        <is>
          <t>Google</t>
        </is>
      </c>
      <c r="J411" s="19" t="inlineStr">
        <is>
          <t>Round1</t>
        </is>
      </c>
      <c r="K411" s="22" t="inlineStr">
        <is>
          <t>+91 9920264452</t>
        </is>
      </c>
      <c r="L411" s="19" t="inlineStr">
        <is>
          <t>&lt;calendly_link&gt;</t>
        </is>
      </c>
      <c r="M411" s="19" t="n"/>
      <c r="N411" s="19" t="n"/>
      <c r="O411" s="19">
        <f>IF(OR(M411="Scheduled on call",M411="Booked on their behalf",N411="Scheduled on call",N411="Booked on their behalf"),"SCHEDULED (call)",IF(OR(M411="Not interested/Declined",N411="Not interested/Declined"),"DECLINED",IF(N411="Escalate to AM","ESCALATED TO LEAD",IF(E411="Ram is handling - no action","N/A",IF(M411="","PENDING CALL 1","IN PROGRESS")))))</f>
        <v/>
      </c>
      <c r="P411" s="19">
        <f>IF(OR('Ram - Digital ToDo'!O411="Scheduled",'Ram - Digital ToDo'!Q411="Scheduled"),"Scheduled within SLA (self-serve)",IF(OR(M411="Scheduled on call",M411="Booked on their behalf",N411="Scheduled on call",N411="Booked on their behalf"),"Scheduled within SLA (call)",IF(OR(M411="Not interested/Declined",N411="Not interested/Declined"),"Declined",IF(N411="Escalate to AM","SLA breach - unresolved","In progress"))))</f>
        <v/>
      </c>
      <c r="Q411" s="19" t="n"/>
    </row>
    <row r="412">
      <c r="A412" s="19" t="inlineStr">
        <is>
          <t>REQ-0411</t>
        </is>
      </c>
      <c r="B412" s="20" t="n">
        <v>44867.82708333333</v>
      </c>
      <c r="C412" s="20">
        <f>B412+1</f>
        <v/>
      </c>
      <c r="D412" s="21">
        <f>(C412-NOW())*24</f>
        <v/>
      </c>
      <c r="E412" s="19">
        <f>IF('Ram - Digital ToDo'!Q412="Escalate to call","CALL NOW",IF('Ram - Digital ToDo'!N412="Bad contact","CALL NOW (digital failed)","Ram is handling - no action"))</f>
        <v/>
      </c>
      <c r="F412" s="19">
        <f>IF(E412="Ram is handling - no action","No action needed",IF(M412="","CALL 1: ring candidate, offer to book on call (Playbook C1)",IF(OR(M412="Scheduled on call",M412="Booked on their behalf"),"DONE: scheduled on call",IF(M412="Not interested/Declined","CLOSED: candidate declined (log + tell lead)",IF(N412="","CALL 2: final attempt (Playbook C2)",IF(OR(N412="Scheduled on call",N412="Booked on their behalf"),"DONE: scheduled on call",IF(N412="Escalate to AM","ESCALATED TO LEAD","Review")))))))</f>
        <v/>
      </c>
      <c r="G412" s="20">
        <f>IF(E412="Ram is handling - no action","",IF(M412="",B412+6/24,IF(AND(M412&lt;&gt;"Scheduled on call",M412&lt;&gt;"Booked on their behalf",M412&lt;&gt;"Not interested/Declined",N412=""),B412+20/24,"")))</f>
        <v/>
      </c>
      <c r="H412" s="19" t="inlineStr">
        <is>
          <t>Chetan</t>
        </is>
      </c>
      <c r="I412" s="19" t="inlineStr">
        <is>
          <t>Google</t>
        </is>
      </c>
      <c r="J412" s="19" t="inlineStr">
        <is>
          <t>Round1</t>
        </is>
      </c>
      <c r="K412" s="22" t="inlineStr">
        <is>
          <t>+91 9920264452</t>
        </is>
      </c>
      <c r="L412" s="19" t="inlineStr">
        <is>
          <t>&lt;calendly_link&gt;</t>
        </is>
      </c>
      <c r="M412" s="19" t="n"/>
      <c r="N412" s="19" t="n"/>
      <c r="O412" s="19">
        <f>IF(OR(M412="Scheduled on call",M412="Booked on their behalf",N412="Scheduled on call",N412="Booked on their behalf"),"SCHEDULED (call)",IF(OR(M412="Not interested/Declined",N412="Not interested/Declined"),"DECLINED",IF(N412="Escalate to AM","ESCALATED TO LEAD",IF(E412="Ram is handling - no action","N/A",IF(M412="","PENDING CALL 1","IN PROGRESS")))))</f>
        <v/>
      </c>
      <c r="P412" s="19">
        <f>IF(OR('Ram - Digital ToDo'!O412="Scheduled",'Ram - Digital ToDo'!Q412="Scheduled"),"Scheduled within SLA (self-serve)",IF(OR(M412="Scheduled on call",M412="Booked on their behalf",N412="Scheduled on call",N412="Booked on their behalf"),"Scheduled within SLA (call)",IF(OR(M412="Not interested/Declined",N412="Not interested/Declined"),"Declined",IF(N412="Escalate to AM","SLA breach - unresolved","In progress"))))</f>
        <v/>
      </c>
      <c r="Q412" s="19" t="n"/>
    </row>
    <row r="413">
      <c r="A413" s="19" t="inlineStr">
        <is>
          <t>REQ-0412</t>
        </is>
      </c>
      <c r="B413" s="20" t="n">
        <v>44867.82708333333</v>
      </c>
      <c r="C413" s="20">
        <f>B413+1</f>
        <v/>
      </c>
      <c r="D413" s="21">
        <f>(C413-NOW())*24</f>
        <v/>
      </c>
      <c r="E413" s="19">
        <f>IF('Ram - Digital ToDo'!Q413="Escalate to call","CALL NOW",IF('Ram - Digital ToDo'!N413="Bad contact","CALL NOW (digital failed)","Ram is handling - no action"))</f>
        <v/>
      </c>
      <c r="F413" s="19">
        <f>IF(E413="Ram is handling - no action","No action needed",IF(M413="","CALL 1: ring candidate, offer to book on call (Playbook C1)",IF(OR(M413="Scheduled on call",M413="Booked on their behalf"),"DONE: scheduled on call",IF(M413="Not interested/Declined","CLOSED: candidate declined (log + tell lead)",IF(N413="","CALL 2: final attempt (Playbook C2)",IF(OR(N413="Scheduled on call",N413="Booked on their behalf"),"DONE: scheduled on call",IF(N413="Escalate to AM","ESCALATED TO LEAD","Review")))))))</f>
        <v/>
      </c>
      <c r="G413" s="20">
        <f>IF(E413="Ram is handling - no action","",IF(M413="",B413+6/24,IF(AND(M413&lt;&gt;"Scheduled on call",M413&lt;&gt;"Booked on their behalf",M413&lt;&gt;"Not interested/Declined",N413=""),B413+20/24,"")))</f>
        <v/>
      </c>
      <c r="H413" s="19" t="inlineStr">
        <is>
          <t>Chetan</t>
        </is>
      </c>
      <c r="I413" s="19" t="inlineStr">
        <is>
          <t>Google</t>
        </is>
      </c>
      <c r="J413" s="19" t="inlineStr">
        <is>
          <t>Round1</t>
        </is>
      </c>
      <c r="K413" s="22" t="inlineStr">
        <is>
          <t>+91 9920264452</t>
        </is>
      </c>
      <c r="L413" s="19" t="inlineStr">
        <is>
          <t>&lt;calendly_link&gt;</t>
        </is>
      </c>
      <c r="M413" s="19" t="n"/>
      <c r="N413" s="19" t="n"/>
      <c r="O413" s="19">
        <f>IF(OR(M413="Scheduled on call",M413="Booked on their behalf",N413="Scheduled on call",N413="Booked on their behalf"),"SCHEDULED (call)",IF(OR(M413="Not interested/Declined",N413="Not interested/Declined"),"DECLINED",IF(N413="Escalate to AM","ESCALATED TO LEAD",IF(E413="Ram is handling - no action","N/A",IF(M413="","PENDING CALL 1","IN PROGRESS")))))</f>
        <v/>
      </c>
      <c r="P413" s="19">
        <f>IF(OR('Ram - Digital ToDo'!O413="Scheduled",'Ram - Digital ToDo'!Q413="Scheduled"),"Scheduled within SLA (self-serve)",IF(OR(M413="Scheduled on call",M413="Booked on their behalf",N413="Scheduled on call",N413="Booked on their behalf"),"Scheduled within SLA (call)",IF(OR(M413="Not interested/Declined",N413="Not interested/Declined"),"Declined",IF(N413="Escalate to AM","SLA breach - unresolved","In progress"))))</f>
        <v/>
      </c>
      <c r="Q413" s="19" t="n"/>
    </row>
    <row r="414">
      <c r="A414" s="19" t="inlineStr">
        <is>
          <t>REQ-0413</t>
        </is>
      </c>
      <c r="B414" s="20" t="n">
        <v>44867.82708333333</v>
      </c>
      <c r="C414" s="20">
        <f>B414+1</f>
        <v/>
      </c>
      <c r="D414" s="21">
        <f>(C414-NOW())*24</f>
        <v/>
      </c>
      <c r="E414" s="19">
        <f>IF('Ram - Digital ToDo'!Q414="Escalate to call","CALL NOW",IF('Ram - Digital ToDo'!N414="Bad contact","CALL NOW (digital failed)","Ram is handling - no action"))</f>
        <v/>
      </c>
      <c r="F414" s="19">
        <f>IF(E414="Ram is handling - no action","No action needed",IF(M414="","CALL 1: ring candidate, offer to book on call (Playbook C1)",IF(OR(M414="Scheduled on call",M414="Booked on their behalf"),"DONE: scheduled on call",IF(M414="Not interested/Declined","CLOSED: candidate declined (log + tell lead)",IF(N414="","CALL 2: final attempt (Playbook C2)",IF(OR(N414="Scheduled on call",N414="Booked on their behalf"),"DONE: scheduled on call",IF(N414="Escalate to AM","ESCALATED TO LEAD","Review")))))))</f>
        <v/>
      </c>
      <c r="G414" s="20">
        <f>IF(E414="Ram is handling - no action","",IF(M414="",B414+6/24,IF(AND(M414&lt;&gt;"Scheduled on call",M414&lt;&gt;"Booked on their behalf",M414&lt;&gt;"Not interested/Declined",N414=""),B414+20/24,"")))</f>
        <v/>
      </c>
      <c r="H414" s="19" t="inlineStr">
        <is>
          <t>Chetan</t>
        </is>
      </c>
      <c r="I414" s="19" t="inlineStr">
        <is>
          <t>Google</t>
        </is>
      </c>
      <c r="J414" s="19" t="inlineStr">
        <is>
          <t>Round1</t>
        </is>
      </c>
      <c r="K414" s="22" t="inlineStr">
        <is>
          <t>+91 9920264452</t>
        </is>
      </c>
      <c r="L414" s="19" t="inlineStr">
        <is>
          <t>&lt;calendly_link&gt;</t>
        </is>
      </c>
      <c r="M414" s="19" t="n"/>
      <c r="N414" s="19" t="n"/>
      <c r="O414" s="19">
        <f>IF(OR(M414="Scheduled on call",M414="Booked on their behalf",N414="Scheduled on call",N414="Booked on their behalf"),"SCHEDULED (call)",IF(OR(M414="Not interested/Declined",N414="Not interested/Declined"),"DECLINED",IF(N414="Escalate to AM","ESCALATED TO LEAD",IF(E414="Ram is handling - no action","N/A",IF(M414="","PENDING CALL 1","IN PROGRESS")))))</f>
        <v/>
      </c>
      <c r="P414" s="19">
        <f>IF(OR('Ram - Digital ToDo'!O414="Scheduled",'Ram - Digital ToDo'!Q414="Scheduled"),"Scheduled within SLA (self-serve)",IF(OR(M414="Scheduled on call",M414="Booked on their behalf",N414="Scheduled on call",N414="Booked on their behalf"),"Scheduled within SLA (call)",IF(OR(M414="Not interested/Declined",N414="Not interested/Declined"),"Declined",IF(N414="Escalate to AM","SLA breach - unresolved","In progress"))))</f>
        <v/>
      </c>
      <c r="Q414" s="19" t="n"/>
    </row>
    <row r="415">
      <c r="A415" s="19" t="inlineStr">
        <is>
          <t>REQ-0414</t>
        </is>
      </c>
      <c r="B415" s="20" t="n">
        <v>44867.82708333333</v>
      </c>
      <c r="C415" s="20">
        <f>B415+1</f>
        <v/>
      </c>
      <c r="D415" s="21">
        <f>(C415-NOW())*24</f>
        <v/>
      </c>
      <c r="E415" s="19">
        <f>IF('Ram - Digital ToDo'!Q415="Escalate to call","CALL NOW",IF('Ram - Digital ToDo'!N415="Bad contact","CALL NOW (digital failed)","Ram is handling - no action"))</f>
        <v/>
      </c>
      <c r="F415" s="19">
        <f>IF(E415="Ram is handling - no action","No action needed",IF(M415="","CALL 1: ring candidate, offer to book on call (Playbook C1)",IF(OR(M415="Scheduled on call",M415="Booked on their behalf"),"DONE: scheduled on call",IF(M415="Not interested/Declined","CLOSED: candidate declined (log + tell lead)",IF(N415="","CALL 2: final attempt (Playbook C2)",IF(OR(N415="Scheduled on call",N415="Booked on their behalf"),"DONE: scheduled on call",IF(N415="Escalate to AM","ESCALATED TO LEAD","Review")))))))</f>
        <v/>
      </c>
      <c r="G415" s="20">
        <f>IF(E415="Ram is handling - no action","",IF(M415="",B415+6/24,IF(AND(M415&lt;&gt;"Scheduled on call",M415&lt;&gt;"Booked on their behalf",M415&lt;&gt;"Not interested/Declined",N415=""),B415+20/24,"")))</f>
        <v/>
      </c>
      <c r="H415" s="19" t="inlineStr">
        <is>
          <t>Chetan</t>
        </is>
      </c>
      <c r="I415" s="19" t="inlineStr">
        <is>
          <t>Google</t>
        </is>
      </c>
      <c r="J415" s="19" t="inlineStr">
        <is>
          <t>Round1</t>
        </is>
      </c>
      <c r="K415" s="22" t="inlineStr">
        <is>
          <t>+91 9920264452</t>
        </is>
      </c>
      <c r="L415" s="19" t="inlineStr">
        <is>
          <t>&lt;calendly_link&gt;</t>
        </is>
      </c>
      <c r="M415" s="19" t="n"/>
      <c r="N415" s="19" t="n"/>
      <c r="O415" s="19">
        <f>IF(OR(M415="Scheduled on call",M415="Booked on their behalf",N415="Scheduled on call",N415="Booked on their behalf"),"SCHEDULED (call)",IF(OR(M415="Not interested/Declined",N415="Not interested/Declined"),"DECLINED",IF(N415="Escalate to AM","ESCALATED TO LEAD",IF(E415="Ram is handling - no action","N/A",IF(M415="","PENDING CALL 1","IN PROGRESS")))))</f>
        <v/>
      </c>
      <c r="P415" s="19">
        <f>IF(OR('Ram - Digital ToDo'!O415="Scheduled",'Ram - Digital ToDo'!Q415="Scheduled"),"Scheduled within SLA (self-serve)",IF(OR(M415="Scheduled on call",M415="Booked on their behalf",N415="Scheduled on call",N415="Booked on their behalf"),"Scheduled within SLA (call)",IF(OR(M415="Not interested/Declined",N415="Not interested/Declined"),"Declined",IF(N415="Escalate to AM","SLA breach - unresolved","In progress"))))</f>
        <v/>
      </c>
      <c r="Q415" s="19" t="n"/>
    </row>
    <row r="416">
      <c r="A416" s="19" t="inlineStr">
        <is>
          <t>REQ-0415</t>
        </is>
      </c>
      <c r="B416" s="20" t="n">
        <v>44867.82708333333</v>
      </c>
      <c r="C416" s="20">
        <f>B416+1</f>
        <v/>
      </c>
      <c r="D416" s="21">
        <f>(C416-NOW())*24</f>
        <v/>
      </c>
      <c r="E416" s="19">
        <f>IF('Ram - Digital ToDo'!Q416="Escalate to call","CALL NOW",IF('Ram - Digital ToDo'!N416="Bad contact","CALL NOW (digital failed)","Ram is handling - no action"))</f>
        <v/>
      </c>
      <c r="F416" s="19">
        <f>IF(E416="Ram is handling - no action","No action needed",IF(M416="","CALL 1: ring candidate, offer to book on call (Playbook C1)",IF(OR(M416="Scheduled on call",M416="Booked on their behalf"),"DONE: scheduled on call",IF(M416="Not interested/Declined","CLOSED: candidate declined (log + tell lead)",IF(N416="","CALL 2: final attempt (Playbook C2)",IF(OR(N416="Scheduled on call",N416="Booked on their behalf"),"DONE: scheduled on call",IF(N416="Escalate to AM","ESCALATED TO LEAD","Review")))))))</f>
        <v/>
      </c>
      <c r="G416" s="20">
        <f>IF(E416="Ram is handling - no action","",IF(M416="",B416+6/24,IF(AND(M416&lt;&gt;"Scheduled on call",M416&lt;&gt;"Booked on their behalf",M416&lt;&gt;"Not interested/Declined",N416=""),B416+20/24,"")))</f>
        <v/>
      </c>
      <c r="H416" s="19" t="inlineStr">
        <is>
          <t>Chetan</t>
        </is>
      </c>
      <c r="I416" s="19" t="inlineStr">
        <is>
          <t>Google</t>
        </is>
      </c>
      <c r="J416" s="19" t="inlineStr">
        <is>
          <t>Round1</t>
        </is>
      </c>
      <c r="K416" s="22" t="inlineStr">
        <is>
          <t>+91 9920264452</t>
        </is>
      </c>
      <c r="L416" s="19" t="inlineStr">
        <is>
          <t>&lt;calendly_link&gt;</t>
        </is>
      </c>
      <c r="M416" s="19" t="n"/>
      <c r="N416" s="19" t="n"/>
      <c r="O416" s="19">
        <f>IF(OR(M416="Scheduled on call",M416="Booked on their behalf",N416="Scheduled on call",N416="Booked on their behalf"),"SCHEDULED (call)",IF(OR(M416="Not interested/Declined",N416="Not interested/Declined"),"DECLINED",IF(N416="Escalate to AM","ESCALATED TO LEAD",IF(E416="Ram is handling - no action","N/A",IF(M416="","PENDING CALL 1","IN PROGRESS")))))</f>
        <v/>
      </c>
      <c r="P416" s="19">
        <f>IF(OR('Ram - Digital ToDo'!O416="Scheduled",'Ram - Digital ToDo'!Q416="Scheduled"),"Scheduled within SLA (self-serve)",IF(OR(M416="Scheduled on call",M416="Booked on their behalf",N416="Scheduled on call",N416="Booked on their behalf"),"Scheduled within SLA (call)",IF(OR(M416="Not interested/Declined",N416="Not interested/Declined"),"Declined",IF(N416="Escalate to AM","SLA breach - unresolved","In progress"))))</f>
        <v/>
      </c>
      <c r="Q416" s="19" t="n"/>
    </row>
    <row r="417">
      <c r="A417" s="19" t="inlineStr">
        <is>
          <t>REQ-0416</t>
        </is>
      </c>
      <c r="B417" s="20" t="n">
        <v>44867.82708333333</v>
      </c>
      <c r="C417" s="20">
        <f>B417+1</f>
        <v/>
      </c>
      <c r="D417" s="21">
        <f>(C417-NOW())*24</f>
        <v/>
      </c>
      <c r="E417" s="19">
        <f>IF('Ram - Digital ToDo'!Q417="Escalate to call","CALL NOW",IF('Ram - Digital ToDo'!N417="Bad contact","CALL NOW (digital failed)","Ram is handling - no action"))</f>
        <v/>
      </c>
      <c r="F417" s="19">
        <f>IF(E417="Ram is handling - no action","No action needed",IF(M417="","CALL 1: ring candidate, offer to book on call (Playbook C1)",IF(OR(M417="Scheduled on call",M417="Booked on their behalf"),"DONE: scheduled on call",IF(M417="Not interested/Declined","CLOSED: candidate declined (log + tell lead)",IF(N417="","CALL 2: final attempt (Playbook C2)",IF(OR(N417="Scheduled on call",N417="Booked on their behalf"),"DONE: scheduled on call",IF(N417="Escalate to AM","ESCALATED TO LEAD","Review")))))))</f>
        <v/>
      </c>
      <c r="G417" s="20">
        <f>IF(E417="Ram is handling - no action","",IF(M417="",B417+6/24,IF(AND(M417&lt;&gt;"Scheduled on call",M417&lt;&gt;"Booked on their behalf",M417&lt;&gt;"Not interested/Declined",N417=""),B417+20/24,"")))</f>
        <v/>
      </c>
      <c r="H417" s="19" t="inlineStr">
        <is>
          <t>Chetan</t>
        </is>
      </c>
      <c r="I417" s="19" t="inlineStr">
        <is>
          <t>Google</t>
        </is>
      </c>
      <c r="J417" s="19" t="inlineStr">
        <is>
          <t>Round1</t>
        </is>
      </c>
      <c r="K417" s="22" t="inlineStr">
        <is>
          <t>+91 9920264452</t>
        </is>
      </c>
      <c r="L417" s="19" t="inlineStr">
        <is>
          <t>&lt;calendly_link&gt;</t>
        </is>
      </c>
      <c r="M417" s="19" t="n"/>
      <c r="N417" s="19" t="n"/>
      <c r="O417" s="19">
        <f>IF(OR(M417="Scheduled on call",M417="Booked on their behalf",N417="Scheduled on call",N417="Booked on their behalf"),"SCHEDULED (call)",IF(OR(M417="Not interested/Declined",N417="Not interested/Declined"),"DECLINED",IF(N417="Escalate to AM","ESCALATED TO LEAD",IF(E417="Ram is handling - no action","N/A",IF(M417="","PENDING CALL 1","IN PROGRESS")))))</f>
        <v/>
      </c>
      <c r="P417" s="19">
        <f>IF(OR('Ram - Digital ToDo'!O417="Scheduled",'Ram - Digital ToDo'!Q417="Scheduled"),"Scheduled within SLA (self-serve)",IF(OR(M417="Scheduled on call",M417="Booked on their behalf",N417="Scheduled on call",N417="Booked on their behalf"),"Scheduled within SLA (call)",IF(OR(M417="Not interested/Declined",N417="Not interested/Declined"),"Declined",IF(N417="Escalate to AM","SLA breach - unresolved","In progress"))))</f>
        <v/>
      </c>
      <c r="Q417" s="19" t="n"/>
    </row>
    <row r="418">
      <c r="A418" s="19" t="inlineStr">
        <is>
          <t>REQ-0417</t>
        </is>
      </c>
      <c r="B418" s="20" t="n">
        <v>44867.82708333333</v>
      </c>
      <c r="C418" s="20">
        <f>B418+1</f>
        <v/>
      </c>
      <c r="D418" s="21">
        <f>(C418-NOW())*24</f>
        <v/>
      </c>
      <c r="E418" s="19">
        <f>IF('Ram - Digital ToDo'!Q418="Escalate to call","CALL NOW",IF('Ram - Digital ToDo'!N418="Bad contact","CALL NOW (digital failed)","Ram is handling - no action"))</f>
        <v/>
      </c>
      <c r="F418" s="19">
        <f>IF(E418="Ram is handling - no action","No action needed",IF(M418="","CALL 1: ring candidate, offer to book on call (Playbook C1)",IF(OR(M418="Scheduled on call",M418="Booked on their behalf"),"DONE: scheduled on call",IF(M418="Not interested/Declined","CLOSED: candidate declined (log + tell lead)",IF(N418="","CALL 2: final attempt (Playbook C2)",IF(OR(N418="Scheduled on call",N418="Booked on their behalf"),"DONE: scheduled on call",IF(N418="Escalate to AM","ESCALATED TO LEAD","Review")))))))</f>
        <v/>
      </c>
      <c r="G418" s="20">
        <f>IF(E418="Ram is handling - no action","",IF(M418="",B418+6/24,IF(AND(M418&lt;&gt;"Scheduled on call",M418&lt;&gt;"Booked on their behalf",M418&lt;&gt;"Not interested/Declined",N418=""),B418+20/24,"")))</f>
        <v/>
      </c>
      <c r="H418" s="19" t="inlineStr">
        <is>
          <t>Chetan</t>
        </is>
      </c>
      <c r="I418" s="19" t="inlineStr">
        <is>
          <t>Google</t>
        </is>
      </c>
      <c r="J418" s="19" t="inlineStr">
        <is>
          <t>Round1</t>
        </is>
      </c>
      <c r="K418" s="22" t="inlineStr">
        <is>
          <t>+91 9920264452</t>
        </is>
      </c>
      <c r="L418" s="19" t="inlineStr">
        <is>
          <t>&lt;calendly_link&gt;</t>
        </is>
      </c>
      <c r="M418" s="19" t="n"/>
      <c r="N418" s="19" t="n"/>
      <c r="O418" s="19">
        <f>IF(OR(M418="Scheduled on call",M418="Booked on their behalf",N418="Scheduled on call",N418="Booked on their behalf"),"SCHEDULED (call)",IF(OR(M418="Not interested/Declined",N418="Not interested/Declined"),"DECLINED",IF(N418="Escalate to AM","ESCALATED TO LEAD",IF(E418="Ram is handling - no action","N/A",IF(M418="","PENDING CALL 1","IN PROGRESS")))))</f>
        <v/>
      </c>
      <c r="P418" s="19">
        <f>IF(OR('Ram - Digital ToDo'!O418="Scheduled",'Ram - Digital ToDo'!Q418="Scheduled"),"Scheduled within SLA (self-serve)",IF(OR(M418="Scheduled on call",M418="Booked on their behalf",N418="Scheduled on call",N418="Booked on their behalf"),"Scheduled within SLA (call)",IF(OR(M418="Not interested/Declined",N418="Not interested/Declined"),"Declined",IF(N418="Escalate to AM","SLA breach - unresolved","In progress"))))</f>
        <v/>
      </c>
      <c r="Q418" s="19" t="n"/>
    </row>
    <row r="419">
      <c r="A419" s="19" t="inlineStr">
        <is>
          <t>REQ-0418</t>
        </is>
      </c>
      <c r="B419" s="20" t="n">
        <v>44867.82708333333</v>
      </c>
      <c r="C419" s="20">
        <f>B419+1</f>
        <v/>
      </c>
      <c r="D419" s="21">
        <f>(C419-NOW())*24</f>
        <v/>
      </c>
      <c r="E419" s="19">
        <f>IF('Ram - Digital ToDo'!Q419="Escalate to call","CALL NOW",IF('Ram - Digital ToDo'!N419="Bad contact","CALL NOW (digital failed)","Ram is handling - no action"))</f>
        <v/>
      </c>
      <c r="F419" s="19">
        <f>IF(E419="Ram is handling - no action","No action needed",IF(M419="","CALL 1: ring candidate, offer to book on call (Playbook C1)",IF(OR(M419="Scheduled on call",M419="Booked on their behalf"),"DONE: scheduled on call",IF(M419="Not interested/Declined","CLOSED: candidate declined (log + tell lead)",IF(N419="","CALL 2: final attempt (Playbook C2)",IF(OR(N419="Scheduled on call",N419="Booked on their behalf"),"DONE: scheduled on call",IF(N419="Escalate to AM","ESCALATED TO LEAD","Review")))))))</f>
        <v/>
      </c>
      <c r="G419" s="20">
        <f>IF(E419="Ram is handling - no action","",IF(M419="",B419+6/24,IF(AND(M419&lt;&gt;"Scheduled on call",M419&lt;&gt;"Booked on their behalf",M419&lt;&gt;"Not interested/Declined",N419=""),B419+20/24,"")))</f>
        <v/>
      </c>
      <c r="H419" s="19" t="inlineStr">
        <is>
          <t>Chetan</t>
        </is>
      </c>
      <c r="I419" s="19" t="inlineStr">
        <is>
          <t>Google</t>
        </is>
      </c>
      <c r="J419" s="19" t="inlineStr">
        <is>
          <t>Round1</t>
        </is>
      </c>
      <c r="K419" s="22" t="inlineStr">
        <is>
          <t>+91 9920264452</t>
        </is>
      </c>
      <c r="L419" s="19" t="inlineStr">
        <is>
          <t>&lt;calendly_link&gt;</t>
        </is>
      </c>
      <c r="M419" s="19" t="n"/>
      <c r="N419" s="19" t="n"/>
      <c r="O419" s="19">
        <f>IF(OR(M419="Scheduled on call",M419="Booked on their behalf",N419="Scheduled on call",N419="Booked on their behalf"),"SCHEDULED (call)",IF(OR(M419="Not interested/Declined",N419="Not interested/Declined"),"DECLINED",IF(N419="Escalate to AM","ESCALATED TO LEAD",IF(E419="Ram is handling - no action","N/A",IF(M419="","PENDING CALL 1","IN PROGRESS")))))</f>
        <v/>
      </c>
      <c r="P419" s="19">
        <f>IF(OR('Ram - Digital ToDo'!O419="Scheduled",'Ram - Digital ToDo'!Q419="Scheduled"),"Scheduled within SLA (self-serve)",IF(OR(M419="Scheduled on call",M419="Booked on their behalf",N419="Scheduled on call",N419="Booked on their behalf"),"Scheduled within SLA (call)",IF(OR(M419="Not interested/Declined",N419="Not interested/Declined"),"Declined",IF(N419="Escalate to AM","SLA breach - unresolved","In progress"))))</f>
        <v/>
      </c>
      <c r="Q419" s="19" t="n"/>
    </row>
    <row r="420">
      <c r="A420" s="19" t="inlineStr">
        <is>
          <t>REQ-0419</t>
        </is>
      </c>
      <c r="B420" s="20" t="n">
        <v>44867.82708333333</v>
      </c>
      <c r="C420" s="20">
        <f>B420+1</f>
        <v/>
      </c>
      <c r="D420" s="21">
        <f>(C420-NOW())*24</f>
        <v/>
      </c>
      <c r="E420" s="19">
        <f>IF('Ram - Digital ToDo'!Q420="Escalate to call","CALL NOW",IF('Ram - Digital ToDo'!N420="Bad contact","CALL NOW (digital failed)","Ram is handling - no action"))</f>
        <v/>
      </c>
      <c r="F420" s="19">
        <f>IF(E420="Ram is handling - no action","No action needed",IF(M420="","CALL 1: ring candidate, offer to book on call (Playbook C1)",IF(OR(M420="Scheduled on call",M420="Booked on their behalf"),"DONE: scheduled on call",IF(M420="Not interested/Declined","CLOSED: candidate declined (log + tell lead)",IF(N420="","CALL 2: final attempt (Playbook C2)",IF(OR(N420="Scheduled on call",N420="Booked on their behalf"),"DONE: scheduled on call",IF(N420="Escalate to AM","ESCALATED TO LEAD","Review")))))))</f>
        <v/>
      </c>
      <c r="G420" s="20">
        <f>IF(E420="Ram is handling - no action","",IF(M420="",B420+6/24,IF(AND(M420&lt;&gt;"Scheduled on call",M420&lt;&gt;"Booked on their behalf",M420&lt;&gt;"Not interested/Declined",N420=""),B420+20/24,"")))</f>
        <v/>
      </c>
      <c r="H420" s="19" t="inlineStr">
        <is>
          <t>Chetan</t>
        </is>
      </c>
      <c r="I420" s="19" t="inlineStr">
        <is>
          <t>Google</t>
        </is>
      </c>
      <c r="J420" s="19" t="inlineStr">
        <is>
          <t>Round1</t>
        </is>
      </c>
      <c r="K420" s="22" t="inlineStr">
        <is>
          <t>+91 9920264452</t>
        </is>
      </c>
      <c r="L420" s="19" t="inlineStr">
        <is>
          <t>&lt;calendly_link&gt;</t>
        </is>
      </c>
      <c r="M420" s="19" t="n"/>
      <c r="N420" s="19" t="n"/>
      <c r="O420" s="19">
        <f>IF(OR(M420="Scheduled on call",M420="Booked on their behalf",N420="Scheduled on call",N420="Booked on their behalf"),"SCHEDULED (call)",IF(OR(M420="Not interested/Declined",N420="Not interested/Declined"),"DECLINED",IF(N420="Escalate to AM","ESCALATED TO LEAD",IF(E420="Ram is handling - no action","N/A",IF(M420="","PENDING CALL 1","IN PROGRESS")))))</f>
        <v/>
      </c>
      <c r="P420" s="19">
        <f>IF(OR('Ram - Digital ToDo'!O420="Scheduled",'Ram - Digital ToDo'!Q420="Scheduled"),"Scheduled within SLA (self-serve)",IF(OR(M420="Scheduled on call",M420="Booked on their behalf",N420="Scheduled on call",N420="Booked on their behalf"),"Scheduled within SLA (call)",IF(OR(M420="Not interested/Declined",N420="Not interested/Declined"),"Declined",IF(N420="Escalate to AM","SLA breach - unresolved","In progress"))))</f>
        <v/>
      </c>
      <c r="Q420" s="19" t="n"/>
    </row>
    <row r="421">
      <c r="A421" s="19" t="inlineStr">
        <is>
          <t>REQ-0420</t>
        </is>
      </c>
      <c r="B421" s="20" t="n">
        <v>44867.82708333333</v>
      </c>
      <c r="C421" s="20">
        <f>B421+1</f>
        <v/>
      </c>
      <c r="D421" s="21">
        <f>(C421-NOW())*24</f>
        <v/>
      </c>
      <c r="E421" s="19">
        <f>IF('Ram - Digital ToDo'!Q421="Escalate to call","CALL NOW",IF('Ram - Digital ToDo'!N421="Bad contact","CALL NOW (digital failed)","Ram is handling - no action"))</f>
        <v/>
      </c>
      <c r="F421" s="19">
        <f>IF(E421="Ram is handling - no action","No action needed",IF(M421="","CALL 1: ring candidate, offer to book on call (Playbook C1)",IF(OR(M421="Scheduled on call",M421="Booked on their behalf"),"DONE: scheduled on call",IF(M421="Not interested/Declined","CLOSED: candidate declined (log + tell lead)",IF(N421="","CALL 2: final attempt (Playbook C2)",IF(OR(N421="Scheduled on call",N421="Booked on their behalf"),"DONE: scheduled on call",IF(N421="Escalate to AM","ESCALATED TO LEAD","Review")))))))</f>
        <v/>
      </c>
      <c r="G421" s="20">
        <f>IF(E421="Ram is handling - no action","",IF(M421="",B421+6/24,IF(AND(M421&lt;&gt;"Scheduled on call",M421&lt;&gt;"Booked on their behalf",M421&lt;&gt;"Not interested/Declined",N421=""),B421+20/24,"")))</f>
        <v/>
      </c>
      <c r="H421" s="19" t="inlineStr">
        <is>
          <t>Chetan</t>
        </is>
      </c>
      <c r="I421" s="19" t="inlineStr">
        <is>
          <t>Google</t>
        </is>
      </c>
      <c r="J421" s="19" t="inlineStr">
        <is>
          <t>Round1</t>
        </is>
      </c>
      <c r="K421" s="22" t="inlineStr">
        <is>
          <t>+91 9920264452</t>
        </is>
      </c>
      <c r="L421" s="19" t="inlineStr">
        <is>
          <t>&lt;calendly_link&gt;</t>
        </is>
      </c>
      <c r="M421" s="19" t="n"/>
      <c r="N421" s="19" t="n"/>
      <c r="O421" s="19">
        <f>IF(OR(M421="Scheduled on call",M421="Booked on their behalf",N421="Scheduled on call",N421="Booked on their behalf"),"SCHEDULED (call)",IF(OR(M421="Not interested/Declined",N421="Not interested/Declined"),"DECLINED",IF(N421="Escalate to AM","ESCALATED TO LEAD",IF(E421="Ram is handling - no action","N/A",IF(M421="","PENDING CALL 1","IN PROGRESS")))))</f>
        <v/>
      </c>
      <c r="P421" s="19">
        <f>IF(OR('Ram - Digital ToDo'!O421="Scheduled",'Ram - Digital ToDo'!Q421="Scheduled"),"Scheduled within SLA (self-serve)",IF(OR(M421="Scheduled on call",M421="Booked on their behalf",N421="Scheduled on call",N421="Booked on their behalf"),"Scheduled within SLA (call)",IF(OR(M421="Not interested/Declined",N421="Not interested/Declined"),"Declined",IF(N421="Escalate to AM","SLA breach - unresolved","In progress"))))</f>
        <v/>
      </c>
      <c r="Q421" s="19" t="n"/>
    </row>
    <row r="422">
      <c r="A422" s="19" t="inlineStr">
        <is>
          <t>REQ-0421</t>
        </is>
      </c>
      <c r="B422" s="20" t="n">
        <v>44867.82708333333</v>
      </c>
      <c r="C422" s="20">
        <f>B422+1</f>
        <v/>
      </c>
      <c r="D422" s="21">
        <f>(C422-NOW())*24</f>
        <v/>
      </c>
      <c r="E422" s="19">
        <f>IF('Ram - Digital ToDo'!Q422="Escalate to call","CALL NOW",IF('Ram - Digital ToDo'!N422="Bad contact","CALL NOW (digital failed)","Ram is handling - no action"))</f>
        <v/>
      </c>
      <c r="F422" s="19">
        <f>IF(E422="Ram is handling - no action","No action needed",IF(M422="","CALL 1: ring candidate, offer to book on call (Playbook C1)",IF(OR(M422="Scheduled on call",M422="Booked on their behalf"),"DONE: scheduled on call",IF(M422="Not interested/Declined","CLOSED: candidate declined (log + tell lead)",IF(N422="","CALL 2: final attempt (Playbook C2)",IF(OR(N422="Scheduled on call",N422="Booked on their behalf"),"DONE: scheduled on call",IF(N422="Escalate to AM","ESCALATED TO LEAD","Review")))))))</f>
        <v/>
      </c>
      <c r="G422" s="20">
        <f>IF(E422="Ram is handling - no action","",IF(M422="",B422+6/24,IF(AND(M422&lt;&gt;"Scheduled on call",M422&lt;&gt;"Booked on their behalf",M422&lt;&gt;"Not interested/Declined",N422=""),B422+20/24,"")))</f>
        <v/>
      </c>
      <c r="H422" s="19" t="inlineStr">
        <is>
          <t>Chetan</t>
        </is>
      </c>
      <c r="I422" s="19" t="inlineStr">
        <is>
          <t>Google</t>
        </is>
      </c>
      <c r="J422" s="19" t="inlineStr">
        <is>
          <t>Round1</t>
        </is>
      </c>
      <c r="K422" s="22" t="inlineStr">
        <is>
          <t>+91 9920264452</t>
        </is>
      </c>
      <c r="L422" s="19" t="inlineStr">
        <is>
          <t>&lt;calendly_link&gt;</t>
        </is>
      </c>
      <c r="M422" s="19" t="n"/>
      <c r="N422" s="19" t="n"/>
      <c r="O422" s="19">
        <f>IF(OR(M422="Scheduled on call",M422="Booked on their behalf",N422="Scheduled on call",N422="Booked on their behalf"),"SCHEDULED (call)",IF(OR(M422="Not interested/Declined",N422="Not interested/Declined"),"DECLINED",IF(N422="Escalate to AM","ESCALATED TO LEAD",IF(E422="Ram is handling - no action","N/A",IF(M422="","PENDING CALL 1","IN PROGRESS")))))</f>
        <v/>
      </c>
      <c r="P422" s="19">
        <f>IF(OR('Ram - Digital ToDo'!O422="Scheduled",'Ram - Digital ToDo'!Q422="Scheduled"),"Scheduled within SLA (self-serve)",IF(OR(M422="Scheduled on call",M422="Booked on their behalf",N422="Scheduled on call",N422="Booked on their behalf"),"Scheduled within SLA (call)",IF(OR(M422="Not interested/Declined",N422="Not interested/Declined"),"Declined",IF(N422="Escalate to AM","SLA breach - unresolved","In progress"))))</f>
        <v/>
      </c>
      <c r="Q422" s="19" t="n"/>
    </row>
    <row r="423">
      <c r="A423" s="19" t="inlineStr">
        <is>
          <t>REQ-0422</t>
        </is>
      </c>
      <c r="B423" s="20" t="n">
        <v>44867.82708333333</v>
      </c>
      <c r="C423" s="20">
        <f>B423+1</f>
        <v/>
      </c>
      <c r="D423" s="21">
        <f>(C423-NOW())*24</f>
        <v/>
      </c>
      <c r="E423" s="19">
        <f>IF('Ram - Digital ToDo'!Q423="Escalate to call","CALL NOW",IF('Ram - Digital ToDo'!N423="Bad contact","CALL NOW (digital failed)","Ram is handling - no action"))</f>
        <v/>
      </c>
      <c r="F423" s="19">
        <f>IF(E423="Ram is handling - no action","No action needed",IF(M423="","CALL 1: ring candidate, offer to book on call (Playbook C1)",IF(OR(M423="Scheduled on call",M423="Booked on their behalf"),"DONE: scheduled on call",IF(M423="Not interested/Declined","CLOSED: candidate declined (log + tell lead)",IF(N423="","CALL 2: final attempt (Playbook C2)",IF(OR(N423="Scheduled on call",N423="Booked on their behalf"),"DONE: scheduled on call",IF(N423="Escalate to AM","ESCALATED TO LEAD","Review")))))))</f>
        <v/>
      </c>
      <c r="G423" s="20">
        <f>IF(E423="Ram is handling - no action","",IF(M423="",B423+6/24,IF(AND(M423&lt;&gt;"Scheduled on call",M423&lt;&gt;"Booked on their behalf",M423&lt;&gt;"Not interested/Declined",N423=""),B423+20/24,"")))</f>
        <v/>
      </c>
      <c r="H423" s="19" t="inlineStr">
        <is>
          <t>Chetan</t>
        </is>
      </c>
      <c r="I423" s="19" t="inlineStr">
        <is>
          <t>Google</t>
        </is>
      </c>
      <c r="J423" s="19" t="inlineStr">
        <is>
          <t>Round1</t>
        </is>
      </c>
      <c r="K423" s="22" t="inlineStr">
        <is>
          <t>+91 9920264452</t>
        </is>
      </c>
      <c r="L423" s="19" t="inlineStr">
        <is>
          <t>&lt;calendly_link&gt;</t>
        </is>
      </c>
      <c r="M423" s="19" t="n"/>
      <c r="N423" s="19" t="n"/>
      <c r="O423" s="19">
        <f>IF(OR(M423="Scheduled on call",M423="Booked on their behalf",N423="Scheduled on call",N423="Booked on their behalf"),"SCHEDULED (call)",IF(OR(M423="Not interested/Declined",N423="Not interested/Declined"),"DECLINED",IF(N423="Escalate to AM","ESCALATED TO LEAD",IF(E423="Ram is handling - no action","N/A",IF(M423="","PENDING CALL 1","IN PROGRESS")))))</f>
        <v/>
      </c>
      <c r="P423" s="19">
        <f>IF(OR('Ram - Digital ToDo'!O423="Scheduled",'Ram - Digital ToDo'!Q423="Scheduled"),"Scheduled within SLA (self-serve)",IF(OR(M423="Scheduled on call",M423="Booked on their behalf",N423="Scheduled on call",N423="Booked on their behalf"),"Scheduled within SLA (call)",IF(OR(M423="Not interested/Declined",N423="Not interested/Declined"),"Declined",IF(N423="Escalate to AM","SLA breach - unresolved","In progress"))))</f>
        <v/>
      </c>
      <c r="Q423" s="19" t="n"/>
    </row>
    <row r="424">
      <c r="A424" s="19" t="inlineStr">
        <is>
          <t>REQ-0423</t>
        </is>
      </c>
      <c r="B424" s="20" t="n">
        <v>44867.82708333333</v>
      </c>
      <c r="C424" s="20">
        <f>B424+1</f>
        <v/>
      </c>
      <c r="D424" s="21">
        <f>(C424-NOW())*24</f>
        <v/>
      </c>
      <c r="E424" s="19">
        <f>IF('Ram - Digital ToDo'!Q424="Escalate to call","CALL NOW",IF('Ram - Digital ToDo'!N424="Bad contact","CALL NOW (digital failed)","Ram is handling - no action"))</f>
        <v/>
      </c>
      <c r="F424" s="19">
        <f>IF(E424="Ram is handling - no action","No action needed",IF(M424="","CALL 1: ring candidate, offer to book on call (Playbook C1)",IF(OR(M424="Scheduled on call",M424="Booked on their behalf"),"DONE: scheduled on call",IF(M424="Not interested/Declined","CLOSED: candidate declined (log + tell lead)",IF(N424="","CALL 2: final attempt (Playbook C2)",IF(OR(N424="Scheduled on call",N424="Booked on their behalf"),"DONE: scheduled on call",IF(N424="Escalate to AM","ESCALATED TO LEAD","Review")))))))</f>
        <v/>
      </c>
      <c r="G424" s="20">
        <f>IF(E424="Ram is handling - no action","",IF(M424="",B424+6/24,IF(AND(M424&lt;&gt;"Scheduled on call",M424&lt;&gt;"Booked on their behalf",M424&lt;&gt;"Not interested/Declined",N424=""),B424+20/24,"")))</f>
        <v/>
      </c>
      <c r="H424" s="19" t="inlineStr">
        <is>
          <t>Chetan</t>
        </is>
      </c>
      <c r="I424" s="19" t="inlineStr">
        <is>
          <t>Google</t>
        </is>
      </c>
      <c r="J424" s="19" t="inlineStr">
        <is>
          <t>Round1</t>
        </is>
      </c>
      <c r="K424" s="22" t="inlineStr">
        <is>
          <t>+91 9920264452</t>
        </is>
      </c>
      <c r="L424" s="19" t="inlineStr">
        <is>
          <t>&lt;calendly_link&gt;</t>
        </is>
      </c>
      <c r="M424" s="19" t="n"/>
      <c r="N424" s="19" t="n"/>
      <c r="O424" s="19">
        <f>IF(OR(M424="Scheduled on call",M424="Booked on their behalf",N424="Scheduled on call",N424="Booked on their behalf"),"SCHEDULED (call)",IF(OR(M424="Not interested/Declined",N424="Not interested/Declined"),"DECLINED",IF(N424="Escalate to AM","ESCALATED TO LEAD",IF(E424="Ram is handling - no action","N/A",IF(M424="","PENDING CALL 1","IN PROGRESS")))))</f>
        <v/>
      </c>
      <c r="P424" s="19">
        <f>IF(OR('Ram - Digital ToDo'!O424="Scheduled",'Ram - Digital ToDo'!Q424="Scheduled"),"Scheduled within SLA (self-serve)",IF(OR(M424="Scheduled on call",M424="Booked on their behalf",N424="Scheduled on call",N424="Booked on their behalf"),"Scheduled within SLA (call)",IF(OR(M424="Not interested/Declined",N424="Not interested/Declined"),"Declined",IF(N424="Escalate to AM","SLA breach - unresolved","In progress"))))</f>
        <v/>
      </c>
      <c r="Q424" s="19" t="n"/>
    </row>
    <row r="425">
      <c r="A425" s="19" t="inlineStr">
        <is>
          <t>REQ-0424</t>
        </is>
      </c>
      <c r="B425" s="20" t="n">
        <v>44867.82708333333</v>
      </c>
      <c r="C425" s="20">
        <f>B425+1</f>
        <v/>
      </c>
      <c r="D425" s="21">
        <f>(C425-NOW())*24</f>
        <v/>
      </c>
      <c r="E425" s="19">
        <f>IF('Ram - Digital ToDo'!Q425="Escalate to call","CALL NOW",IF('Ram - Digital ToDo'!N425="Bad contact","CALL NOW (digital failed)","Ram is handling - no action"))</f>
        <v/>
      </c>
      <c r="F425" s="19">
        <f>IF(E425="Ram is handling - no action","No action needed",IF(M425="","CALL 1: ring candidate, offer to book on call (Playbook C1)",IF(OR(M425="Scheduled on call",M425="Booked on their behalf"),"DONE: scheduled on call",IF(M425="Not interested/Declined","CLOSED: candidate declined (log + tell lead)",IF(N425="","CALL 2: final attempt (Playbook C2)",IF(OR(N425="Scheduled on call",N425="Booked on their behalf"),"DONE: scheduled on call",IF(N425="Escalate to AM","ESCALATED TO LEAD","Review")))))))</f>
        <v/>
      </c>
      <c r="G425" s="20">
        <f>IF(E425="Ram is handling - no action","",IF(M425="",B425+6/24,IF(AND(M425&lt;&gt;"Scheduled on call",M425&lt;&gt;"Booked on their behalf",M425&lt;&gt;"Not interested/Declined",N425=""),B425+20/24,"")))</f>
        <v/>
      </c>
      <c r="H425" s="19" t="inlineStr">
        <is>
          <t>Chetan</t>
        </is>
      </c>
      <c r="I425" s="19" t="inlineStr">
        <is>
          <t>Google</t>
        </is>
      </c>
      <c r="J425" s="19" t="inlineStr">
        <is>
          <t>Round1</t>
        </is>
      </c>
      <c r="K425" s="22" t="inlineStr">
        <is>
          <t>+91 9920264452</t>
        </is>
      </c>
      <c r="L425" s="19" t="inlineStr">
        <is>
          <t>&lt;calendly_link&gt;</t>
        </is>
      </c>
      <c r="M425" s="19" t="n"/>
      <c r="N425" s="19" t="n"/>
      <c r="O425" s="19">
        <f>IF(OR(M425="Scheduled on call",M425="Booked on their behalf",N425="Scheduled on call",N425="Booked on their behalf"),"SCHEDULED (call)",IF(OR(M425="Not interested/Declined",N425="Not interested/Declined"),"DECLINED",IF(N425="Escalate to AM","ESCALATED TO LEAD",IF(E425="Ram is handling - no action","N/A",IF(M425="","PENDING CALL 1","IN PROGRESS")))))</f>
        <v/>
      </c>
      <c r="P425" s="19">
        <f>IF(OR('Ram - Digital ToDo'!O425="Scheduled",'Ram - Digital ToDo'!Q425="Scheduled"),"Scheduled within SLA (self-serve)",IF(OR(M425="Scheduled on call",M425="Booked on their behalf",N425="Scheduled on call",N425="Booked on their behalf"),"Scheduled within SLA (call)",IF(OR(M425="Not interested/Declined",N425="Not interested/Declined"),"Declined",IF(N425="Escalate to AM","SLA breach - unresolved","In progress"))))</f>
        <v/>
      </c>
      <c r="Q425" s="19" t="n"/>
    </row>
    <row r="426">
      <c r="A426" s="19" t="inlineStr">
        <is>
          <t>REQ-0425</t>
        </is>
      </c>
      <c r="B426" s="20" t="n">
        <v>44867.82708333333</v>
      </c>
      <c r="C426" s="20">
        <f>B426+1</f>
        <v/>
      </c>
      <c r="D426" s="21">
        <f>(C426-NOW())*24</f>
        <v/>
      </c>
      <c r="E426" s="19">
        <f>IF('Ram - Digital ToDo'!Q426="Escalate to call","CALL NOW",IF('Ram - Digital ToDo'!N426="Bad contact","CALL NOW (digital failed)","Ram is handling - no action"))</f>
        <v/>
      </c>
      <c r="F426" s="19">
        <f>IF(E426="Ram is handling - no action","No action needed",IF(M426="","CALL 1: ring candidate, offer to book on call (Playbook C1)",IF(OR(M426="Scheduled on call",M426="Booked on their behalf"),"DONE: scheduled on call",IF(M426="Not interested/Declined","CLOSED: candidate declined (log + tell lead)",IF(N426="","CALL 2: final attempt (Playbook C2)",IF(OR(N426="Scheduled on call",N426="Booked on their behalf"),"DONE: scheduled on call",IF(N426="Escalate to AM","ESCALATED TO LEAD","Review")))))))</f>
        <v/>
      </c>
      <c r="G426" s="20">
        <f>IF(E426="Ram is handling - no action","",IF(M426="",B426+6/24,IF(AND(M426&lt;&gt;"Scheduled on call",M426&lt;&gt;"Booked on their behalf",M426&lt;&gt;"Not interested/Declined",N426=""),B426+20/24,"")))</f>
        <v/>
      </c>
      <c r="H426" s="19" t="inlineStr">
        <is>
          <t>Chetan</t>
        </is>
      </c>
      <c r="I426" s="19" t="inlineStr">
        <is>
          <t>Google</t>
        </is>
      </c>
      <c r="J426" s="19" t="inlineStr">
        <is>
          <t>Round1</t>
        </is>
      </c>
      <c r="K426" s="22" t="inlineStr">
        <is>
          <t>+91 9920264452</t>
        </is>
      </c>
      <c r="L426" s="19" t="inlineStr">
        <is>
          <t>&lt;calendly_link&gt;</t>
        </is>
      </c>
      <c r="M426" s="19" t="n"/>
      <c r="N426" s="19" t="n"/>
      <c r="O426" s="19">
        <f>IF(OR(M426="Scheduled on call",M426="Booked on their behalf",N426="Scheduled on call",N426="Booked on their behalf"),"SCHEDULED (call)",IF(OR(M426="Not interested/Declined",N426="Not interested/Declined"),"DECLINED",IF(N426="Escalate to AM","ESCALATED TO LEAD",IF(E426="Ram is handling - no action","N/A",IF(M426="","PENDING CALL 1","IN PROGRESS")))))</f>
        <v/>
      </c>
      <c r="P426" s="19">
        <f>IF(OR('Ram - Digital ToDo'!O426="Scheduled",'Ram - Digital ToDo'!Q426="Scheduled"),"Scheduled within SLA (self-serve)",IF(OR(M426="Scheduled on call",M426="Booked on their behalf",N426="Scheduled on call",N426="Booked on their behalf"),"Scheduled within SLA (call)",IF(OR(M426="Not interested/Declined",N426="Not interested/Declined"),"Declined",IF(N426="Escalate to AM","SLA breach - unresolved","In progress"))))</f>
        <v/>
      </c>
      <c r="Q426" s="19" t="n"/>
    </row>
    <row r="427">
      <c r="A427" s="19" t="inlineStr">
        <is>
          <t>REQ-0426</t>
        </is>
      </c>
      <c r="B427" s="20" t="n">
        <v>44867.82708333333</v>
      </c>
      <c r="C427" s="20">
        <f>B427+1</f>
        <v/>
      </c>
      <c r="D427" s="21">
        <f>(C427-NOW())*24</f>
        <v/>
      </c>
      <c r="E427" s="19">
        <f>IF('Ram - Digital ToDo'!Q427="Escalate to call","CALL NOW",IF('Ram - Digital ToDo'!N427="Bad contact","CALL NOW (digital failed)","Ram is handling - no action"))</f>
        <v/>
      </c>
      <c r="F427" s="19">
        <f>IF(E427="Ram is handling - no action","No action needed",IF(M427="","CALL 1: ring candidate, offer to book on call (Playbook C1)",IF(OR(M427="Scheduled on call",M427="Booked on their behalf"),"DONE: scheduled on call",IF(M427="Not interested/Declined","CLOSED: candidate declined (log + tell lead)",IF(N427="","CALL 2: final attempt (Playbook C2)",IF(OR(N427="Scheduled on call",N427="Booked on their behalf"),"DONE: scheduled on call",IF(N427="Escalate to AM","ESCALATED TO LEAD","Review")))))))</f>
        <v/>
      </c>
      <c r="G427" s="20">
        <f>IF(E427="Ram is handling - no action","",IF(M427="",B427+6/24,IF(AND(M427&lt;&gt;"Scheduled on call",M427&lt;&gt;"Booked on their behalf",M427&lt;&gt;"Not interested/Declined",N427=""),B427+20/24,"")))</f>
        <v/>
      </c>
      <c r="H427" s="19" t="inlineStr">
        <is>
          <t>Chetan</t>
        </is>
      </c>
      <c r="I427" s="19" t="inlineStr">
        <is>
          <t>Google</t>
        </is>
      </c>
      <c r="J427" s="19" t="inlineStr">
        <is>
          <t>Round1</t>
        </is>
      </c>
      <c r="K427" s="22" t="inlineStr">
        <is>
          <t>+91 9920264452</t>
        </is>
      </c>
      <c r="L427" s="19" t="inlineStr">
        <is>
          <t>&lt;calendly_link&gt;</t>
        </is>
      </c>
      <c r="M427" s="19" t="n"/>
      <c r="N427" s="19" t="n"/>
      <c r="O427" s="19">
        <f>IF(OR(M427="Scheduled on call",M427="Booked on their behalf",N427="Scheduled on call",N427="Booked on their behalf"),"SCHEDULED (call)",IF(OR(M427="Not interested/Declined",N427="Not interested/Declined"),"DECLINED",IF(N427="Escalate to AM","ESCALATED TO LEAD",IF(E427="Ram is handling - no action","N/A",IF(M427="","PENDING CALL 1","IN PROGRESS")))))</f>
        <v/>
      </c>
      <c r="P427" s="19">
        <f>IF(OR('Ram - Digital ToDo'!O427="Scheduled",'Ram - Digital ToDo'!Q427="Scheduled"),"Scheduled within SLA (self-serve)",IF(OR(M427="Scheduled on call",M427="Booked on their behalf",N427="Scheduled on call",N427="Booked on their behalf"),"Scheduled within SLA (call)",IF(OR(M427="Not interested/Declined",N427="Not interested/Declined"),"Declined",IF(N427="Escalate to AM","SLA breach - unresolved","In progress"))))</f>
        <v/>
      </c>
      <c r="Q427" s="19" t="n"/>
    </row>
    <row r="428">
      <c r="A428" s="19" t="inlineStr">
        <is>
          <t>REQ-0427</t>
        </is>
      </c>
      <c r="B428" s="20" t="n">
        <v>44867.82708333333</v>
      </c>
      <c r="C428" s="20">
        <f>B428+1</f>
        <v/>
      </c>
      <c r="D428" s="21">
        <f>(C428-NOW())*24</f>
        <v/>
      </c>
      <c r="E428" s="19">
        <f>IF('Ram - Digital ToDo'!Q428="Escalate to call","CALL NOW",IF('Ram - Digital ToDo'!N428="Bad contact","CALL NOW (digital failed)","Ram is handling - no action"))</f>
        <v/>
      </c>
      <c r="F428" s="19">
        <f>IF(E428="Ram is handling - no action","No action needed",IF(M428="","CALL 1: ring candidate, offer to book on call (Playbook C1)",IF(OR(M428="Scheduled on call",M428="Booked on their behalf"),"DONE: scheduled on call",IF(M428="Not interested/Declined","CLOSED: candidate declined (log + tell lead)",IF(N428="","CALL 2: final attempt (Playbook C2)",IF(OR(N428="Scheduled on call",N428="Booked on their behalf"),"DONE: scheduled on call",IF(N428="Escalate to AM","ESCALATED TO LEAD","Review")))))))</f>
        <v/>
      </c>
      <c r="G428" s="20">
        <f>IF(E428="Ram is handling - no action","",IF(M428="",B428+6/24,IF(AND(M428&lt;&gt;"Scheduled on call",M428&lt;&gt;"Booked on their behalf",M428&lt;&gt;"Not interested/Declined",N428=""),B428+20/24,"")))</f>
        <v/>
      </c>
      <c r="H428" s="19" t="inlineStr">
        <is>
          <t>Chetan</t>
        </is>
      </c>
      <c r="I428" s="19" t="inlineStr">
        <is>
          <t>Google</t>
        </is>
      </c>
      <c r="J428" s="19" t="inlineStr">
        <is>
          <t>Round1</t>
        </is>
      </c>
      <c r="K428" s="22" t="inlineStr">
        <is>
          <t>+91 9920264452</t>
        </is>
      </c>
      <c r="L428" s="19" t="inlineStr">
        <is>
          <t>&lt;calendly_link&gt;</t>
        </is>
      </c>
      <c r="M428" s="19" t="n"/>
      <c r="N428" s="19" t="n"/>
      <c r="O428" s="19">
        <f>IF(OR(M428="Scheduled on call",M428="Booked on their behalf",N428="Scheduled on call",N428="Booked on their behalf"),"SCHEDULED (call)",IF(OR(M428="Not interested/Declined",N428="Not interested/Declined"),"DECLINED",IF(N428="Escalate to AM","ESCALATED TO LEAD",IF(E428="Ram is handling - no action","N/A",IF(M428="","PENDING CALL 1","IN PROGRESS")))))</f>
        <v/>
      </c>
      <c r="P428" s="19">
        <f>IF(OR('Ram - Digital ToDo'!O428="Scheduled",'Ram - Digital ToDo'!Q428="Scheduled"),"Scheduled within SLA (self-serve)",IF(OR(M428="Scheduled on call",M428="Booked on their behalf",N428="Scheduled on call",N428="Booked on their behalf"),"Scheduled within SLA (call)",IF(OR(M428="Not interested/Declined",N428="Not interested/Declined"),"Declined",IF(N428="Escalate to AM","SLA breach - unresolved","In progress"))))</f>
        <v/>
      </c>
      <c r="Q428" s="19" t="n"/>
    </row>
    <row r="429">
      <c r="A429" s="19" t="inlineStr">
        <is>
          <t>REQ-0428</t>
        </is>
      </c>
      <c r="B429" s="20" t="n">
        <v>44867.82708333333</v>
      </c>
      <c r="C429" s="20">
        <f>B429+1</f>
        <v/>
      </c>
      <c r="D429" s="21">
        <f>(C429-NOW())*24</f>
        <v/>
      </c>
      <c r="E429" s="19">
        <f>IF('Ram - Digital ToDo'!Q429="Escalate to call","CALL NOW",IF('Ram - Digital ToDo'!N429="Bad contact","CALL NOW (digital failed)","Ram is handling - no action"))</f>
        <v/>
      </c>
      <c r="F429" s="19">
        <f>IF(E429="Ram is handling - no action","No action needed",IF(M429="","CALL 1: ring candidate, offer to book on call (Playbook C1)",IF(OR(M429="Scheduled on call",M429="Booked on their behalf"),"DONE: scheduled on call",IF(M429="Not interested/Declined","CLOSED: candidate declined (log + tell lead)",IF(N429="","CALL 2: final attempt (Playbook C2)",IF(OR(N429="Scheduled on call",N429="Booked on their behalf"),"DONE: scheduled on call",IF(N429="Escalate to AM","ESCALATED TO LEAD","Review")))))))</f>
        <v/>
      </c>
      <c r="G429" s="20">
        <f>IF(E429="Ram is handling - no action","",IF(M429="",B429+6/24,IF(AND(M429&lt;&gt;"Scheduled on call",M429&lt;&gt;"Booked on their behalf",M429&lt;&gt;"Not interested/Declined",N429=""),B429+20/24,"")))</f>
        <v/>
      </c>
      <c r="H429" s="19" t="inlineStr">
        <is>
          <t>Chetan</t>
        </is>
      </c>
      <c r="I429" s="19" t="inlineStr">
        <is>
          <t>Google</t>
        </is>
      </c>
      <c r="J429" s="19" t="inlineStr">
        <is>
          <t>Round1</t>
        </is>
      </c>
      <c r="K429" s="22" t="inlineStr">
        <is>
          <t>+91 9920264452</t>
        </is>
      </c>
      <c r="L429" s="19" t="inlineStr">
        <is>
          <t>&lt;calendly_link&gt;</t>
        </is>
      </c>
      <c r="M429" s="19" t="n"/>
      <c r="N429" s="19" t="n"/>
      <c r="O429" s="19">
        <f>IF(OR(M429="Scheduled on call",M429="Booked on their behalf",N429="Scheduled on call",N429="Booked on their behalf"),"SCHEDULED (call)",IF(OR(M429="Not interested/Declined",N429="Not interested/Declined"),"DECLINED",IF(N429="Escalate to AM","ESCALATED TO LEAD",IF(E429="Ram is handling - no action","N/A",IF(M429="","PENDING CALL 1","IN PROGRESS")))))</f>
        <v/>
      </c>
      <c r="P429" s="19">
        <f>IF(OR('Ram - Digital ToDo'!O429="Scheduled",'Ram - Digital ToDo'!Q429="Scheduled"),"Scheduled within SLA (self-serve)",IF(OR(M429="Scheduled on call",M429="Booked on their behalf",N429="Scheduled on call",N429="Booked on their behalf"),"Scheduled within SLA (call)",IF(OR(M429="Not interested/Declined",N429="Not interested/Declined"),"Declined",IF(N429="Escalate to AM","SLA breach - unresolved","In progress"))))</f>
        <v/>
      </c>
      <c r="Q429" s="19" t="n"/>
    </row>
    <row r="430">
      <c r="A430" s="19" t="inlineStr">
        <is>
          <t>REQ-0429</t>
        </is>
      </c>
      <c r="B430" s="20" t="n">
        <v>44867.82708333333</v>
      </c>
      <c r="C430" s="20">
        <f>B430+1</f>
        <v/>
      </c>
      <c r="D430" s="21">
        <f>(C430-NOW())*24</f>
        <v/>
      </c>
      <c r="E430" s="19">
        <f>IF('Ram - Digital ToDo'!Q430="Escalate to call","CALL NOW",IF('Ram - Digital ToDo'!N430="Bad contact","CALL NOW (digital failed)","Ram is handling - no action"))</f>
        <v/>
      </c>
      <c r="F430" s="19">
        <f>IF(E430="Ram is handling - no action","No action needed",IF(M430="","CALL 1: ring candidate, offer to book on call (Playbook C1)",IF(OR(M430="Scheduled on call",M430="Booked on their behalf"),"DONE: scheduled on call",IF(M430="Not interested/Declined","CLOSED: candidate declined (log + tell lead)",IF(N430="","CALL 2: final attempt (Playbook C2)",IF(OR(N430="Scheduled on call",N430="Booked on their behalf"),"DONE: scheduled on call",IF(N430="Escalate to AM","ESCALATED TO LEAD","Review")))))))</f>
        <v/>
      </c>
      <c r="G430" s="20">
        <f>IF(E430="Ram is handling - no action","",IF(M430="",B430+6/24,IF(AND(M430&lt;&gt;"Scheduled on call",M430&lt;&gt;"Booked on their behalf",M430&lt;&gt;"Not interested/Declined",N430=""),B430+20/24,"")))</f>
        <v/>
      </c>
      <c r="H430" s="19" t="inlineStr">
        <is>
          <t>Chetan</t>
        </is>
      </c>
      <c r="I430" s="19" t="inlineStr">
        <is>
          <t>Google</t>
        </is>
      </c>
      <c r="J430" s="19" t="inlineStr">
        <is>
          <t>Round1</t>
        </is>
      </c>
      <c r="K430" s="22" t="inlineStr">
        <is>
          <t>+91 9920264452</t>
        </is>
      </c>
      <c r="L430" s="19" t="inlineStr">
        <is>
          <t>&lt;calendly_link&gt;</t>
        </is>
      </c>
      <c r="M430" s="19" t="n"/>
      <c r="N430" s="19" t="n"/>
      <c r="O430" s="19">
        <f>IF(OR(M430="Scheduled on call",M430="Booked on their behalf",N430="Scheduled on call",N430="Booked on their behalf"),"SCHEDULED (call)",IF(OR(M430="Not interested/Declined",N430="Not interested/Declined"),"DECLINED",IF(N430="Escalate to AM","ESCALATED TO LEAD",IF(E430="Ram is handling - no action","N/A",IF(M430="","PENDING CALL 1","IN PROGRESS")))))</f>
        <v/>
      </c>
      <c r="P430" s="19">
        <f>IF(OR('Ram - Digital ToDo'!O430="Scheduled",'Ram - Digital ToDo'!Q430="Scheduled"),"Scheduled within SLA (self-serve)",IF(OR(M430="Scheduled on call",M430="Booked on their behalf",N430="Scheduled on call",N430="Booked on their behalf"),"Scheduled within SLA (call)",IF(OR(M430="Not interested/Declined",N430="Not interested/Declined"),"Declined",IF(N430="Escalate to AM","SLA breach - unresolved","In progress"))))</f>
        <v/>
      </c>
      <c r="Q430" s="19" t="n"/>
    </row>
    <row r="431">
      <c r="A431" s="19" t="inlineStr">
        <is>
          <t>REQ-0430</t>
        </is>
      </c>
      <c r="B431" s="20" t="n">
        <v>44867.82708333333</v>
      </c>
      <c r="C431" s="20">
        <f>B431+1</f>
        <v/>
      </c>
      <c r="D431" s="21">
        <f>(C431-NOW())*24</f>
        <v/>
      </c>
      <c r="E431" s="19">
        <f>IF('Ram - Digital ToDo'!Q431="Escalate to call","CALL NOW",IF('Ram - Digital ToDo'!N431="Bad contact","CALL NOW (digital failed)","Ram is handling - no action"))</f>
        <v/>
      </c>
      <c r="F431" s="19">
        <f>IF(E431="Ram is handling - no action","No action needed",IF(M431="","CALL 1: ring candidate, offer to book on call (Playbook C1)",IF(OR(M431="Scheduled on call",M431="Booked on their behalf"),"DONE: scheduled on call",IF(M431="Not interested/Declined","CLOSED: candidate declined (log + tell lead)",IF(N431="","CALL 2: final attempt (Playbook C2)",IF(OR(N431="Scheduled on call",N431="Booked on their behalf"),"DONE: scheduled on call",IF(N431="Escalate to AM","ESCALATED TO LEAD","Review")))))))</f>
        <v/>
      </c>
      <c r="G431" s="20">
        <f>IF(E431="Ram is handling - no action","",IF(M431="",B431+6/24,IF(AND(M431&lt;&gt;"Scheduled on call",M431&lt;&gt;"Booked on their behalf",M431&lt;&gt;"Not interested/Declined",N431=""),B431+20/24,"")))</f>
        <v/>
      </c>
      <c r="H431" s="19" t="inlineStr">
        <is>
          <t>Chetan</t>
        </is>
      </c>
      <c r="I431" s="19" t="inlineStr">
        <is>
          <t>Google</t>
        </is>
      </c>
      <c r="J431" s="19" t="inlineStr">
        <is>
          <t>Round1</t>
        </is>
      </c>
      <c r="K431" s="22" t="inlineStr">
        <is>
          <t>+91 9920264452</t>
        </is>
      </c>
      <c r="L431" s="19" t="inlineStr">
        <is>
          <t>&lt;calendly_link&gt;</t>
        </is>
      </c>
      <c r="M431" s="19" t="n"/>
      <c r="N431" s="19" t="n"/>
      <c r="O431" s="19">
        <f>IF(OR(M431="Scheduled on call",M431="Booked on their behalf",N431="Scheduled on call",N431="Booked on their behalf"),"SCHEDULED (call)",IF(OR(M431="Not interested/Declined",N431="Not interested/Declined"),"DECLINED",IF(N431="Escalate to AM","ESCALATED TO LEAD",IF(E431="Ram is handling - no action","N/A",IF(M431="","PENDING CALL 1","IN PROGRESS")))))</f>
        <v/>
      </c>
      <c r="P431" s="19">
        <f>IF(OR('Ram - Digital ToDo'!O431="Scheduled",'Ram - Digital ToDo'!Q431="Scheduled"),"Scheduled within SLA (self-serve)",IF(OR(M431="Scheduled on call",M431="Booked on their behalf",N431="Scheduled on call",N431="Booked on their behalf"),"Scheduled within SLA (call)",IF(OR(M431="Not interested/Declined",N431="Not interested/Declined"),"Declined",IF(N431="Escalate to AM","SLA breach - unresolved","In progress"))))</f>
        <v/>
      </c>
      <c r="Q431" s="19" t="n"/>
    </row>
    <row r="432">
      <c r="A432" s="19" t="inlineStr">
        <is>
          <t>REQ-0431</t>
        </is>
      </c>
      <c r="B432" s="20" t="n">
        <v>44867.82708333333</v>
      </c>
      <c r="C432" s="20">
        <f>B432+1</f>
        <v/>
      </c>
      <c r="D432" s="21">
        <f>(C432-NOW())*24</f>
        <v/>
      </c>
      <c r="E432" s="19">
        <f>IF('Ram - Digital ToDo'!Q432="Escalate to call","CALL NOW",IF('Ram - Digital ToDo'!N432="Bad contact","CALL NOW (digital failed)","Ram is handling - no action"))</f>
        <v/>
      </c>
      <c r="F432" s="19">
        <f>IF(E432="Ram is handling - no action","No action needed",IF(M432="","CALL 1: ring candidate, offer to book on call (Playbook C1)",IF(OR(M432="Scheduled on call",M432="Booked on their behalf"),"DONE: scheduled on call",IF(M432="Not interested/Declined","CLOSED: candidate declined (log + tell lead)",IF(N432="","CALL 2: final attempt (Playbook C2)",IF(OR(N432="Scheduled on call",N432="Booked on their behalf"),"DONE: scheduled on call",IF(N432="Escalate to AM","ESCALATED TO LEAD","Review")))))))</f>
        <v/>
      </c>
      <c r="G432" s="20">
        <f>IF(E432="Ram is handling - no action","",IF(M432="",B432+6/24,IF(AND(M432&lt;&gt;"Scheduled on call",M432&lt;&gt;"Booked on their behalf",M432&lt;&gt;"Not interested/Declined",N432=""),B432+20/24,"")))</f>
        <v/>
      </c>
      <c r="H432" s="19" t="inlineStr">
        <is>
          <t>Chetan</t>
        </is>
      </c>
      <c r="I432" s="19" t="inlineStr">
        <is>
          <t>Google</t>
        </is>
      </c>
      <c r="J432" s="19" t="inlineStr">
        <is>
          <t>Round1</t>
        </is>
      </c>
      <c r="K432" s="22" t="inlineStr">
        <is>
          <t>+91 9920264452</t>
        </is>
      </c>
      <c r="L432" s="19" t="inlineStr">
        <is>
          <t>&lt;calendly_link&gt;</t>
        </is>
      </c>
      <c r="M432" s="19" t="n"/>
      <c r="N432" s="19" t="n"/>
      <c r="O432" s="19">
        <f>IF(OR(M432="Scheduled on call",M432="Booked on their behalf",N432="Scheduled on call",N432="Booked on their behalf"),"SCHEDULED (call)",IF(OR(M432="Not interested/Declined",N432="Not interested/Declined"),"DECLINED",IF(N432="Escalate to AM","ESCALATED TO LEAD",IF(E432="Ram is handling - no action","N/A",IF(M432="","PENDING CALL 1","IN PROGRESS")))))</f>
        <v/>
      </c>
      <c r="P432" s="19">
        <f>IF(OR('Ram - Digital ToDo'!O432="Scheduled",'Ram - Digital ToDo'!Q432="Scheduled"),"Scheduled within SLA (self-serve)",IF(OR(M432="Scheduled on call",M432="Booked on their behalf",N432="Scheduled on call",N432="Booked on their behalf"),"Scheduled within SLA (call)",IF(OR(M432="Not interested/Declined",N432="Not interested/Declined"),"Declined",IF(N432="Escalate to AM","SLA breach - unresolved","In progress"))))</f>
        <v/>
      </c>
      <c r="Q432" s="19" t="n"/>
    </row>
    <row r="433">
      <c r="A433" s="19" t="inlineStr">
        <is>
          <t>REQ-0432</t>
        </is>
      </c>
      <c r="B433" s="20" t="n">
        <v>44867.82708333333</v>
      </c>
      <c r="C433" s="20">
        <f>B433+1</f>
        <v/>
      </c>
      <c r="D433" s="21">
        <f>(C433-NOW())*24</f>
        <v/>
      </c>
      <c r="E433" s="19">
        <f>IF('Ram - Digital ToDo'!Q433="Escalate to call","CALL NOW",IF('Ram - Digital ToDo'!N433="Bad contact","CALL NOW (digital failed)","Ram is handling - no action"))</f>
        <v/>
      </c>
      <c r="F433" s="19">
        <f>IF(E433="Ram is handling - no action","No action needed",IF(M433="","CALL 1: ring candidate, offer to book on call (Playbook C1)",IF(OR(M433="Scheduled on call",M433="Booked on their behalf"),"DONE: scheduled on call",IF(M433="Not interested/Declined","CLOSED: candidate declined (log + tell lead)",IF(N433="","CALL 2: final attempt (Playbook C2)",IF(OR(N433="Scheduled on call",N433="Booked on their behalf"),"DONE: scheduled on call",IF(N433="Escalate to AM","ESCALATED TO LEAD","Review")))))))</f>
        <v/>
      </c>
      <c r="G433" s="20">
        <f>IF(E433="Ram is handling - no action","",IF(M433="",B433+6/24,IF(AND(M433&lt;&gt;"Scheduled on call",M433&lt;&gt;"Booked on their behalf",M433&lt;&gt;"Not interested/Declined",N433=""),B433+20/24,"")))</f>
        <v/>
      </c>
      <c r="H433" s="19" t="inlineStr">
        <is>
          <t>Chetan</t>
        </is>
      </c>
      <c r="I433" s="19" t="inlineStr">
        <is>
          <t>Google</t>
        </is>
      </c>
      <c r="J433" s="19" t="inlineStr">
        <is>
          <t>Round1</t>
        </is>
      </c>
      <c r="K433" s="22" t="inlineStr">
        <is>
          <t>+91 9920264452</t>
        </is>
      </c>
      <c r="L433" s="19" t="inlineStr">
        <is>
          <t>&lt;calendly_link&gt;</t>
        </is>
      </c>
      <c r="M433" s="19" t="n"/>
      <c r="N433" s="19" t="n"/>
      <c r="O433" s="19">
        <f>IF(OR(M433="Scheduled on call",M433="Booked on their behalf",N433="Scheduled on call",N433="Booked on their behalf"),"SCHEDULED (call)",IF(OR(M433="Not interested/Declined",N433="Not interested/Declined"),"DECLINED",IF(N433="Escalate to AM","ESCALATED TO LEAD",IF(E433="Ram is handling - no action","N/A",IF(M433="","PENDING CALL 1","IN PROGRESS")))))</f>
        <v/>
      </c>
      <c r="P433" s="19">
        <f>IF(OR('Ram - Digital ToDo'!O433="Scheduled",'Ram - Digital ToDo'!Q433="Scheduled"),"Scheduled within SLA (self-serve)",IF(OR(M433="Scheduled on call",M433="Booked on their behalf",N433="Scheduled on call",N433="Booked on their behalf"),"Scheduled within SLA (call)",IF(OR(M433="Not interested/Declined",N433="Not interested/Declined"),"Declined",IF(N433="Escalate to AM","SLA breach - unresolved","In progress"))))</f>
        <v/>
      </c>
      <c r="Q433" s="19" t="n"/>
    </row>
    <row r="434">
      <c r="A434" s="19" t="inlineStr">
        <is>
          <t>REQ-0433</t>
        </is>
      </c>
      <c r="B434" s="20" t="n">
        <v>44867.82708333333</v>
      </c>
      <c r="C434" s="20">
        <f>B434+1</f>
        <v/>
      </c>
      <c r="D434" s="21">
        <f>(C434-NOW())*24</f>
        <v/>
      </c>
      <c r="E434" s="19">
        <f>IF('Ram - Digital ToDo'!Q434="Escalate to call","CALL NOW",IF('Ram - Digital ToDo'!N434="Bad contact","CALL NOW (digital failed)","Ram is handling - no action"))</f>
        <v/>
      </c>
      <c r="F434" s="19">
        <f>IF(E434="Ram is handling - no action","No action needed",IF(M434="","CALL 1: ring candidate, offer to book on call (Playbook C1)",IF(OR(M434="Scheduled on call",M434="Booked on their behalf"),"DONE: scheduled on call",IF(M434="Not interested/Declined","CLOSED: candidate declined (log + tell lead)",IF(N434="","CALL 2: final attempt (Playbook C2)",IF(OR(N434="Scheduled on call",N434="Booked on their behalf"),"DONE: scheduled on call",IF(N434="Escalate to AM","ESCALATED TO LEAD","Review")))))))</f>
        <v/>
      </c>
      <c r="G434" s="20">
        <f>IF(E434="Ram is handling - no action","",IF(M434="",B434+6/24,IF(AND(M434&lt;&gt;"Scheduled on call",M434&lt;&gt;"Booked on their behalf",M434&lt;&gt;"Not interested/Declined",N434=""),B434+20/24,"")))</f>
        <v/>
      </c>
      <c r="H434" s="19" t="inlineStr">
        <is>
          <t>Chetan</t>
        </is>
      </c>
      <c r="I434" s="19" t="inlineStr">
        <is>
          <t>Google</t>
        </is>
      </c>
      <c r="J434" s="19" t="inlineStr">
        <is>
          <t>Round1</t>
        </is>
      </c>
      <c r="K434" s="22" t="inlineStr">
        <is>
          <t>+91 9920264452</t>
        </is>
      </c>
      <c r="L434" s="19" t="inlineStr">
        <is>
          <t>&lt;calendly_link&gt;</t>
        </is>
      </c>
      <c r="M434" s="19" t="n"/>
      <c r="N434" s="19" t="n"/>
      <c r="O434" s="19">
        <f>IF(OR(M434="Scheduled on call",M434="Booked on their behalf",N434="Scheduled on call",N434="Booked on their behalf"),"SCHEDULED (call)",IF(OR(M434="Not interested/Declined",N434="Not interested/Declined"),"DECLINED",IF(N434="Escalate to AM","ESCALATED TO LEAD",IF(E434="Ram is handling - no action","N/A",IF(M434="","PENDING CALL 1","IN PROGRESS")))))</f>
        <v/>
      </c>
      <c r="P434" s="19">
        <f>IF(OR('Ram - Digital ToDo'!O434="Scheduled",'Ram - Digital ToDo'!Q434="Scheduled"),"Scheduled within SLA (self-serve)",IF(OR(M434="Scheduled on call",M434="Booked on their behalf",N434="Scheduled on call",N434="Booked on their behalf"),"Scheduled within SLA (call)",IF(OR(M434="Not interested/Declined",N434="Not interested/Declined"),"Declined",IF(N434="Escalate to AM","SLA breach - unresolved","In progress"))))</f>
        <v/>
      </c>
      <c r="Q434" s="19" t="n"/>
    </row>
    <row r="435">
      <c r="A435" s="19" t="inlineStr">
        <is>
          <t>REQ-0434</t>
        </is>
      </c>
      <c r="B435" s="20" t="n">
        <v>44867.82708333333</v>
      </c>
      <c r="C435" s="20">
        <f>B435+1</f>
        <v/>
      </c>
      <c r="D435" s="21">
        <f>(C435-NOW())*24</f>
        <v/>
      </c>
      <c r="E435" s="19">
        <f>IF('Ram - Digital ToDo'!Q435="Escalate to call","CALL NOW",IF('Ram - Digital ToDo'!N435="Bad contact","CALL NOW (digital failed)","Ram is handling - no action"))</f>
        <v/>
      </c>
      <c r="F435" s="19">
        <f>IF(E435="Ram is handling - no action","No action needed",IF(M435="","CALL 1: ring candidate, offer to book on call (Playbook C1)",IF(OR(M435="Scheduled on call",M435="Booked on their behalf"),"DONE: scheduled on call",IF(M435="Not interested/Declined","CLOSED: candidate declined (log + tell lead)",IF(N435="","CALL 2: final attempt (Playbook C2)",IF(OR(N435="Scheduled on call",N435="Booked on their behalf"),"DONE: scheduled on call",IF(N435="Escalate to AM","ESCALATED TO LEAD","Review")))))))</f>
        <v/>
      </c>
      <c r="G435" s="20">
        <f>IF(E435="Ram is handling - no action","",IF(M435="",B435+6/24,IF(AND(M435&lt;&gt;"Scheduled on call",M435&lt;&gt;"Booked on their behalf",M435&lt;&gt;"Not interested/Declined",N435=""),B435+20/24,"")))</f>
        <v/>
      </c>
      <c r="H435" s="19" t="inlineStr">
        <is>
          <t>Chetan</t>
        </is>
      </c>
      <c r="I435" s="19" t="inlineStr">
        <is>
          <t>Google</t>
        </is>
      </c>
      <c r="J435" s="19" t="inlineStr">
        <is>
          <t>Round1</t>
        </is>
      </c>
      <c r="K435" s="22" t="inlineStr">
        <is>
          <t>+91 9920264452</t>
        </is>
      </c>
      <c r="L435" s="19" t="inlineStr">
        <is>
          <t>&lt;calendly_link&gt;</t>
        </is>
      </c>
      <c r="M435" s="19" t="n"/>
      <c r="N435" s="19" t="n"/>
      <c r="O435" s="19">
        <f>IF(OR(M435="Scheduled on call",M435="Booked on their behalf",N435="Scheduled on call",N435="Booked on their behalf"),"SCHEDULED (call)",IF(OR(M435="Not interested/Declined",N435="Not interested/Declined"),"DECLINED",IF(N435="Escalate to AM","ESCALATED TO LEAD",IF(E435="Ram is handling - no action","N/A",IF(M435="","PENDING CALL 1","IN PROGRESS")))))</f>
        <v/>
      </c>
      <c r="P435" s="19">
        <f>IF(OR('Ram - Digital ToDo'!O435="Scheduled",'Ram - Digital ToDo'!Q435="Scheduled"),"Scheduled within SLA (self-serve)",IF(OR(M435="Scheduled on call",M435="Booked on their behalf",N435="Scheduled on call",N435="Booked on their behalf"),"Scheduled within SLA (call)",IF(OR(M435="Not interested/Declined",N435="Not interested/Declined"),"Declined",IF(N435="Escalate to AM","SLA breach - unresolved","In progress"))))</f>
        <v/>
      </c>
      <c r="Q435" s="19" t="n"/>
    </row>
    <row r="436">
      <c r="A436" s="19" t="inlineStr">
        <is>
          <t>REQ-0435</t>
        </is>
      </c>
      <c r="B436" s="20" t="n">
        <v>44867.82708333333</v>
      </c>
      <c r="C436" s="20">
        <f>B436+1</f>
        <v/>
      </c>
      <c r="D436" s="21">
        <f>(C436-NOW())*24</f>
        <v/>
      </c>
      <c r="E436" s="19">
        <f>IF('Ram - Digital ToDo'!Q436="Escalate to call","CALL NOW",IF('Ram - Digital ToDo'!N436="Bad contact","CALL NOW (digital failed)","Ram is handling - no action"))</f>
        <v/>
      </c>
      <c r="F436" s="19">
        <f>IF(E436="Ram is handling - no action","No action needed",IF(M436="","CALL 1: ring candidate, offer to book on call (Playbook C1)",IF(OR(M436="Scheduled on call",M436="Booked on their behalf"),"DONE: scheduled on call",IF(M436="Not interested/Declined","CLOSED: candidate declined (log + tell lead)",IF(N436="","CALL 2: final attempt (Playbook C2)",IF(OR(N436="Scheduled on call",N436="Booked on their behalf"),"DONE: scheduled on call",IF(N436="Escalate to AM","ESCALATED TO LEAD","Review")))))))</f>
        <v/>
      </c>
      <c r="G436" s="20">
        <f>IF(E436="Ram is handling - no action","",IF(M436="",B436+6/24,IF(AND(M436&lt;&gt;"Scheduled on call",M436&lt;&gt;"Booked on their behalf",M436&lt;&gt;"Not interested/Declined",N436=""),B436+20/24,"")))</f>
        <v/>
      </c>
      <c r="H436" s="19" t="inlineStr">
        <is>
          <t>Chetan</t>
        </is>
      </c>
      <c r="I436" s="19" t="inlineStr">
        <is>
          <t>Google</t>
        </is>
      </c>
      <c r="J436" s="19" t="inlineStr">
        <is>
          <t>Round1</t>
        </is>
      </c>
      <c r="K436" s="22" t="inlineStr">
        <is>
          <t>+91 9920264452</t>
        </is>
      </c>
      <c r="L436" s="19" t="inlineStr">
        <is>
          <t>&lt;calendly_link&gt;</t>
        </is>
      </c>
      <c r="M436" s="19" t="n"/>
      <c r="N436" s="19" t="n"/>
      <c r="O436" s="19">
        <f>IF(OR(M436="Scheduled on call",M436="Booked on their behalf",N436="Scheduled on call",N436="Booked on their behalf"),"SCHEDULED (call)",IF(OR(M436="Not interested/Declined",N436="Not interested/Declined"),"DECLINED",IF(N436="Escalate to AM","ESCALATED TO LEAD",IF(E436="Ram is handling - no action","N/A",IF(M436="","PENDING CALL 1","IN PROGRESS")))))</f>
        <v/>
      </c>
      <c r="P436" s="19">
        <f>IF(OR('Ram - Digital ToDo'!O436="Scheduled",'Ram - Digital ToDo'!Q436="Scheduled"),"Scheduled within SLA (self-serve)",IF(OR(M436="Scheduled on call",M436="Booked on their behalf",N436="Scheduled on call",N436="Booked on their behalf"),"Scheduled within SLA (call)",IF(OR(M436="Not interested/Declined",N436="Not interested/Declined"),"Declined",IF(N436="Escalate to AM","SLA breach - unresolved","In progress"))))</f>
        <v/>
      </c>
      <c r="Q436" s="19" t="n"/>
    </row>
    <row r="437">
      <c r="A437" s="19" t="inlineStr">
        <is>
          <t>REQ-0436</t>
        </is>
      </c>
      <c r="B437" s="20" t="n">
        <v>44867.82708333333</v>
      </c>
      <c r="C437" s="20">
        <f>B437+1</f>
        <v/>
      </c>
      <c r="D437" s="21">
        <f>(C437-NOW())*24</f>
        <v/>
      </c>
      <c r="E437" s="19">
        <f>IF('Ram - Digital ToDo'!Q437="Escalate to call","CALL NOW",IF('Ram - Digital ToDo'!N437="Bad contact","CALL NOW (digital failed)","Ram is handling - no action"))</f>
        <v/>
      </c>
      <c r="F437" s="19">
        <f>IF(E437="Ram is handling - no action","No action needed",IF(M437="","CALL 1: ring candidate, offer to book on call (Playbook C1)",IF(OR(M437="Scheduled on call",M437="Booked on their behalf"),"DONE: scheduled on call",IF(M437="Not interested/Declined","CLOSED: candidate declined (log + tell lead)",IF(N437="","CALL 2: final attempt (Playbook C2)",IF(OR(N437="Scheduled on call",N437="Booked on their behalf"),"DONE: scheduled on call",IF(N437="Escalate to AM","ESCALATED TO LEAD","Review")))))))</f>
        <v/>
      </c>
      <c r="G437" s="20">
        <f>IF(E437="Ram is handling - no action","",IF(M437="",B437+6/24,IF(AND(M437&lt;&gt;"Scheduled on call",M437&lt;&gt;"Booked on their behalf",M437&lt;&gt;"Not interested/Declined",N437=""),B437+20/24,"")))</f>
        <v/>
      </c>
      <c r="H437" s="19" t="inlineStr">
        <is>
          <t>Chetan</t>
        </is>
      </c>
      <c r="I437" s="19" t="inlineStr">
        <is>
          <t>Google</t>
        </is>
      </c>
      <c r="J437" s="19" t="inlineStr">
        <is>
          <t>Round1</t>
        </is>
      </c>
      <c r="K437" s="22" t="inlineStr">
        <is>
          <t>+91 9920264452</t>
        </is>
      </c>
      <c r="L437" s="19" t="inlineStr">
        <is>
          <t>&lt;calendly_link&gt;</t>
        </is>
      </c>
      <c r="M437" s="19" t="n"/>
      <c r="N437" s="19" t="n"/>
      <c r="O437" s="19">
        <f>IF(OR(M437="Scheduled on call",M437="Booked on their behalf",N437="Scheduled on call",N437="Booked on their behalf"),"SCHEDULED (call)",IF(OR(M437="Not interested/Declined",N437="Not interested/Declined"),"DECLINED",IF(N437="Escalate to AM","ESCALATED TO LEAD",IF(E437="Ram is handling - no action","N/A",IF(M437="","PENDING CALL 1","IN PROGRESS")))))</f>
        <v/>
      </c>
      <c r="P437" s="19">
        <f>IF(OR('Ram - Digital ToDo'!O437="Scheduled",'Ram - Digital ToDo'!Q437="Scheduled"),"Scheduled within SLA (self-serve)",IF(OR(M437="Scheduled on call",M437="Booked on their behalf",N437="Scheduled on call",N437="Booked on their behalf"),"Scheduled within SLA (call)",IF(OR(M437="Not interested/Declined",N437="Not interested/Declined"),"Declined",IF(N437="Escalate to AM","SLA breach - unresolved","In progress"))))</f>
        <v/>
      </c>
      <c r="Q437" s="19" t="n"/>
    </row>
    <row r="438">
      <c r="A438" s="19" t="inlineStr">
        <is>
          <t>REQ-0437</t>
        </is>
      </c>
      <c r="B438" s="20" t="n">
        <v>44867.82708333333</v>
      </c>
      <c r="C438" s="20">
        <f>B438+1</f>
        <v/>
      </c>
      <c r="D438" s="21">
        <f>(C438-NOW())*24</f>
        <v/>
      </c>
      <c r="E438" s="19">
        <f>IF('Ram - Digital ToDo'!Q438="Escalate to call","CALL NOW",IF('Ram - Digital ToDo'!N438="Bad contact","CALL NOW (digital failed)","Ram is handling - no action"))</f>
        <v/>
      </c>
      <c r="F438" s="19">
        <f>IF(E438="Ram is handling - no action","No action needed",IF(M438="","CALL 1: ring candidate, offer to book on call (Playbook C1)",IF(OR(M438="Scheduled on call",M438="Booked on their behalf"),"DONE: scheduled on call",IF(M438="Not interested/Declined","CLOSED: candidate declined (log + tell lead)",IF(N438="","CALL 2: final attempt (Playbook C2)",IF(OR(N438="Scheduled on call",N438="Booked on their behalf"),"DONE: scheduled on call",IF(N438="Escalate to AM","ESCALATED TO LEAD","Review")))))))</f>
        <v/>
      </c>
      <c r="G438" s="20">
        <f>IF(E438="Ram is handling - no action","",IF(M438="",B438+6/24,IF(AND(M438&lt;&gt;"Scheduled on call",M438&lt;&gt;"Booked on their behalf",M438&lt;&gt;"Not interested/Declined",N438=""),B438+20/24,"")))</f>
        <v/>
      </c>
      <c r="H438" s="19" t="inlineStr">
        <is>
          <t>Chetan</t>
        </is>
      </c>
      <c r="I438" s="19" t="inlineStr">
        <is>
          <t>Google</t>
        </is>
      </c>
      <c r="J438" s="19" t="inlineStr">
        <is>
          <t>Round1</t>
        </is>
      </c>
      <c r="K438" s="22" t="inlineStr">
        <is>
          <t>+91 9920264452</t>
        </is>
      </c>
      <c r="L438" s="19" t="inlineStr">
        <is>
          <t>&lt;calendly_link&gt;</t>
        </is>
      </c>
      <c r="M438" s="19" t="n"/>
      <c r="N438" s="19" t="n"/>
      <c r="O438" s="19">
        <f>IF(OR(M438="Scheduled on call",M438="Booked on their behalf",N438="Scheduled on call",N438="Booked on their behalf"),"SCHEDULED (call)",IF(OR(M438="Not interested/Declined",N438="Not interested/Declined"),"DECLINED",IF(N438="Escalate to AM","ESCALATED TO LEAD",IF(E438="Ram is handling - no action","N/A",IF(M438="","PENDING CALL 1","IN PROGRESS")))))</f>
        <v/>
      </c>
      <c r="P438" s="19">
        <f>IF(OR('Ram - Digital ToDo'!O438="Scheduled",'Ram - Digital ToDo'!Q438="Scheduled"),"Scheduled within SLA (self-serve)",IF(OR(M438="Scheduled on call",M438="Booked on their behalf",N438="Scheduled on call",N438="Booked on their behalf"),"Scheduled within SLA (call)",IF(OR(M438="Not interested/Declined",N438="Not interested/Declined"),"Declined",IF(N438="Escalate to AM","SLA breach - unresolved","In progress"))))</f>
        <v/>
      </c>
      <c r="Q438" s="19" t="n"/>
    </row>
    <row r="439">
      <c r="A439" s="19" t="inlineStr">
        <is>
          <t>REQ-0438</t>
        </is>
      </c>
      <c r="B439" s="20" t="n">
        <v>44867.82708333333</v>
      </c>
      <c r="C439" s="20">
        <f>B439+1</f>
        <v/>
      </c>
      <c r="D439" s="21">
        <f>(C439-NOW())*24</f>
        <v/>
      </c>
      <c r="E439" s="19">
        <f>IF('Ram - Digital ToDo'!Q439="Escalate to call","CALL NOW",IF('Ram - Digital ToDo'!N439="Bad contact","CALL NOW (digital failed)","Ram is handling - no action"))</f>
        <v/>
      </c>
      <c r="F439" s="19">
        <f>IF(E439="Ram is handling - no action","No action needed",IF(M439="","CALL 1: ring candidate, offer to book on call (Playbook C1)",IF(OR(M439="Scheduled on call",M439="Booked on their behalf"),"DONE: scheduled on call",IF(M439="Not interested/Declined","CLOSED: candidate declined (log + tell lead)",IF(N439="","CALL 2: final attempt (Playbook C2)",IF(OR(N439="Scheduled on call",N439="Booked on their behalf"),"DONE: scheduled on call",IF(N439="Escalate to AM","ESCALATED TO LEAD","Review")))))))</f>
        <v/>
      </c>
      <c r="G439" s="20">
        <f>IF(E439="Ram is handling - no action","",IF(M439="",B439+6/24,IF(AND(M439&lt;&gt;"Scheduled on call",M439&lt;&gt;"Booked on their behalf",M439&lt;&gt;"Not interested/Declined",N439=""),B439+20/24,"")))</f>
        <v/>
      </c>
      <c r="H439" s="19" t="inlineStr">
        <is>
          <t>Chetan</t>
        </is>
      </c>
      <c r="I439" s="19" t="inlineStr">
        <is>
          <t>Google</t>
        </is>
      </c>
      <c r="J439" s="19" t="inlineStr">
        <is>
          <t>Round1</t>
        </is>
      </c>
      <c r="K439" s="22" t="inlineStr">
        <is>
          <t>+91 9920264452</t>
        </is>
      </c>
      <c r="L439" s="19" t="inlineStr">
        <is>
          <t>&lt;calendly_link&gt;</t>
        </is>
      </c>
      <c r="M439" s="19" t="n"/>
      <c r="N439" s="19" t="n"/>
      <c r="O439" s="19">
        <f>IF(OR(M439="Scheduled on call",M439="Booked on their behalf",N439="Scheduled on call",N439="Booked on their behalf"),"SCHEDULED (call)",IF(OR(M439="Not interested/Declined",N439="Not interested/Declined"),"DECLINED",IF(N439="Escalate to AM","ESCALATED TO LEAD",IF(E439="Ram is handling - no action","N/A",IF(M439="","PENDING CALL 1","IN PROGRESS")))))</f>
        <v/>
      </c>
      <c r="P439" s="19">
        <f>IF(OR('Ram - Digital ToDo'!O439="Scheduled",'Ram - Digital ToDo'!Q439="Scheduled"),"Scheduled within SLA (self-serve)",IF(OR(M439="Scheduled on call",M439="Booked on their behalf",N439="Scheduled on call",N439="Booked on their behalf"),"Scheduled within SLA (call)",IF(OR(M439="Not interested/Declined",N439="Not interested/Declined"),"Declined",IF(N439="Escalate to AM","SLA breach - unresolved","In progress"))))</f>
        <v/>
      </c>
      <c r="Q439" s="19" t="n"/>
    </row>
    <row r="440">
      <c r="A440" s="19" t="inlineStr">
        <is>
          <t>REQ-0439</t>
        </is>
      </c>
      <c r="B440" s="20" t="n">
        <v>44867.82708333333</v>
      </c>
      <c r="C440" s="20">
        <f>B440+1</f>
        <v/>
      </c>
      <c r="D440" s="21">
        <f>(C440-NOW())*24</f>
        <v/>
      </c>
      <c r="E440" s="19">
        <f>IF('Ram - Digital ToDo'!Q440="Escalate to call","CALL NOW",IF('Ram - Digital ToDo'!N440="Bad contact","CALL NOW (digital failed)","Ram is handling - no action"))</f>
        <v/>
      </c>
      <c r="F440" s="19">
        <f>IF(E440="Ram is handling - no action","No action needed",IF(M440="","CALL 1: ring candidate, offer to book on call (Playbook C1)",IF(OR(M440="Scheduled on call",M440="Booked on their behalf"),"DONE: scheduled on call",IF(M440="Not interested/Declined","CLOSED: candidate declined (log + tell lead)",IF(N440="","CALL 2: final attempt (Playbook C2)",IF(OR(N440="Scheduled on call",N440="Booked on their behalf"),"DONE: scheduled on call",IF(N440="Escalate to AM","ESCALATED TO LEAD","Review")))))))</f>
        <v/>
      </c>
      <c r="G440" s="20">
        <f>IF(E440="Ram is handling - no action","",IF(M440="",B440+6/24,IF(AND(M440&lt;&gt;"Scheduled on call",M440&lt;&gt;"Booked on their behalf",M440&lt;&gt;"Not interested/Declined",N440=""),B440+20/24,"")))</f>
        <v/>
      </c>
      <c r="H440" s="19" t="inlineStr">
        <is>
          <t>Chetan</t>
        </is>
      </c>
      <c r="I440" s="19" t="inlineStr">
        <is>
          <t>Google</t>
        </is>
      </c>
      <c r="J440" s="19" t="inlineStr">
        <is>
          <t>Round1</t>
        </is>
      </c>
      <c r="K440" s="22" t="inlineStr">
        <is>
          <t>+91 9920264452</t>
        </is>
      </c>
      <c r="L440" s="19" t="inlineStr">
        <is>
          <t>&lt;calendly_link&gt;</t>
        </is>
      </c>
      <c r="M440" s="19" t="n"/>
      <c r="N440" s="19" t="n"/>
      <c r="O440" s="19">
        <f>IF(OR(M440="Scheduled on call",M440="Booked on their behalf",N440="Scheduled on call",N440="Booked on their behalf"),"SCHEDULED (call)",IF(OR(M440="Not interested/Declined",N440="Not interested/Declined"),"DECLINED",IF(N440="Escalate to AM","ESCALATED TO LEAD",IF(E440="Ram is handling - no action","N/A",IF(M440="","PENDING CALL 1","IN PROGRESS")))))</f>
        <v/>
      </c>
      <c r="P440" s="19">
        <f>IF(OR('Ram - Digital ToDo'!O440="Scheduled",'Ram - Digital ToDo'!Q440="Scheduled"),"Scheduled within SLA (self-serve)",IF(OR(M440="Scheduled on call",M440="Booked on their behalf",N440="Scheduled on call",N440="Booked on their behalf"),"Scheduled within SLA (call)",IF(OR(M440="Not interested/Declined",N440="Not interested/Declined"),"Declined",IF(N440="Escalate to AM","SLA breach - unresolved","In progress"))))</f>
        <v/>
      </c>
      <c r="Q440" s="19" t="n"/>
    </row>
    <row r="441">
      <c r="A441" s="19" t="inlineStr">
        <is>
          <t>REQ-0440</t>
        </is>
      </c>
      <c r="B441" s="20" t="n">
        <v>44867.82708333333</v>
      </c>
      <c r="C441" s="20">
        <f>B441+1</f>
        <v/>
      </c>
      <c r="D441" s="21">
        <f>(C441-NOW())*24</f>
        <v/>
      </c>
      <c r="E441" s="19">
        <f>IF('Ram - Digital ToDo'!Q441="Escalate to call","CALL NOW",IF('Ram - Digital ToDo'!N441="Bad contact","CALL NOW (digital failed)","Ram is handling - no action"))</f>
        <v/>
      </c>
      <c r="F441" s="19">
        <f>IF(E441="Ram is handling - no action","No action needed",IF(M441="","CALL 1: ring candidate, offer to book on call (Playbook C1)",IF(OR(M441="Scheduled on call",M441="Booked on their behalf"),"DONE: scheduled on call",IF(M441="Not interested/Declined","CLOSED: candidate declined (log + tell lead)",IF(N441="","CALL 2: final attempt (Playbook C2)",IF(OR(N441="Scheduled on call",N441="Booked on their behalf"),"DONE: scheduled on call",IF(N441="Escalate to AM","ESCALATED TO LEAD","Review")))))))</f>
        <v/>
      </c>
      <c r="G441" s="20">
        <f>IF(E441="Ram is handling - no action","",IF(M441="",B441+6/24,IF(AND(M441&lt;&gt;"Scheduled on call",M441&lt;&gt;"Booked on their behalf",M441&lt;&gt;"Not interested/Declined",N441=""),B441+20/24,"")))</f>
        <v/>
      </c>
      <c r="H441" s="19" t="inlineStr">
        <is>
          <t>Chetan</t>
        </is>
      </c>
      <c r="I441" s="19" t="inlineStr">
        <is>
          <t>Google</t>
        </is>
      </c>
      <c r="J441" s="19" t="inlineStr">
        <is>
          <t>Round1</t>
        </is>
      </c>
      <c r="K441" s="22" t="inlineStr">
        <is>
          <t>+91 9920264452</t>
        </is>
      </c>
      <c r="L441" s="19" t="inlineStr">
        <is>
          <t>&lt;calendly_link&gt;</t>
        </is>
      </c>
      <c r="M441" s="19" t="n"/>
      <c r="N441" s="19" t="n"/>
      <c r="O441" s="19">
        <f>IF(OR(M441="Scheduled on call",M441="Booked on their behalf",N441="Scheduled on call",N441="Booked on their behalf"),"SCHEDULED (call)",IF(OR(M441="Not interested/Declined",N441="Not interested/Declined"),"DECLINED",IF(N441="Escalate to AM","ESCALATED TO LEAD",IF(E441="Ram is handling - no action","N/A",IF(M441="","PENDING CALL 1","IN PROGRESS")))))</f>
        <v/>
      </c>
      <c r="P441" s="19">
        <f>IF(OR('Ram - Digital ToDo'!O441="Scheduled",'Ram - Digital ToDo'!Q441="Scheduled"),"Scheduled within SLA (self-serve)",IF(OR(M441="Scheduled on call",M441="Booked on their behalf",N441="Scheduled on call",N441="Booked on their behalf"),"Scheduled within SLA (call)",IF(OR(M441="Not interested/Declined",N441="Not interested/Declined"),"Declined",IF(N441="Escalate to AM","SLA breach - unresolved","In progress"))))</f>
        <v/>
      </c>
      <c r="Q441" s="19" t="n"/>
    </row>
    <row r="442">
      <c r="A442" s="19" t="inlineStr">
        <is>
          <t>REQ-0441</t>
        </is>
      </c>
      <c r="B442" s="20" t="n">
        <v>44867.82708333333</v>
      </c>
      <c r="C442" s="20">
        <f>B442+1</f>
        <v/>
      </c>
      <c r="D442" s="21">
        <f>(C442-NOW())*24</f>
        <v/>
      </c>
      <c r="E442" s="19">
        <f>IF('Ram - Digital ToDo'!Q442="Escalate to call","CALL NOW",IF('Ram - Digital ToDo'!N442="Bad contact","CALL NOW (digital failed)","Ram is handling - no action"))</f>
        <v/>
      </c>
      <c r="F442" s="19">
        <f>IF(E442="Ram is handling - no action","No action needed",IF(M442="","CALL 1: ring candidate, offer to book on call (Playbook C1)",IF(OR(M442="Scheduled on call",M442="Booked on their behalf"),"DONE: scheduled on call",IF(M442="Not interested/Declined","CLOSED: candidate declined (log + tell lead)",IF(N442="","CALL 2: final attempt (Playbook C2)",IF(OR(N442="Scheduled on call",N442="Booked on their behalf"),"DONE: scheduled on call",IF(N442="Escalate to AM","ESCALATED TO LEAD","Review")))))))</f>
        <v/>
      </c>
      <c r="G442" s="20">
        <f>IF(E442="Ram is handling - no action","",IF(M442="",B442+6/24,IF(AND(M442&lt;&gt;"Scheduled on call",M442&lt;&gt;"Booked on their behalf",M442&lt;&gt;"Not interested/Declined",N442=""),B442+20/24,"")))</f>
        <v/>
      </c>
      <c r="H442" s="19" t="inlineStr">
        <is>
          <t>Chetan</t>
        </is>
      </c>
      <c r="I442" s="19" t="inlineStr">
        <is>
          <t>Google</t>
        </is>
      </c>
      <c r="J442" s="19" t="inlineStr">
        <is>
          <t>Round1</t>
        </is>
      </c>
      <c r="K442" s="22" t="inlineStr">
        <is>
          <t>+91 9920264452</t>
        </is>
      </c>
      <c r="L442" s="19" t="inlineStr">
        <is>
          <t>&lt;calendly_link&gt;</t>
        </is>
      </c>
      <c r="M442" s="19" t="n"/>
      <c r="N442" s="19" t="n"/>
      <c r="O442" s="19">
        <f>IF(OR(M442="Scheduled on call",M442="Booked on their behalf",N442="Scheduled on call",N442="Booked on their behalf"),"SCHEDULED (call)",IF(OR(M442="Not interested/Declined",N442="Not interested/Declined"),"DECLINED",IF(N442="Escalate to AM","ESCALATED TO LEAD",IF(E442="Ram is handling - no action","N/A",IF(M442="","PENDING CALL 1","IN PROGRESS")))))</f>
        <v/>
      </c>
      <c r="P442" s="19">
        <f>IF(OR('Ram - Digital ToDo'!O442="Scheduled",'Ram - Digital ToDo'!Q442="Scheduled"),"Scheduled within SLA (self-serve)",IF(OR(M442="Scheduled on call",M442="Booked on their behalf",N442="Scheduled on call",N442="Booked on their behalf"),"Scheduled within SLA (call)",IF(OR(M442="Not interested/Declined",N442="Not interested/Declined"),"Declined",IF(N442="Escalate to AM","SLA breach - unresolved","In progress"))))</f>
        <v/>
      </c>
      <c r="Q442" s="19" t="n"/>
    </row>
    <row r="443">
      <c r="A443" s="19" t="inlineStr">
        <is>
          <t>REQ-0442</t>
        </is>
      </c>
      <c r="B443" s="20" t="n">
        <v>44867.82708333333</v>
      </c>
      <c r="C443" s="20">
        <f>B443+1</f>
        <v/>
      </c>
      <c r="D443" s="21">
        <f>(C443-NOW())*24</f>
        <v/>
      </c>
      <c r="E443" s="19">
        <f>IF('Ram - Digital ToDo'!Q443="Escalate to call","CALL NOW",IF('Ram - Digital ToDo'!N443="Bad contact","CALL NOW (digital failed)","Ram is handling - no action"))</f>
        <v/>
      </c>
      <c r="F443" s="19">
        <f>IF(E443="Ram is handling - no action","No action needed",IF(M443="","CALL 1: ring candidate, offer to book on call (Playbook C1)",IF(OR(M443="Scheduled on call",M443="Booked on their behalf"),"DONE: scheduled on call",IF(M443="Not interested/Declined","CLOSED: candidate declined (log + tell lead)",IF(N443="","CALL 2: final attempt (Playbook C2)",IF(OR(N443="Scheduled on call",N443="Booked on their behalf"),"DONE: scheduled on call",IF(N443="Escalate to AM","ESCALATED TO LEAD","Review")))))))</f>
        <v/>
      </c>
      <c r="G443" s="20">
        <f>IF(E443="Ram is handling - no action","",IF(M443="",B443+6/24,IF(AND(M443&lt;&gt;"Scheduled on call",M443&lt;&gt;"Booked on their behalf",M443&lt;&gt;"Not interested/Declined",N443=""),B443+20/24,"")))</f>
        <v/>
      </c>
      <c r="H443" s="19" t="inlineStr">
        <is>
          <t>Chetan</t>
        </is>
      </c>
      <c r="I443" s="19" t="inlineStr">
        <is>
          <t>Google</t>
        </is>
      </c>
      <c r="J443" s="19" t="inlineStr">
        <is>
          <t>Round1</t>
        </is>
      </c>
      <c r="K443" s="22" t="inlineStr">
        <is>
          <t>+91 9920264452</t>
        </is>
      </c>
      <c r="L443" s="19" t="inlineStr">
        <is>
          <t>&lt;calendly_link&gt;</t>
        </is>
      </c>
      <c r="M443" s="19" t="n"/>
      <c r="N443" s="19" t="n"/>
      <c r="O443" s="19">
        <f>IF(OR(M443="Scheduled on call",M443="Booked on their behalf",N443="Scheduled on call",N443="Booked on their behalf"),"SCHEDULED (call)",IF(OR(M443="Not interested/Declined",N443="Not interested/Declined"),"DECLINED",IF(N443="Escalate to AM","ESCALATED TO LEAD",IF(E443="Ram is handling - no action","N/A",IF(M443="","PENDING CALL 1","IN PROGRESS")))))</f>
        <v/>
      </c>
      <c r="P443" s="19">
        <f>IF(OR('Ram - Digital ToDo'!O443="Scheduled",'Ram - Digital ToDo'!Q443="Scheduled"),"Scheduled within SLA (self-serve)",IF(OR(M443="Scheduled on call",M443="Booked on their behalf",N443="Scheduled on call",N443="Booked on their behalf"),"Scheduled within SLA (call)",IF(OR(M443="Not interested/Declined",N443="Not interested/Declined"),"Declined",IF(N443="Escalate to AM","SLA breach - unresolved","In progress"))))</f>
        <v/>
      </c>
      <c r="Q443" s="19" t="n"/>
    </row>
    <row r="444">
      <c r="A444" s="19" t="inlineStr">
        <is>
          <t>REQ-0443</t>
        </is>
      </c>
      <c r="B444" s="20" t="n">
        <v>44867.82708333333</v>
      </c>
      <c r="C444" s="20">
        <f>B444+1</f>
        <v/>
      </c>
      <c r="D444" s="21">
        <f>(C444-NOW())*24</f>
        <v/>
      </c>
      <c r="E444" s="19">
        <f>IF('Ram - Digital ToDo'!Q444="Escalate to call","CALL NOW",IF('Ram - Digital ToDo'!N444="Bad contact","CALL NOW (digital failed)","Ram is handling - no action"))</f>
        <v/>
      </c>
      <c r="F444" s="19">
        <f>IF(E444="Ram is handling - no action","No action needed",IF(M444="","CALL 1: ring candidate, offer to book on call (Playbook C1)",IF(OR(M444="Scheduled on call",M444="Booked on their behalf"),"DONE: scheduled on call",IF(M444="Not interested/Declined","CLOSED: candidate declined (log + tell lead)",IF(N444="","CALL 2: final attempt (Playbook C2)",IF(OR(N444="Scheduled on call",N444="Booked on their behalf"),"DONE: scheduled on call",IF(N444="Escalate to AM","ESCALATED TO LEAD","Review")))))))</f>
        <v/>
      </c>
      <c r="G444" s="20">
        <f>IF(E444="Ram is handling - no action","",IF(M444="",B444+6/24,IF(AND(M444&lt;&gt;"Scheduled on call",M444&lt;&gt;"Booked on their behalf",M444&lt;&gt;"Not interested/Declined",N444=""),B444+20/24,"")))</f>
        <v/>
      </c>
      <c r="H444" s="19" t="inlineStr">
        <is>
          <t>Chetan</t>
        </is>
      </c>
      <c r="I444" s="19" t="inlineStr">
        <is>
          <t>Google</t>
        </is>
      </c>
      <c r="J444" s="19" t="inlineStr">
        <is>
          <t>Round1</t>
        </is>
      </c>
      <c r="K444" s="22" t="inlineStr">
        <is>
          <t>+91 9920264452</t>
        </is>
      </c>
      <c r="L444" s="19" t="inlineStr">
        <is>
          <t>&lt;calendly_link&gt;</t>
        </is>
      </c>
      <c r="M444" s="19" t="n"/>
      <c r="N444" s="19" t="n"/>
      <c r="O444" s="19">
        <f>IF(OR(M444="Scheduled on call",M444="Booked on their behalf",N444="Scheduled on call",N444="Booked on their behalf"),"SCHEDULED (call)",IF(OR(M444="Not interested/Declined",N444="Not interested/Declined"),"DECLINED",IF(N444="Escalate to AM","ESCALATED TO LEAD",IF(E444="Ram is handling - no action","N/A",IF(M444="","PENDING CALL 1","IN PROGRESS")))))</f>
        <v/>
      </c>
      <c r="P444" s="19">
        <f>IF(OR('Ram - Digital ToDo'!O444="Scheduled",'Ram - Digital ToDo'!Q444="Scheduled"),"Scheduled within SLA (self-serve)",IF(OR(M444="Scheduled on call",M444="Booked on their behalf",N444="Scheduled on call",N444="Booked on their behalf"),"Scheduled within SLA (call)",IF(OR(M444="Not interested/Declined",N444="Not interested/Declined"),"Declined",IF(N444="Escalate to AM","SLA breach - unresolved","In progress"))))</f>
        <v/>
      </c>
      <c r="Q444" s="19" t="n"/>
    </row>
    <row r="445">
      <c r="A445" s="19" t="inlineStr">
        <is>
          <t>REQ-0444</t>
        </is>
      </c>
      <c r="B445" s="20" t="n">
        <v>44867.82708333333</v>
      </c>
      <c r="C445" s="20">
        <f>B445+1</f>
        <v/>
      </c>
      <c r="D445" s="21">
        <f>(C445-NOW())*24</f>
        <v/>
      </c>
      <c r="E445" s="19">
        <f>IF('Ram - Digital ToDo'!Q445="Escalate to call","CALL NOW",IF('Ram - Digital ToDo'!N445="Bad contact","CALL NOW (digital failed)","Ram is handling - no action"))</f>
        <v/>
      </c>
      <c r="F445" s="19">
        <f>IF(E445="Ram is handling - no action","No action needed",IF(M445="","CALL 1: ring candidate, offer to book on call (Playbook C1)",IF(OR(M445="Scheduled on call",M445="Booked on their behalf"),"DONE: scheduled on call",IF(M445="Not interested/Declined","CLOSED: candidate declined (log + tell lead)",IF(N445="","CALL 2: final attempt (Playbook C2)",IF(OR(N445="Scheduled on call",N445="Booked on their behalf"),"DONE: scheduled on call",IF(N445="Escalate to AM","ESCALATED TO LEAD","Review")))))))</f>
        <v/>
      </c>
      <c r="G445" s="20">
        <f>IF(E445="Ram is handling - no action","",IF(M445="",B445+6/24,IF(AND(M445&lt;&gt;"Scheduled on call",M445&lt;&gt;"Booked on their behalf",M445&lt;&gt;"Not interested/Declined",N445=""),B445+20/24,"")))</f>
        <v/>
      </c>
      <c r="H445" s="19" t="inlineStr">
        <is>
          <t>Chetan</t>
        </is>
      </c>
      <c r="I445" s="19" t="inlineStr">
        <is>
          <t>Google</t>
        </is>
      </c>
      <c r="J445" s="19" t="inlineStr">
        <is>
          <t>Round1</t>
        </is>
      </c>
      <c r="K445" s="22" t="inlineStr">
        <is>
          <t>+91 9920264452</t>
        </is>
      </c>
      <c r="L445" s="19" t="inlineStr">
        <is>
          <t>&lt;calendly_link&gt;</t>
        </is>
      </c>
      <c r="M445" s="19" t="n"/>
      <c r="N445" s="19" t="n"/>
      <c r="O445" s="19">
        <f>IF(OR(M445="Scheduled on call",M445="Booked on their behalf",N445="Scheduled on call",N445="Booked on their behalf"),"SCHEDULED (call)",IF(OR(M445="Not interested/Declined",N445="Not interested/Declined"),"DECLINED",IF(N445="Escalate to AM","ESCALATED TO LEAD",IF(E445="Ram is handling - no action","N/A",IF(M445="","PENDING CALL 1","IN PROGRESS")))))</f>
        <v/>
      </c>
      <c r="P445" s="19">
        <f>IF(OR('Ram - Digital ToDo'!O445="Scheduled",'Ram - Digital ToDo'!Q445="Scheduled"),"Scheduled within SLA (self-serve)",IF(OR(M445="Scheduled on call",M445="Booked on their behalf",N445="Scheduled on call",N445="Booked on their behalf"),"Scheduled within SLA (call)",IF(OR(M445="Not interested/Declined",N445="Not interested/Declined"),"Declined",IF(N445="Escalate to AM","SLA breach - unresolved","In progress"))))</f>
        <v/>
      </c>
      <c r="Q445" s="19" t="n"/>
    </row>
    <row r="446">
      <c r="A446" s="19" t="inlineStr">
        <is>
          <t>REQ-0445</t>
        </is>
      </c>
      <c r="B446" s="20" t="n">
        <v>44867.82708333333</v>
      </c>
      <c r="C446" s="20">
        <f>B446+1</f>
        <v/>
      </c>
      <c r="D446" s="21">
        <f>(C446-NOW())*24</f>
        <v/>
      </c>
      <c r="E446" s="19">
        <f>IF('Ram - Digital ToDo'!Q446="Escalate to call","CALL NOW",IF('Ram - Digital ToDo'!N446="Bad contact","CALL NOW (digital failed)","Ram is handling - no action"))</f>
        <v/>
      </c>
      <c r="F446" s="19">
        <f>IF(E446="Ram is handling - no action","No action needed",IF(M446="","CALL 1: ring candidate, offer to book on call (Playbook C1)",IF(OR(M446="Scheduled on call",M446="Booked on their behalf"),"DONE: scheduled on call",IF(M446="Not interested/Declined","CLOSED: candidate declined (log + tell lead)",IF(N446="","CALL 2: final attempt (Playbook C2)",IF(OR(N446="Scheduled on call",N446="Booked on their behalf"),"DONE: scheduled on call",IF(N446="Escalate to AM","ESCALATED TO LEAD","Review")))))))</f>
        <v/>
      </c>
      <c r="G446" s="20">
        <f>IF(E446="Ram is handling - no action","",IF(M446="",B446+6/24,IF(AND(M446&lt;&gt;"Scheduled on call",M446&lt;&gt;"Booked on their behalf",M446&lt;&gt;"Not interested/Declined",N446=""),B446+20/24,"")))</f>
        <v/>
      </c>
      <c r="H446" s="19" t="inlineStr">
        <is>
          <t>Chetan</t>
        </is>
      </c>
      <c r="I446" s="19" t="inlineStr">
        <is>
          <t>Google</t>
        </is>
      </c>
      <c r="J446" s="19" t="inlineStr">
        <is>
          <t>Round1</t>
        </is>
      </c>
      <c r="K446" s="22" t="inlineStr">
        <is>
          <t>+91 9920264452</t>
        </is>
      </c>
      <c r="L446" s="19" t="inlineStr">
        <is>
          <t>&lt;calendly_link&gt;</t>
        </is>
      </c>
      <c r="M446" s="19" t="n"/>
      <c r="N446" s="19" t="n"/>
      <c r="O446" s="19">
        <f>IF(OR(M446="Scheduled on call",M446="Booked on their behalf",N446="Scheduled on call",N446="Booked on their behalf"),"SCHEDULED (call)",IF(OR(M446="Not interested/Declined",N446="Not interested/Declined"),"DECLINED",IF(N446="Escalate to AM","ESCALATED TO LEAD",IF(E446="Ram is handling - no action","N/A",IF(M446="","PENDING CALL 1","IN PROGRESS")))))</f>
        <v/>
      </c>
      <c r="P446" s="19">
        <f>IF(OR('Ram - Digital ToDo'!O446="Scheduled",'Ram - Digital ToDo'!Q446="Scheduled"),"Scheduled within SLA (self-serve)",IF(OR(M446="Scheduled on call",M446="Booked on their behalf",N446="Scheduled on call",N446="Booked on their behalf"),"Scheduled within SLA (call)",IF(OR(M446="Not interested/Declined",N446="Not interested/Declined"),"Declined",IF(N446="Escalate to AM","SLA breach - unresolved","In progress"))))</f>
        <v/>
      </c>
      <c r="Q446" s="19" t="n"/>
    </row>
    <row r="447">
      <c r="A447" s="19" t="inlineStr">
        <is>
          <t>REQ-0446</t>
        </is>
      </c>
      <c r="B447" s="20" t="n">
        <v>44867.82708333333</v>
      </c>
      <c r="C447" s="20">
        <f>B447+1</f>
        <v/>
      </c>
      <c r="D447" s="21">
        <f>(C447-NOW())*24</f>
        <v/>
      </c>
      <c r="E447" s="19">
        <f>IF('Ram - Digital ToDo'!Q447="Escalate to call","CALL NOW",IF('Ram - Digital ToDo'!N447="Bad contact","CALL NOW (digital failed)","Ram is handling - no action"))</f>
        <v/>
      </c>
      <c r="F447" s="19">
        <f>IF(E447="Ram is handling - no action","No action needed",IF(M447="","CALL 1: ring candidate, offer to book on call (Playbook C1)",IF(OR(M447="Scheduled on call",M447="Booked on their behalf"),"DONE: scheduled on call",IF(M447="Not interested/Declined","CLOSED: candidate declined (log + tell lead)",IF(N447="","CALL 2: final attempt (Playbook C2)",IF(OR(N447="Scheduled on call",N447="Booked on their behalf"),"DONE: scheduled on call",IF(N447="Escalate to AM","ESCALATED TO LEAD","Review")))))))</f>
        <v/>
      </c>
      <c r="G447" s="20">
        <f>IF(E447="Ram is handling - no action","",IF(M447="",B447+6/24,IF(AND(M447&lt;&gt;"Scheduled on call",M447&lt;&gt;"Booked on their behalf",M447&lt;&gt;"Not interested/Declined",N447=""),B447+20/24,"")))</f>
        <v/>
      </c>
      <c r="H447" s="19" t="inlineStr">
        <is>
          <t>Chetan</t>
        </is>
      </c>
      <c r="I447" s="19" t="inlineStr">
        <is>
          <t>Google</t>
        </is>
      </c>
      <c r="J447" s="19" t="inlineStr">
        <is>
          <t>Round1</t>
        </is>
      </c>
      <c r="K447" s="22" t="inlineStr">
        <is>
          <t>+91 9920264452</t>
        </is>
      </c>
      <c r="L447" s="19" t="inlineStr">
        <is>
          <t>&lt;calendly_link&gt;</t>
        </is>
      </c>
      <c r="M447" s="19" t="n"/>
      <c r="N447" s="19" t="n"/>
      <c r="O447" s="19">
        <f>IF(OR(M447="Scheduled on call",M447="Booked on their behalf",N447="Scheduled on call",N447="Booked on their behalf"),"SCHEDULED (call)",IF(OR(M447="Not interested/Declined",N447="Not interested/Declined"),"DECLINED",IF(N447="Escalate to AM","ESCALATED TO LEAD",IF(E447="Ram is handling - no action","N/A",IF(M447="","PENDING CALL 1","IN PROGRESS")))))</f>
        <v/>
      </c>
      <c r="P447" s="19">
        <f>IF(OR('Ram - Digital ToDo'!O447="Scheduled",'Ram - Digital ToDo'!Q447="Scheduled"),"Scheduled within SLA (self-serve)",IF(OR(M447="Scheduled on call",M447="Booked on their behalf",N447="Scheduled on call",N447="Booked on their behalf"),"Scheduled within SLA (call)",IF(OR(M447="Not interested/Declined",N447="Not interested/Declined"),"Declined",IF(N447="Escalate to AM","SLA breach - unresolved","In progress"))))</f>
        <v/>
      </c>
      <c r="Q447" s="19" t="n"/>
    </row>
    <row r="448">
      <c r="A448" s="19" t="inlineStr">
        <is>
          <t>REQ-0447</t>
        </is>
      </c>
      <c r="B448" s="20" t="n">
        <v>44867.82708333333</v>
      </c>
      <c r="C448" s="20">
        <f>B448+1</f>
        <v/>
      </c>
      <c r="D448" s="21">
        <f>(C448-NOW())*24</f>
        <v/>
      </c>
      <c r="E448" s="19">
        <f>IF('Ram - Digital ToDo'!Q448="Escalate to call","CALL NOW",IF('Ram - Digital ToDo'!N448="Bad contact","CALL NOW (digital failed)","Ram is handling - no action"))</f>
        <v/>
      </c>
      <c r="F448" s="19">
        <f>IF(E448="Ram is handling - no action","No action needed",IF(M448="","CALL 1: ring candidate, offer to book on call (Playbook C1)",IF(OR(M448="Scheduled on call",M448="Booked on their behalf"),"DONE: scheduled on call",IF(M448="Not interested/Declined","CLOSED: candidate declined (log + tell lead)",IF(N448="","CALL 2: final attempt (Playbook C2)",IF(OR(N448="Scheduled on call",N448="Booked on their behalf"),"DONE: scheduled on call",IF(N448="Escalate to AM","ESCALATED TO LEAD","Review")))))))</f>
        <v/>
      </c>
      <c r="G448" s="20">
        <f>IF(E448="Ram is handling - no action","",IF(M448="",B448+6/24,IF(AND(M448&lt;&gt;"Scheduled on call",M448&lt;&gt;"Booked on their behalf",M448&lt;&gt;"Not interested/Declined",N448=""),B448+20/24,"")))</f>
        <v/>
      </c>
      <c r="H448" s="19" t="inlineStr">
        <is>
          <t>Chetan</t>
        </is>
      </c>
      <c r="I448" s="19" t="inlineStr">
        <is>
          <t>Google</t>
        </is>
      </c>
      <c r="J448" s="19" t="inlineStr">
        <is>
          <t>Round1</t>
        </is>
      </c>
      <c r="K448" s="22" t="inlineStr">
        <is>
          <t>+91 9920264452</t>
        </is>
      </c>
      <c r="L448" s="19" t="inlineStr">
        <is>
          <t>&lt;calendly_link&gt;</t>
        </is>
      </c>
      <c r="M448" s="19" t="n"/>
      <c r="N448" s="19" t="n"/>
      <c r="O448" s="19">
        <f>IF(OR(M448="Scheduled on call",M448="Booked on their behalf",N448="Scheduled on call",N448="Booked on their behalf"),"SCHEDULED (call)",IF(OR(M448="Not interested/Declined",N448="Not interested/Declined"),"DECLINED",IF(N448="Escalate to AM","ESCALATED TO LEAD",IF(E448="Ram is handling - no action","N/A",IF(M448="","PENDING CALL 1","IN PROGRESS")))))</f>
        <v/>
      </c>
      <c r="P448" s="19">
        <f>IF(OR('Ram - Digital ToDo'!O448="Scheduled",'Ram - Digital ToDo'!Q448="Scheduled"),"Scheduled within SLA (self-serve)",IF(OR(M448="Scheduled on call",M448="Booked on their behalf",N448="Scheduled on call",N448="Booked on their behalf"),"Scheduled within SLA (call)",IF(OR(M448="Not interested/Declined",N448="Not interested/Declined"),"Declined",IF(N448="Escalate to AM","SLA breach - unresolved","In progress"))))</f>
        <v/>
      </c>
      <c r="Q448" s="19" t="n"/>
    </row>
    <row r="449">
      <c r="A449" s="19" t="inlineStr">
        <is>
          <t>REQ-0448</t>
        </is>
      </c>
      <c r="B449" s="20" t="n">
        <v>44867.82708333333</v>
      </c>
      <c r="C449" s="20">
        <f>B449+1</f>
        <v/>
      </c>
      <c r="D449" s="21">
        <f>(C449-NOW())*24</f>
        <v/>
      </c>
      <c r="E449" s="19">
        <f>IF('Ram - Digital ToDo'!Q449="Escalate to call","CALL NOW",IF('Ram - Digital ToDo'!N449="Bad contact","CALL NOW (digital failed)","Ram is handling - no action"))</f>
        <v/>
      </c>
      <c r="F449" s="19">
        <f>IF(E449="Ram is handling - no action","No action needed",IF(M449="","CALL 1: ring candidate, offer to book on call (Playbook C1)",IF(OR(M449="Scheduled on call",M449="Booked on their behalf"),"DONE: scheduled on call",IF(M449="Not interested/Declined","CLOSED: candidate declined (log + tell lead)",IF(N449="","CALL 2: final attempt (Playbook C2)",IF(OR(N449="Scheduled on call",N449="Booked on their behalf"),"DONE: scheduled on call",IF(N449="Escalate to AM","ESCALATED TO LEAD","Review")))))))</f>
        <v/>
      </c>
      <c r="G449" s="20">
        <f>IF(E449="Ram is handling - no action","",IF(M449="",B449+6/24,IF(AND(M449&lt;&gt;"Scheduled on call",M449&lt;&gt;"Booked on their behalf",M449&lt;&gt;"Not interested/Declined",N449=""),B449+20/24,"")))</f>
        <v/>
      </c>
      <c r="H449" s="19" t="inlineStr">
        <is>
          <t>Chetan</t>
        </is>
      </c>
      <c r="I449" s="19" t="inlineStr">
        <is>
          <t>Google</t>
        </is>
      </c>
      <c r="J449" s="19" t="inlineStr">
        <is>
          <t>Round1</t>
        </is>
      </c>
      <c r="K449" s="22" t="inlineStr">
        <is>
          <t>+91 9920264452</t>
        </is>
      </c>
      <c r="L449" s="19" t="inlineStr">
        <is>
          <t>&lt;calendly_link&gt;</t>
        </is>
      </c>
      <c r="M449" s="19" t="n"/>
      <c r="N449" s="19" t="n"/>
      <c r="O449" s="19">
        <f>IF(OR(M449="Scheduled on call",M449="Booked on their behalf",N449="Scheduled on call",N449="Booked on their behalf"),"SCHEDULED (call)",IF(OR(M449="Not interested/Declined",N449="Not interested/Declined"),"DECLINED",IF(N449="Escalate to AM","ESCALATED TO LEAD",IF(E449="Ram is handling - no action","N/A",IF(M449="","PENDING CALL 1","IN PROGRESS")))))</f>
        <v/>
      </c>
      <c r="P449" s="19">
        <f>IF(OR('Ram - Digital ToDo'!O449="Scheduled",'Ram - Digital ToDo'!Q449="Scheduled"),"Scheduled within SLA (self-serve)",IF(OR(M449="Scheduled on call",M449="Booked on their behalf",N449="Scheduled on call",N449="Booked on their behalf"),"Scheduled within SLA (call)",IF(OR(M449="Not interested/Declined",N449="Not interested/Declined"),"Declined",IF(N449="Escalate to AM","SLA breach - unresolved","In progress"))))</f>
        <v/>
      </c>
      <c r="Q449" s="19" t="n"/>
    </row>
    <row r="450">
      <c r="A450" s="19" t="inlineStr">
        <is>
          <t>REQ-0449</t>
        </is>
      </c>
      <c r="B450" s="20" t="n">
        <v>44867.82708333333</v>
      </c>
      <c r="C450" s="20">
        <f>B450+1</f>
        <v/>
      </c>
      <c r="D450" s="21">
        <f>(C450-NOW())*24</f>
        <v/>
      </c>
      <c r="E450" s="19">
        <f>IF('Ram - Digital ToDo'!Q450="Escalate to call","CALL NOW",IF('Ram - Digital ToDo'!N450="Bad contact","CALL NOW (digital failed)","Ram is handling - no action"))</f>
        <v/>
      </c>
      <c r="F450" s="19">
        <f>IF(E450="Ram is handling - no action","No action needed",IF(M450="","CALL 1: ring candidate, offer to book on call (Playbook C1)",IF(OR(M450="Scheduled on call",M450="Booked on their behalf"),"DONE: scheduled on call",IF(M450="Not interested/Declined","CLOSED: candidate declined (log + tell lead)",IF(N450="","CALL 2: final attempt (Playbook C2)",IF(OR(N450="Scheduled on call",N450="Booked on their behalf"),"DONE: scheduled on call",IF(N450="Escalate to AM","ESCALATED TO LEAD","Review")))))))</f>
        <v/>
      </c>
      <c r="G450" s="20">
        <f>IF(E450="Ram is handling - no action","",IF(M450="",B450+6/24,IF(AND(M450&lt;&gt;"Scheduled on call",M450&lt;&gt;"Booked on their behalf",M450&lt;&gt;"Not interested/Declined",N450=""),B450+20/24,"")))</f>
        <v/>
      </c>
      <c r="H450" s="19" t="inlineStr">
        <is>
          <t>Chetan</t>
        </is>
      </c>
      <c r="I450" s="19" t="inlineStr">
        <is>
          <t>Google</t>
        </is>
      </c>
      <c r="J450" s="19" t="inlineStr">
        <is>
          <t>Round1</t>
        </is>
      </c>
      <c r="K450" s="22" t="inlineStr">
        <is>
          <t>+91 9920264452</t>
        </is>
      </c>
      <c r="L450" s="19" t="inlineStr">
        <is>
          <t>&lt;calendly_link&gt;</t>
        </is>
      </c>
      <c r="M450" s="19" t="n"/>
      <c r="N450" s="19" t="n"/>
      <c r="O450" s="19">
        <f>IF(OR(M450="Scheduled on call",M450="Booked on their behalf",N450="Scheduled on call",N450="Booked on their behalf"),"SCHEDULED (call)",IF(OR(M450="Not interested/Declined",N450="Not interested/Declined"),"DECLINED",IF(N450="Escalate to AM","ESCALATED TO LEAD",IF(E450="Ram is handling - no action","N/A",IF(M450="","PENDING CALL 1","IN PROGRESS")))))</f>
        <v/>
      </c>
      <c r="P450" s="19">
        <f>IF(OR('Ram - Digital ToDo'!O450="Scheduled",'Ram - Digital ToDo'!Q450="Scheduled"),"Scheduled within SLA (self-serve)",IF(OR(M450="Scheduled on call",M450="Booked on their behalf",N450="Scheduled on call",N450="Booked on their behalf"),"Scheduled within SLA (call)",IF(OR(M450="Not interested/Declined",N450="Not interested/Declined"),"Declined",IF(N450="Escalate to AM","SLA breach - unresolved","In progress"))))</f>
        <v/>
      </c>
      <c r="Q450" s="19" t="n"/>
    </row>
    <row r="451">
      <c r="A451" s="19" t="inlineStr">
        <is>
          <t>REQ-0450</t>
        </is>
      </c>
      <c r="B451" s="20" t="n">
        <v>44867.82708333333</v>
      </c>
      <c r="C451" s="20">
        <f>B451+1</f>
        <v/>
      </c>
      <c r="D451" s="21">
        <f>(C451-NOW())*24</f>
        <v/>
      </c>
      <c r="E451" s="19">
        <f>IF('Ram - Digital ToDo'!Q451="Escalate to call","CALL NOW",IF('Ram - Digital ToDo'!N451="Bad contact","CALL NOW (digital failed)","Ram is handling - no action"))</f>
        <v/>
      </c>
      <c r="F451" s="19">
        <f>IF(E451="Ram is handling - no action","No action needed",IF(M451="","CALL 1: ring candidate, offer to book on call (Playbook C1)",IF(OR(M451="Scheduled on call",M451="Booked on their behalf"),"DONE: scheduled on call",IF(M451="Not interested/Declined","CLOSED: candidate declined (log + tell lead)",IF(N451="","CALL 2: final attempt (Playbook C2)",IF(OR(N451="Scheduled on call",N451="Booked on their behalf"),"DONE: scheduled on call",IF(N451="Escalate to AM","ESCALATED TO LEAD","Review")))))))</f>
        <v/>
      </c>
      <c r="G451" s="20">
        <f>IF(E451="Ram is handling - no action","",IF(M451="",B451+6/24,IF(AND(M451&lt;&gt;"Scheduled on call",M451&lt;&gt;"Booked on their behalf",M451&lt;&gt;"Not interested/Declined",N451=""),B451+20/24,"")))</f>
        <v/>
      </c>
      <c r="H451" s="19" t="inlineStr">
        <is>
          <t>Chetan</t>
        </is>
      </c>
      <c r="I451" s="19" t="inlineStr">
        <is>
          <t>Google</t>
        </is>
      </c>
      <c r="J451" s="19" t="inlineStr">
        <is>
          <t>Round1</t>
        </is>
      </c>
      <c r="K451" s="22" t="inlineStr">
        <is>
          <t>+91 9920264452</t>
        </is>
      </c>
      <c r="L451" s="19" t="inlineStr">
        <is>
          <t>&lt;calendly_link&gt;</t>
        </is>
      </c>
      <c r="M451" s="19" t="n"/>
      <c r="N451" s="19" t="n"/>
      <c r="O451" s="19">
        <f>IF(OR(M451="Scheduled on call",M451="Booked on their behalf",N451="Scheduled on call",N451="Booked on their behalf"),"SCHEDULED (call)",IF(OR(M451="Not interested/Declined",N451="Not interested/Declined"),"DECLINED",IF(N451="Escalate to AM","ESCALATED TO LEAD",IF(E451="Ram is handling - no action","N/A",IF(M451="","PENDING CALL 1","IN PROGRESS")))))</f>
        <v/>
      </c>
      <c r="P451" s="19">
        <f>IF(OR('Ram - Digital ToDo'!O451="Scheduled",'Ram - Digital ToDo'!Q451="Scheduled"),"Scheduled within SLA (self-serve)",IF(OR(M451="Scheduled on call",M451="Booked on their behalf",N451="Scheduled on call",N451="Booked on their behalf"),"Scheduled within SLA (call)",IF(OR(M451="Not interested/Declined",N451="Not interested/Declined"),"Declined",IF(N451="Escalate to AM","SLA breach - unresolved","In progress"))))</f>
        <v/>
      </c>
      <c r="Q451" s="19" t="n"/>
    </row>
    <row r="452">
      <c r="A452" s="19" t="inlineStr">
        <is>
          <t>REQ-0451</t>
        </is>
      </c>
      <c r="B452" s="20" t="n">
        <v>44867.82708333333</v>
      </c>
      <c r="C452" s="20">
        <f>B452+1</f>
        <v/>
      </c>
      <c r="D452" s="21">
        <f>(C452-NOW())*24</f>
        <v/>
      </c>
      <c r="E452" s="19">
        <f>IF('Ram - Digital ToDo'!Q452="Escalate to call","CALL NOW",IF('Ram - Digital ToDo'!N452="Bad contact","CALL NOW (digital failed)","Ram is handling - no action"))</f>
        <v/>
      </c>
      <c r="F452" s="19">
        <f>IF(E452="Ram is handling - no action","No action needed",IF(M452="","CALL 1: ring candidate, offer to book on call (Playbook C1)",IF(OR(M452="Scheduled on call",M452="Booked on their behalf"),"DONE: scheduled on call",IF(M452="Not interested/Declined","CLOSED: candidate declined (log + tell lead)",IF(N452="","CALL 2: final attempt (Playbook C2)",IF(OR(N452="Scheduled on call",N452="Booked on their behalf"),"DONE: scheduled on call",IF(N452="Escalate to AM","ESCALATED TO LEAD","Review")))))))</f>
        <v/>
      </c>
      <c r="G452" s="20">
        <f>IF(E452="Ram is handling - no action","",IF(M452="",B452+6/24,IF(AND(M452&lt;&gt;"Scheduled on call",M452&lt;&gt;"Booked on their behalf",M452&lt;&gt;"Not interested/Declined",N452=""),B452+20/24,"")))</f>
        <v/>
      </c>
      <c r="H452" s="19" t="inlineStr">
        <is>
          <t>Chetan</t>
        </is>
      </c>
      <c r="I452" s="19" t="inlineStr">
        <is>
          <t>Google</t>
        </is>
      </c>
      <c r="J452" s="19" t="inlineStr">
        <is>
          <t>Round1</t>
        </is>
      </c>
      <c r="K452" s="22" t="inlineStr">
        <is>
          <t>+91 9920264452</t>
        </is>
      </c>
      <c r="L452" s="19" t="inlineStr">
        <is>
          <t>&lt;calendly_link&gt;</t>
        </is>
      </c>
      <c r="M452" s="19" t="n"/>
      <c r="N452" s="19" t="n"/>
      <c r="O452" s="19">
        <f>IF(OR(M452="Scheduled on call",M452="Booked on their behalf",N452="Scheduled on call",N452="Booked on their behalf"),"SCHEDULED (call)",IF(OR(M452="Not interested/Declined",N452="Not interested/Declined"),"DECLINED",IF(N452="Escalate to AM","ESCALATED TO LEAD",IF(E452="Ram is handling - no action","N/A",IF(M452="","PENDING CALL 1","IN PROGRESS")))))</f>
        <v/>
      </c>
      <c r="P452" s="19">
        <f>IF(OR('Ram - Digital ToDo'!O452="Scheduled",'Ram - Digital ToDo'!Q452="Scheduled"),"Scheduled within SLA (self-serve)",IF(OR(M452="Scheduled on call",M452="Booked on their behalf",N452="Scheduled on call",N452="Booked on their behalf"),"Scheduled within SLA (call)",IF(OR(M452="Not interested/Declined",N452="Not interested/Declined"),"Declined",IF(N452="Escalate to AM","SLA breach - unresolved","In progress"))))</f>
        <v/>
      </c>
      <c r="Q452" s="19" t="n"/>
    </row>
    <row r="453">
      <c r="A453" s="19" t="inlineStr">
        <is>
          <t>REQ-0452</t>
        </is>
      </c>
      <c r="B453" s="20" t="n">
        <v>44867.82708333333</v>
      </c>
      <c r="C453" s="20">
        <f>B453+1</f>
        <v/>
      </c>
      <c r="D453" s="21">
        <f>(C453-NOW())*24</f>
        <v/>
      </c>
      <c r="E453" s="19">
        <f>IF('Ram - Digital ToDo'!Q453="Escalate to call","CALL NOW",IF('Ram - Digital ToDo'!N453="Bad contact","CALL NOW (digital failed)","Ram is handling - no action"))</f>
        <v/>
      </c>
      <c r="F453" s="19">
        <f>IF(E453="Ram is handling - no action","No action needed",IF(M453="","CALL 1: ring candidate, offer to book on call (Playbook C1)",IF(OR(M453="Scheduled on call",M453="Booked on their behalf"),"DONE: scheduled on call",IF(M453="Not interested/Declined","CLOSED: candidate declined (log + tell lead)",IF(N453="","CALL 2: final attempt (Playbook C2)",IF(OR(N453="Scheduled on call",N453="Booked on their behalf"),"DONE: scheduled on call",IF(N453="Escalate to AM","ESCALATED TO LEAD","Review")))))))</f>
        <v/>
      </c>
      <c r="G453" s="20">
        <f>IF(E453="Ram is handling - no action","",IF(M453="",B453+6/24,IF(AND(M453&lt;&gt;"Scheduled on call",M453&lt;&gt;"Booked on their behalf",M453&lt;&gt;"Not interested/Declined",N453=""),B453+20/24,"")))</f>
        <v/>
      </c>
      <c r="H453" s="19" t="inlineStr">
        <is>
          <t>Chetan</t>
        </is>
      </c>
      <c r="I453" s="19" t="inlineStr">
        <is>
          <t>Google</t>
        </is>
      </c>
      <c r="J453" s="19" t="inlineStr">
        <is>
          <t>Round1</t>
        </is>
      </c>
      <c r="K453" s="22" t="inlineStr">
        <is>
          <t>+91 9920264452</t>
        </is>
      </c>
      <c r="L453" s="19" t="inlineStr">
        <is>
          <t>&lt;calendly_link&gt;</t>
        </is>
      </c>
      <c r="M453" s="19" t="n"/>
      <c r="N453" s="19" t="n"/>
      <c r="O453" s="19">
        <f>IF(OR(M453="Scheduled on call",M453="Booked on their behalf",N453="Scheduled on call",N453="Booked on their behalf"),"SCHEDULED (call)",IF(OR(M453="Not interested/Declined",N453="Not interested/Declined"),"DECLINED",IF(N453="Escalate to AM","ESCALATED TO LEAD",IF(E453="Ram is handling - no action","N/A",IF(M453="","PENDING CALL 1","IN PROGRESS")))))</f>
        <v/>
      </c>
      <c r="P453" s="19">
        <f>IF(OR('Ram - Digital ToDo'!O453="Scheduled",'Ram - Digital ToDo'!Q453="Scheduled"),"Scheduled within SLA (self-serve)",IF(OR(M453="Scheduled on call",M453="Booked on their behalf",N453="Scheduled on call",N453="Booked on their behalf"),"Scheduled within SLA (call)",IF(OR(M453="Not interested/Declined",N453="Not interested/Declined"),"Declined",IF(N453="Escalate to AM","SLA breach - unresolved","In progress"))))</f>
        <v/>
      </c>
      <c r="Q453" s="19" t="n"/>
    </row>
    <row r="454">
      <c r="A454" s="19" t="inlineStr">
        <is>
          <t>REQ-0453</t>
        </is>
      </c>
      <c r="B454" s="20" t="n">
        <v>44867.82708333333</v>
      </c>
      <c r="C454" s="20">
        <f>B454+1</f>
        <v/>
      </c>
      <c r="D454" s="21">
        <f>(C454-NOW())*24</f>
        <v/>
      </c>
      <c r="E454" s="19">
        <f>IF('Ram - Digital ToDo'!Q454="Escalate to call","CALL NOW",IF('Ram - Digital ToDo'!N454="Bad contact","CALL NOW (digital failed)","Ram is handling - no action"))</f>
        <v/>
      </c>
      <c r="F454" s="19">
        <f>IF(E454="Ram is handling - no action","No action needed",IF(M454="","CALL 1: ring candidate, offer to book on call (Playbook C1)",IF(OR(M454="Scheduled on call",M454="Booked on their behalf"),"DONE: scheduled on call",IF(M454="Not interested/Declined","CLOSED: candidate declined (log + tell lead)",IF(N454="","CALL 2: final attempt (Playbook C2)",IF(OR(N454="Scheduled on call",N454="Booked on their behalf"),"DONE: scheduled on call",IF(N454="Escalate to AM","ESCALATED TO LEAD","Review")))))))</f>
        <v/>
      </c>
      <c r="G454" s="20">
        <f>IF(E454="Ram is handling - no action","",IF(M454="",B454+6/24,IF(AND(M454&lt;&gt;"Scheduled on call",M454&lt;&gt;"Booked on their behalf",M454&lt;&gt;"Not interested/Declined",N454=""),B454+20/24,"")))</f>
        <v/>
      </c>
      <c r="H454" s="19" t="inlineStr">
        <is>
          <t>Chetan</t>
        </is>
      </c>
      <c r="I454" s="19" t="inlineStr">
        <is>
          <t>Google</t>
        </is>
      </c>
      <c r="J454" s="19" t="inlineStr">
        <is>
          <t>Round1</t>
        </is>
      </c>
      <c r="K454" s="22" t="inlineStr">
        <is>
          <t>+91 9920264452</t>
        </is>
      </c>
      <c r="L454" s="19" t="inlineStr">
        <is>
          <t>&lt;calendly_link&gt;</t>
        </is>
      </c>
      <c r="M454" s="19" t="n"/>
      <c r="N454" s="19" t="n"/>
      <c r="O454" s="19">
        <f>IF(OR(M454="Scheduled on call",M454="Booked on their behalf",N454="Scheduled on call",N454="Booked on their behalf"),"SCHEDULED (call)",IF(OR(M454="Not interested/Declined",N454="Not interested/Declined"),"DECLINED",IF(N454="Escalate to AM","ESCALATED TO LEAD",IF(E454="Ram is handling - no action","N/A",IF(M454="","PENDING CALL 1","IN PROGRESS")))))</f>
        <v/>
      </c>
      <c r="P454" s="19">
        <f>IF(OR('Ram - Digital ToDo'!O454="Scheduled",'Ram - Digital ToDo'!Q454="Scheduled"),"Scheduled within SLA (self-serve)",IF(OR(M454="Scheduled on call",M454="Booked on their behalf",N454="Scheduled on call",N454="Booked on their behalf"),"Scheduled within SLA (call)",IF(OR(M454="Not interested/Declined",N454="Not interested/Declined"),"Declined",IF(N454="Escalate to AM","SLA breach - unresolved","In progress"))))</f>
        <v/>
      </c>
      <c r="Q454" s="19" t="n"/>
    </row>
    <row r="455">
      <c r="A455" s="19" t="inlineStr">
        <is>
          <t>REQ-0454</t>
        </is>
      </c>
      <c r="B455" s="20" t="n">
        <v>44867.82708333333</v>
      </c>
      <c r="C455" s="20">
        <f>B455+1</f>
        <v/>
      </c>
      <c r="D455" s="21">
        <f>(C455-NOW())*24</f>
        <v/>
      </c>
      <c r="E455" s="19">
        <f>IF('Ram - Digital ToDo'!Q455="Escalate to call","CALL NOW",IF('Ram - Digital ToDo'!N455="Bad contact","CALL NOW (digital failed)","Ram is handling - no action"))</f>
        <v/>
      </c>
      <c r="F455" s="19">
        <f>IF(E455="Ram is handling - no action","No action needed",IF(M455="","CALL 1: ring candidate, offer to book on call (Playbook C1)",IF(OR(M455="Scheduled on call",M455="Booked on their behalf"),"DONE: scheduled on call",IF(M455="Not interested/Declined","CLOSED: candidate declined (log + tell lead)",IF(N455="","CALL 2: final attempt (Playbook C2)",IF(OR(N455="Scheduled on call",N455="Booked on their behalf"),"DONE: scheduled on call",IF(N455="Escalate to AM","ESCALATED TO LEAD","Review")))))))</f>
        <v/>
      </c>
      <c r="G455" s="20">
        <f>IF(E455="Ram is handling - no action","",IF(M455="",B455+6/24,IF(AND(M455&lt;&gt;"Scheduled on call",M455&lt;&gt;"Booked on their behalf",M455&lt;&gt;"Not interested/Declined",N455=""),B455+20/24,"")))</f>
        <v/>
      </c>
      <c r="H455" s="19" t="inlineStr">
        <is>
          <t>Chetan</t>
        </is>
      </c>
      <c r="I455" s="19" t="inlineStr">
        <is>
          <t>Google</t>
        </is>
      </c>
      <c r="J455" s="19" t="inlineStr">
        <is>
          <t>Round1</t>
        </is>
      </c>
      <c r="K455" s="22" t="inlineStr">
        <is>
          <t>+91 9920264452</t>
        </is>
      </c>
      <c r="L455" s="19" t="inlineStr">
        <is>
          <t>&lt;calendly_link&gt;</t>
        </is>
      </c>
      <c r="M455" s="19" t="n"/>
      <c r="N455" s="19" t="n"/>
      <c r="O455" s="19">
        <f>IF(OR(M455="Scheduled on call",M455="Booked on their behalf",N455="Scheduled on call",N455="Booked on their behalf"),"SCHEDULED (call)",IF(OR(M455="Not interested/Declined",N455="Not interested/Declined"),"DECLINED",IF(N455="Escalate to AM","ESCALATED TO LEAD",IF(E455="Ram is handling - no action","N/A",IF(M455="","PENDING CALL 1","IN PROGRESS")))))</f>
        <v/>
      </c>
      <c r="P455" s="19">
        <f>IF(OR('Ram - Digital ToDo'!O455="Scheduled",'Ram - Digital ToDo'!Q455="Scheduled"),"Scheduled within SLA (self-serve)",IF(OR(M455="Scheduled on call",M455="Booked on their behalf",N455="Scheduled on call",N455="Booked on their behalf"),"Scheduled within SLA (call)",IF(OR(M455="Not interested/Declined",N455="Not interested/Declined"),"Declined",IF(N455="Escalate to AM","SLA breach - unresolved","In progress"))))</f>
        <v/>
      </c>
      <c r="Q455" s="19" t="n"/>
    </row>
    <row r="456">
      <c r="A456" s="19" t="inlineStr">
        <is>
          <t>REQ-0455</t>
        </is>
      </c>
      <c r="B456" s="20" t="n">
        <v>44867.82708333333</v>
      </c>
      <c r="C456" s="20">
        <f>B456+1</f>
        <v/>
      </c>
      <c r="D456" s="21">
        <f>(C456-NOW())*24</f>
        <v/>
      </c>
      <c r="E456" s="19">
        <f>IF('Ram - Digital ToDo'!Q456="Escalate to call","CALL NOW",IF('Ram - Digital ToDo'!N456="Bad contact","CALL NOW (digital failed)","Ram is handling - no action"))</f>
        <v/>
      </c>
      <c r="F456" s="19">
        <f>IF(E456="Ram is handling - no action","No action needed",IF(M456="","CALL 1: ring candidate, offer to book on call (Playbook C1)",IF(OR(M456="Scheduled on call",M456="Booked on their behalf"),"DONE: scheduled on call",IF(M456="Not interested/Declined","CLOSED: candidate declined (log + tell lead)",IF(N456="","CALL 2: final attempt (Playbook C2)",IF(OR(N456="Scheduled on call",N456="Booked on their behalf"),"DONE: scheduled on call",IF(N456="Escalate to AM","ESCALATED TO LEAD","Review")))))))</f>
        <v/>
      </c>
      <c r="G456" s="20">
        <f>IF(E456="Ram is handling - no action","",IF(M456="",B456+6/24,IF(AND(M456&lt;&gt;"Scheduled on call",M456&lt;&gt;"Booked on their behalf",M456&lt;&gt;"Not interested/Declined",N456=""),B456+20/24,"")))</f>
        <v/>
      </c>
      <c r="H456" s="19" t="inlineStr">
        <is>
          <t>Chetan</t>
        </is>
      </c>
      <c r="I456" s="19" t="inlineStr">
        <is>
          <t>Google</t>
        </is>
      </c>
      <c r="J456" s="19" t="inlineStr">
        <is>
          <t>Round1</t>
        </is>
      </c>
      <c r="K456" s="22" t="inlineStr">
        <is>
          <t>+91 9920264452</t>
        </is>
      </c>
      <c r="L456" s="19" t="inlineStr">
        <is>
          <t>&lt;calendly_link&gt;</t>
        </is>
      </c>
      <c r="M456" s="19" t="n"/>
      <c r="N456" s="19" t="n"/>
      <c r="O456" s="19">
        <f>IF(OR(M456="Scheduled on call",M456="Booked on their behalf",N456="Scheduled on call",N456="Booked on their behalf"),"SCHEDULED (call)",IF(OR(M456="Not interested/Declined",N456="Not interested/Declined"),"DECLINED",IF(N456="Escalate to AM","ESCALATED TO LEAD",IF(E456="Ram is handling - no action","N/A",IF(M456="","PENDING CALL 1","IN PROGRESS")))))</f>
        <v/>
      </c>
      <c r="P456" s="19">
        <f>IF(OR('Ram - Digital ToDo'!O456="Scheduled",'Ram - Digital ToDo'!Q456="Scheduled"),"Scheduled within SLA (self-serve)",IF(OR(M456="Scheduled on call",M456="Booked on their behalf",N456="Scheduled on call",N456="Booked on their behalf"),"Scheduled within SLA (call)",IF(OR(M456="Not interested/Declined",N456="Not interested/Declined"),"Declined",IF(N456="Escalate to AM","SLA breach - unresolved","In progress"))))</f>
        <v/>
      </c>
      <c r="Q456" s="19" t="n"/>
    </row>
    <row r="457">
      <c r="A457" s="19" t="inlineStr">
        <is>
          <t>REQ-0456</t>
        </is>
      </c>
      <c r="B457" s="20" t="n">
        <v>44867.82708333333</v>
      </c>
      <c r="C457" s="20">
        <f>B457+1</f>
        <v/>
      </c>
      <c r="D457" s="21">
        <f>(C457-NOW())*24</f>
        <v/>
      </c>
      <c r="E457" s="19">
        <f>IF('Ram - Digital ToDo'!Q457="Escalate to call","CALL NOW",IF('Ram - Digital ToDo'!N457="Bad contact","CALL NOW (digital failed)","Ram is handling - no action"))</f>
        <v/>
      </c>
      <c r="F457" s="19">
        <f>IF(E457="Ram is handling - no action","No action needed",IF(M457="","CALL 1: ring candidate, offer to book on call (Playbook C1)",IF(OR(M457="Scheduled on call",M457="Booked on their behalf"),"DONE: scheduled on call",IF(M457="Not interested/Declined","CLOSED: candidate declined (log + tell lead)",IF(N457="","CALL 2: final attempt (Playbook C2)",IF(OR(N457="Scheduled on call",N457="Booked on their behalf"),"DONE: scheduled on call",IF(N457="Escalate to AM","ESCALATED TO LEAD","Review")))))))</f>
        <v/>
      </c>
      <c r="G457" s="20">
        <f>IF(E457="Ram is handling - no action","",IF(M457="",B457+6/24,IF(AND(M457&lt;&gt;"Scheduled on call",M457&lt;&gt;"Booked on their behalf",M457&lt;&gt;"Not interested/Declined",N457=""),B457+20/24,"")))</f>
        <v/>
      </c>
      <c r="H457" s="19" t="inlineStr">
        <is>
          <t>Chetan</t>
        </is>
      </c>
      <c r="I457" s="19" t="inlineStr">
        <is>
          <t>Google</t>
        </is>
      </c>
      <c r="J457" s="19" t="inlineStr">
        <is>
          <t>Round1</t>
        </is>
      </c>
      <c r="K457" s="22" t="inlineStr">
        <is>
          <t>+91 9920264452</t>
        </is>
      </c>
      <c r="L457" s="19" t="inlineStr">
        <is>
          <t>&lt;calendly_link&gt;</t>
        </is>
      </c>
      <c r="M457" s="19" t="n"/>
      <c r="N457" s="19" t="n"/>
      <c r="O457" s="19">
        <f>IF(OR(M457="Scheduled on call",M457="Booked on their behalf",N457="Scheduled on call",N457="Booked on their behalf"),"SCHEDULED (call)",IF(OR(M457="Not interested/Declined",N457="Not interested/Declined"),"DECLINED",IF(N457="Escalate to AM","ESCALATED TO LEAD",IF(E457="Ram is handling - no action","N/A",IF(M457="","PENDING CALL 1","IN PROGRESS")))))</f>
        <v/>
      </c>
      <c r="P457" s="19">
        <f>IF(OR('Ram - Digital ToDo'!O457="Scheduled",'Ram - Digital ToDo'!Q457="Scheduled"),"Scheduled within SLA (self-serve)",IF(OR(M457="Scheduled on call",M457="Booked on their behalf",N457="Scheduled on call",N457="Booked on their behalf"),"Scheduled within SLA (call)",IF(OR(M457="Not interested/Declined",N457="Not interested/Declined"),"Declined",IF(N457="Escalate to AM","SLA breach - unresolved","In progress"))))</f>
        <v/>
      </c>
      <c r="Q457" s="19" t="n"/>
    </row>
    <row r="458">
      <c r="A458" s="19" t="inlineStr">
        <is>
          <t>REQ-0457</t>
        </is>
      </c>
      <c r="B458" s="20" t="n">
        <v>44867.82708333333</v>
      </c>
      <c r="C458" s="20">
        <f>B458+1</f>
        <v/>
      </c>
      <c r="D458" s="21">
        <f>(C458-NOW())*24</f>
        <v/>
      </c>
      <c r="E458" s="19">
        <f>IF('Ram - Digital ToDo'!Q458="Escalate to call","CALL NOW",IF('Ram - Digital ToDo'!N458="Bad contact","CALL NOW (digital failed)","Ram is handling - no action"))</f>
        <v/>
      </c>
      <c r="F458" s="19">
        <f>IF(E458="Ram is handling - no action","No action needed",IF(M458="","CALL 1: ring candidate, offer to book on call (Playbook C1)",IF(OR(M458="Scheduled on call",M458="Booked on their behalf"),"DONE: scheduled on call",IF(M458="Not interested/Declined","CLOSED: candidate declined (log + tell lead)",IF(N458="","CALL 2: final attempt (Playbook C2)",IF(OR(N458="Scheduled on call",N458="Booked on their behalf"),"DONE: scheduled on call",IF(N458="Escalate to AM","ESCALATED TO LEAD","Review")))))))</f>
        <v/>
      </c>
      <c r="G458" s="20">
        <f>IF(E458="Ram is handling - no action","",IF(M458="",B458+6/24,IF(AND(M458&lt;&gt;"Scheduled on call",M458&lt;&gt;"Booked on their behalf",M458&lt;&gt;"Not interested/Declined",N458=""),B458+20/24,"")))</f>
        <v/>
      </c>
      <c r="H458" s="19" t="inlineStr">
        <is>
          <t>Chetan</t>
        </is>
      </c>
      <c r="I458" s="19" t="inlineStr">
        <is>
          <t>Google</t>
        </is>
      </c>
      <c r="J458" s="19" t="inlineStr">
        <is>
          <t>Round1</t>
        </is>
      </c>
      <c r="K458" s="22" t="inlineStr">
        <is>
          <t>+91 9920264452</t>
        </is>
      </c>
      <c r="L458" s="19" t="inlineStr">
        <is>
          <t>&lt;calendly_link&gt;</t>
        </is>
      </c>
      <c r="M458" s="19" t="n"/>
      <c r="N458" s="19" t="n"/>
      <c r="O458" s="19">
        <f>IF(OR(M458="Scheduled on call",M458="Booked on their behalf",N458="Scheduled on call",N458="Booked on their behalf"),"SCHEDULED (call)",IF(OR(M458="Not interested/Declined",N458="Not interested/Declined"),"DECLINED",IF(N458="Escalate to AM","ESCALATED TO LEAD",IF(E458="Ram is handling - no action","N/A",IF(M458="","PENDING CALL 1","IN PROGRESS")))))</f>
        <v/>
      </c>
      <c r="P458" s="19">
        <f>IF(OR('Ram - Digital ToDo'!O458="Scheduled",'Ram - Digital ToDo'!Q458="Scheduled"),"Scheduled within SLA (self-serve)",IF(OR(M458="Scheduled on call",M458="Booked on their behalf",N458="Scheduled on call",N458="Booked on their behalf"),"Scheduled within SLA (call)",IF(OR(M458="Not interested/Declined",N458="Not interested/Declined"),"Declined",IF(N458="Escalate to AM","SLA breach - unresolved","In progress"))))</f>
        <v/>
      </c>
      <c r="Q458" s="19" t="n"/>
    </row>
    <row r="459">
      <c r="A459" s="19" t="inlineStr">
        <is>
          <t>REQ-0458</t>
        </is>
      </c>
      <c r="B459" s="20" t="n">
        <v>44867.82708333333</v>
      </c>
      <c r="C459" s="20">
        <f>B459+1</f>
        <v/>
      </c>
      <c r="D459" s="21">
        <f>(C459-NOW())*24</f>
        <v/>
      </c>
      <c r="E459" s="19">
        <f>IF('Ram - Digital ToDo'!Q459="Escalate to call","CALL NOW",IF('Ram - Digital ToDo'!N459="Bad contact","CALL NOW (digital failed)","Ram is handling - no action"))</f>
        <v/>
      </c>
      <c r="F459" s="19">
        <f>IF(E459="Ram is handling - no action","No action needed",IF(M459="","CALL 1: ring candidate, offer to book on call (Playbook C1)",IF(OR(M459="Scheduled on call",M459="Booked on their behalf"),"DONE: scheduled on call",IF(M459="Not interested/Declined","CLOSED: candidate declined (log + tell lead)",IF(N459="","CALL 2: final attempt (Playbook C2)",IF(OR(N459="Scheduled on call",N459="Booked on their behalf"),"DONE: scheduled on call",IF(N459="Escalate to AM","ESCALATED TO LEAD","Review")))))))</f>
        <v/>
      </c>
      <c r="G459" s="20">
        <f>IF(E459="Ram is handling - no action","",IF(M459="",B459+6/24,IF(AND(M459&lt;&gt;"Scheduled on call",M459&lt;&gt;"Booked on their behalf",M459&lt;&gt;"Not interested/Declined",N459=""),B459+20/24,"")))</f>
        <v/>
      </c>
      <c r="H459" s="19" t="inlineStr">
        <is>
          <t>Chetan</t>
        </is>
      </c>
      <c r="I459" s="19" t="inlineStr">
        <is>
          <t>Google</t>
        </is>
      </c>
      <c r="J459" s="19" t="inlineStr">
        <is>
          <t>Round1</t>
        </is>
      </c>
      <c r="K459" s="22" t="inlineStr">
        <is>
          <t>+91 9920264452</t>
        </is>
      </c>
      <c r="L459" s="19" t="inlineStr">
        <is>
          <t>&lt;calendly_link&gt;</t>
        </is>
      </c>
      <c r="M459" s="19" t="n"/>
      <c r="N459" s="19" t="n"/>
      <c r="O459" s="19">
        <f>IF(OR(M459="Scheduled on call",M459="Booked on their behalf",N459="Scheduled on call",N459="Booked on their behalf"),"SCHEDULED (call)",IF(OR(M459="Not interested/Declined",N459="Not interested/Declined"),"DECLINED",IF(N459="Escalate to AM","ESCALATED TO LEAD",IF(E459="Ram is handling - no action","N/A",IF(M459="","PENDING CALL 1","IN PROGRESS")))))</f>
        <v/>
      </c>
      <c r="P459" s="19">
        <f>IF(OR('Ram - Digital ToDo'!O459="Scheduled",'Ram - Digital ToDo'!Q459="Scheduled"),"Scheduled within SLA (self-serve)",IF(OR(M459="Scheduled on call",M459="Booked on their behalf",N459="Scheduled on call",N459="Booked on their behalf"),"Scheduled within SLA (call)",IF(OR(M459="Not interested/Declined",N459="Not interested/Declined"),"Declined",IF(N459="Escalate to AM","SLA breach - unresolved","In progress"))))</f>
        <v/>
      </c>
      <c r="Q459" s="19" t="n"/>
    </row>
    <row r="460">
      <c r="A460" s="19" t="inlineStr">
        <is>
          <t>REQ-0459</t>
        </is>
      </c>
      <c r="B460" s="20" t="n">
        <v>44867.82708333333</v>
      </c>
      <c r="C460" s="20">
        <f>B460+1</f>
        <v/>
      </c>
      <c r="D460" s="21">
        <f>(C460-NOW())*24</f>
        <v/>
      </c>
      <c r="E460" s="19">
        <f>IF('Ram - Digital ToDo'!Q460="Escalate to call","CALL NOW",IF('Ram - Digital ToDo'!N460="Bad contact","CALL NOW (digital failed)","Ram is handling - no action"))</f>
        <v/>
      </c>
      <c r="F460" s="19">
        <f>IF(E460="Ram is handling - no action","No action needed",IF(M460="","CALL 1: ring candidate, offer to book on call (Playbook C1)",IF(OR(M460="Scheduled on call",M460="Booked on their behalf"),"DONE: scheduled on call",IF(M460="Not interested/Declined","CLOSED: candidate declined (log + tell lead)",IF(N460="","CALL 2: final attempt (Playbook C2)",IF(OR(N460="Scheduled on call",N460="Booked on their behalf"),"DONE: scheduled on call",IF(N460="Escalate to AM","ESCALATED TO LEAD","Review")))))))</f>
        <v/>
      </c>
      <c r="G460" s="20">
        <f>IF(E460="Ram is handling - no action","",IF(M460="",B460+6/24,IF(AND(M460&lt;&gt;"Scheduled on call",M460&lt;&gt;"Booked on their behalf",M460&lt;&gt;"Not interested/Declined",N460=""),B460+20/24,"")))</f>
        <v/>
      </c>
      <c r="H460" s="19" t="inlineStr">
        <is>
          <t>Chetan</t>
        </is>
      </c>
      <c r="I460" s="19" t="inlineStr">
        <is>
          <t>Google</t>
        </is>
      </c>
      <c r="J460" s="19" t="inlineStr">
        <is>
          <t>Round1</t>
        </is>
      </c>
      <c r="K460" s="22" t="inlineStr">
        <is>
          <t>+91 9920264452</t>
        </is>
      </c>
      <c r="L460" s="19" t="inlineStr">
        <is>
          <t>&lt;calendly_link&gt;</t>
        </is>
      </c>
      <c r="M460" s="19" t="n"/>
      <c r="N460" s="19" t="n"/>
      <c r="O460" s="19">
        <f>IF(OR(M460="Scheduled on call",M460="Booked on their behalf",N460="Scheduled on call",N460="Booked on their behalf"),"SCHEDULED (call)",IF(OR(M460="Not interested/Declined",N460="Not interested/Declined"),"DECLINED",IF(N460="Escalate to AM","ESCALATED TO LEAD",IF(E460="Ram is handling - no action","N/A",IF(M460="","PENDING CALL 1","IN PROGRESS")))))</f>
        <v/>
      </c>
      <c r="P460" s="19">
        <f>IF(OR('Ram - Digital ToDo'!O460="Scheduled",'Ram - Digital ToDo'!Q460="Scheduled"),"Scheduled within SLA (self-serve)",IF(OR(M460="Scheduled on call",M460="Booked on their behalf",N460="Scheduled on call",N460="Booked on their behalf"),"Scheduled within SLA (call)",IF(OR(M460="Not interested/Declined",N460="Not interested/Declined"),"Declined",IF(N460="Escalate to AM","SLA breach - unresolved","In progress"))))</f>
        <v/>
      </c>
      <c r="Q460" s="19" t="n"/>
    </row>
    <row r="461">
      <c r="A461" s="19" t="inlineStr">
        <is>
          <t>REQ-0460</t>
        </is>
      </c>
      <c r="B461" s="20" t="n">
        <v>44867.82708333333</v>
      </c>
      <c r="C461" s="20">
        <f>B461+1</f>
        <v/>
      </c>
      <c r="D461" s="21">
        <f>(C461-NOW())*24</f>
        <v/>
      </c>
      <c r="E461" s="19">
        <f>IF('Ram - Digital ToDo'!Q461="Escalate to call","CALL NOW",IF('Ram - Digital ToDo'!N461="Bad contact","CALL NOW (digital failed)","Ram is handling - no action"))</f>
        <v/>
      </c>
      <c r="F461" s="19">
        <f>IF(E461="Ram is handling - no action","No action needed",IF(M461="","CALL 1: ring candidate, offer to book on call (Playbook C1)",IF(OR(M461="Scheduled on call",M461="Booked on their behalf"),"DONE: scheduled on call",IF(M461="Not interested/Declined","CLOSED: candidate declined (log + tell lead)",IF(N461="","CALL 2: final attempt (Playbook C2)",IF(OR(N461="Scheduled on call",N461="Booked on their behalf"),"DONE: scheduled on call",IF(N461="Escalate to AM","ESCALATED TO LEAD","Review")))))))</f>
        <v/>
      </c>
      <c r="G461" s="20">
        <f>IF(E461="Ram is handling - no action","",IF(M461="",B461+6/24,IF(AND(M461&lt;&gt;"Scheduled on call",M461&lt;&gt;"Booked on their behalf",M461&lt;&gt;"Not interested/Declined",N461=""),B461+20/24,"")))</f>
        <v/>
      </c>
      <c r="H461" s="19" t="inlineStr">
        <is>
          <t>Chetan</t>
        </is>
      </c>
      <c r="I461" s="19" t="inlineStr">
        <is>
          <t>Google</t>
        </is>
      </c>
      <c r="J461" s="19" t="inlineStr">
        <is>
          <t>Round1</t>
        </is>
      </c>
      <c r="K461" s="22" t="inlineStr">
        <is>
          <t>+91 9920264452</t>
        </is>
      </c>
      <c r="L461" s="19" t="inlineStr">
        <is>
          <t>&lt;calendly_link&gt;</t>
        </is>
      </c>
      <c r="M461" s="19" t="n"/>
      <c r="N461" s="19" t="n"/>
      <c r="O461" s="19">
        <f>IF(OR(M461="Scheduled on call",M461="Booked on their behalf",N461="Scheduled on call",N461="Booked on their behalf"),"SCHEDULED (call)",IF(OR(M461="Not interested/Declined",N461="Not interested/Declined"),"DECLINED",IF(N461="Escalate to AM","ESCALATED TO LEAD",IF(E461="Ram is handling - no action","N/A",IF(M461="","PENDING CALL 1","IN PROGRESS")))))</f>
        <v/>
      </c>
      <c r="P461" s="19">
        <f>IF(OR('Ram - Digital ToDo'!O461="Scheduled",'Ram - Digital ToDo'!Q461="Scheduled"),"Scheduled within SLA (self-serve)",IF(OR(M461="Scheduled on call",M461="Booked on their behalf",N461="Scheduled on call",N461="Booked on their behalf"),"Scheduled within SLA (call)",IF(OR(M461="Not interested/Declined",N461="Not interested/Declined"),"Declined",IF(N461="Escalate to AM","SLA breach - unresolved","In progress"))))</f>
        <v/>
      </c>
      <c r="Q461" s="19" t="n"/>
    </row>
    <row r="462">
      <c r="A462" s="19" t="inlineStr">
        <is>
          <t>REQ-0461</t>
        </is>
      </c>
      <c r="B462" s="20" t="n">
        <v>44867.82708333333</v>
      </c>
      <c r="C462" s="20">
        <f>B462+1</f>
        <v/>
      </c>
      <c r="D462" s="21">
        <f>(C462-NOW())*24</f>
        <v/>
      </c>
      <c r="E462" s="19">
        <f>IF('Ram - Digital ToDo'!Q462="Escalate to call","CALL NOW",IF('Ram - Digital ToDo'!N462="Bad contact","CALL NOW (digital failed)","Ram is handling - no action"))</f>
        <v/>
      </c>
      <c r="F462" s="19">
        <f>IF(E462="Ram is handling - no action","No action needed",IF(M462="","CALL 1: ring candidate, offer to book on call (Playbook C1)",IF(OR(M462="Scheduled on call",M462="Booked on their behalf"),"DONE: scheduled on call",IF(M462="Not interested/Declined","CLOSED: candidate declined (log + tell lead)",IF(N462="","CALL 2: final attempt (Playbook C2)",IF(OR(N462="Scheduled on call",N462="Booked on their behalf"),"DONE: scheduled on call",IF(N462="Escalate to AM","ESCALATED TO LEAD","Review")))))))</f>
        <v/>
      </c>
      <c r="G462" s="20">
        <f>IF(E462="Ram is handling - no action","",IF(M462="",B462+6/24,IF(AND(M462&lt;&gt;"Scheduled on call",M462&lt;&gt;"Booked on their behalf",M462&lt;&gt;"Not interested/Declined",N462=""),B462+20/24,"")))</f>
        <v/>
      </c>
      <c r="H462" s="19" t="inlineStr">
        <is>
          <t>Chetan</t>
        </is>
      </c>
      <c r="I462" s="19" t="inlineStr">
        <is>
          <t>Google</t>
        </is>
      </c>
      <c r="J462" s="19" t="inlineStr">
        <is>
          <t>Round1</t>
        </is>
      </c>
      <c r="K462" s="22" t="inlineStr">
        <is>
          <t>+91 9920264452</t>
        </is>
      </c>
      <c r="L462" s="19" t="inlineStr">
        <is>
          <t>&lt;calendly_link&gt;</t>
        </is>
      </c>
      <c r="M462" s="19" t="n"/>
      <c r="N462" s="19" t="n"/>
      <c r="O462" s="19">
        <f>IF(OR(M462="Scheduled on call",M462="Booked on their behalf",N462="Scheduled on call",N462="Booked on their behalf"),"SCHEDULED (call)",IF(OR(M462="Not interested/Declined",N462="Not interested/Declined"),"DECLINED",IF(N462="Escalate to AM","ESCALATED TO LEAD",IF(E462="Ram is handling - no action","N/A",IF(M462="","PENDING CALL 1","IN PROGRESS")))))</f>
        <v/>
      </c>
      <c r="P462" s="19">
        <f>IF(OR('Ram - Digital ToDo'!O462="Scheduled",'Ram - Digital ToDo'!Q462="Scheduled"),"Scheduled within SLA (self-serve)",IF(OR(M462="Scheduled on call",M462="Booked on their behalf",N462="Scheduled on call",N462="Booked on their behalf"),"Scheduled within SLA (call)",IF(OR(M462="Not interested/Declined",N462="Not interested/Declined"),"Declined",IF(N462="Escalate to AM","SLA breach - unresolved","In progress"))))</f>
        <v/>
      </c>
      <c r="Q462" s="19" t="n"/>
    </row>
    <row r="463">
      <c r="A463" s="19" t="inlineStr">
        <is>
          <t>REQ-0462</t>
        </is>
      </c>
      <c r="B463" s="20" t="n">
        <v>44867.82708333333</v>
      </c>
      <c r="C463" s="20">
        <f>B463+1</f>
        <v/>
      </c>
      <c r="D463" s="21">
        <f>(C463-NOW())*24</f>
        <v/>
      </c>
      <c r="E463" s="19">
        <f>IF('Ram - Digital ToDo'!Q463="Escalate to call","CALL NOW",IF('Ram - Digital ToDo'!N463="Bad contact","CALL NOW (digital failed)","Ram is handling - no action"))</f>
        <v/>
      </c>
      <c r="F463" s="19">
        <f>IF(E463="Ram is handling - no action","No action needed",IF(M463="","CALL 1: ring candidate, offer to book on call (Playbook C1)",IF(OR(M463="Scheduled on call",M463="Booked on their behalf"),"DONE: scheduled on call",IF(M463="Not interested/Declined","CLOSED: candidate declined (log + tell lead)",IF(N463="","CALL 2: final attempt (Playbook C2)",IF(OR(N463="Scheduled on call",N463="Booked on their behalf"),"DONE: scheduled on call",IF(N463="Escalate to AM","ESCALATED TO LEAD","Review")))))))</f>
        <v/>
      </c>
      <c r="G463" s="20">
        <f>IF(E463="Ram is handling - no action","",IF(M463="",B463+6/24,IF(AND(M463&lt;&gt;"Scheduled on call",M463&lt;&gt;"Booked on their behalf",M463&lt;&gt;"Not interested/Declined",N463=""),B463+20/24,"")))</f>
        <v/>
      </c>
      <c r="H463" s="19" t="inlineStr">
        <is>
          <t>Chetan</t>
        </is>
      </c>
      <c r="I463" s="19" t="inlineStr">
        <is>
          <t>Google</t>
        </is>
      </c>
      <c r="J463" s="19" t="inlineStr">
        <is>
          <t>Round1</t>
        </is>
      </c>
      <c r="K463" s="22" t="inlineStr">
        <is>
          <t>+91 9920264452</t>
        </is>
      </c>
      <c r="L463" s="19" t="inlineStr">
        <is>
          <t>&lt;calendly_link&gt;</t>
        </is>
      </c>
      <c r="M463" s="19" t="n"/>
      <c r="N463" s="19" t="n"/>
      <c r="O463" s="19">
        <f>IF(OR(M463="Scheduled on call",M463="Booked on their behalf",N463="Scheduled on call",N463="Booked on their behalf"),"SCHEDULED (call)",IF(OR(M463="Not interested/Declined",N463="Not interested/Declined"),"DECLINED",IF(N463="Escalate to AM","ESCALATED TO LEAD",IF(E463="Ram is handling - no action","N/A",IF(M463="","PENDING CALL 1","IN PROGRESS")))))</f>
        <v/>
      </c>
      <c r="P463" s="19">
        <f>IF(OR('Ram - Digital ToDo'!O463="Scheduled",'Ram - Digital ToDo'!Q463="Scheduled"),"Scheduled within SLA (self-serve)",IF(OR(M463="Scheduled on call",M463="Booked on their behalf",N463="Scheduled on call",N463="Booked on their behalf"),"Scheduled within SLA (call)",IF(OR(M463="Not interested/Declined",N463="Not interested/Declined"),"Declined",IF(N463="Escalate to AM","SLA breach - unresolved","In progress"))))</f>
        <v/>
      </c>
      <c r="Q463" s="19" t="n"/>
    </row>
    <row r="464">
      <c r="A464" s="19" t="inlineStr">
        <is>
          <t>REQ-0463</t>
        </is>
      </c>
      <c r="B464" s="20" t="n">
        <v>44867.82708333333</v>
      </c>
      <c r="C464" s="20">
        <f>B464+1</f>
        <v/>
      </c>
      <c r="D464" s="21">
        <f>(C464-NOW())*24</f>
        <v/>
      </c>
      <c r="E464" s="19">
        <f>IF('Ram - Digital ToDo'!Q464="Escalate to call","CALL NOW",IF('Ram - Digital ToDo'!N464="Bad contact","CALL NOW (digital failed)","Ram is handling - no action"))</f>
        <v/>
      </c>
      <c r="F464" s="19">
        <f>IF(E464="Ram is handling - no action","No action needed",IF(M464="","CALL 1: ring candidate, offer to book on call (Playbook C1)",IF(OR(M464="Scheduled on call",M464="Booked on their behalf"),"DONE: scheduled on call",IF(M464="Not interested/Declined","CLOSED: candidate declined (log + tell lead)",IF(N464="","CALL 2: final attempt (Playbook C2)",IF(OR(N464="Scheduled on call",N464="Booked on their behalf"),"DONE: scheduled on call",IF(N464="Escalate to AM","ESCALATED TO LEAD","Review")))))))</f>
        <v/>
      </c>
      <c r="G464" s="20">
        <f>IF(E464="Ram is handling - no action","",IF(M464="",B464+6/24,IF(AND(M464&lt;&gt;"Scheduled on call",M464&lt;&gt;"Booked on their behalf",M464&lt;&gt;"Not interested/Declined",N464=""),B464+20/24,"")))</f>
        <v/>
      </c>
      <c r="H464" s="19" t="inlineStr">
        <is>
          <t>Chetan</t>
        </is>
      </c>
      <c r="I464" s="19" t="inlineStr">
        <is>
          <t>Google</t>
        </is>
      </c>
      <c r="J464" s="19" t="inlineStr">
        <is>
          <t>Round1</t>
        </is>
      </c>
      <c r="K464" s="22" t="inlineStr">
        <is>
          <t>+91 9920264452</t>
        </is>
      </c>
      <c r="L464" s="19" t="inlineStr">
        <is>
          <t>&lt;calendly_link&gt;</t>
        </is>
      </c>
      <c r="M464" s="19" t="n"/>
      <c r="N464" s="19" t="n"/>
      <c r="O464" s="19">
        <f>IF(OR(M464="Scheduled on call",M464="Booked on their behalf",N464="Scheduled on call",N464="Booked on their behalf"),"SCHEDULED (call)",IF(OR(M464="Not interested/Declined",N464="Not interested/Declined"),"DECLINED",IF(N464="Escalate to AM","ESCALATED TO LEAD",IF(E464="Ram is handling - no action","N/A",IF(M464="","PENDING CALL 1","IN PROGRESS")))))</f>
        <v/>
      </c>
      <c r="P464" s="19">
        <f>IF(OR('Ram - Digital ToDo'!O464="Scheduled",'Ram - Digital ToDo'!Q464="Scheduled"),"Scheduled within SLA (self-serve)",IF(OR(M464="Scheduled on call",M464="Booked on their behalf",N464="Scheduled on call",N464="Booked on their behalf"),"Scheduled within SLA (call)",IF(OR(M464="Not interested/Declined",N464="Not interested/Declined"),"Declined",IF(N464="Escalate to AM","SLA breach - unresolved","In progress"))))</f>
        <v/>
      </c>
      <c r="Q464" s="19" t="n"/>
    </row>
    <row r="465">
      <c r="A465" s="19" t="inlineStr">
        <is>
          <t>REQ-0464</t>
        </is>
      </c>
      <c r="B465" s="20" t="n">
        <v>44867.82708333333</v>
      </c>
      <c r="C465" s="20">
        <f>B465+1</f>
        <v/>
      </c>
      <c r="D465" s="21">
        <f>(C465-NOW())*24</f>
        <v/>
      </c>
      <c r="E465" s="19">
        <f>IF('Ram - Digital ToDo'!Q465="Escalate to call","CALL NOW",IF('Ram - Digital ToDo'!N465="Bad contact","CALL NOW (digital failed)","Ram is handling - no action"))</f>
        <v/>
      </c>
      <c r="F465" s="19">
        <f>IF(E465="Ram is handling - no action","No action needed",IF(M465="","CALL 1: ring candidate, offer to book on call (Playbook C1)",IF(OR(M465="Scheduled on call",M465="Booked on their behalf"),"DONE: scheduled on call",IF(M465="Not interested/Declined","CLOSED: candidate declined (log + tell lead)",IF(N465="","CALL 2: final attempt (Playbook C2)",IF(OR(N465="Scheduled on call",N465="Booked on their behalf"),"DONE: scheduled on call",IF(N465="Escalate to AM","ESCALATED TO LEAD","Review")))))))</f>
        <v/>
      </c>
      <c r="G465" s="20">
        <f>IF(E465="Ram is handling - no action","",IF(M465="",B465+6/24,IF(AND(M465&lt;&gt;"Scheduled on call",M465&lt;&gt;"Booked on their behalf",M465&lt;&gt;"Not interested/Declined",N465=""),B465+20/24,"")))</f>
        <v/>
      </c>
      <c r="H465" s="19" t="inlineStr">
        <is>
          <t>Chetan</t>
        </is>
      </c>
      <c r="I465" s="19" t="inlineStr">
        <is>
          <t>Google</t>
        </is>
      </c>
      <c r="J465" s="19" t="inlineStr">
        <is>
          <t>Round1</t>
        </is>
      </c>
      <c r="K465" s="22" t="inlineStr">
        <is>
          <t>+91 9920264452</t>
        </is>
      </c>
      <c r="L465" s="19" t="inlineStr">
        <is>
          <t>&lt;calendly_link&gt;</t>
        </is>
      </c>
      <c r="M465" s="19" t="n"/>
      <c r="N465" s="19" t="n"/>
      <c r="O465" s="19">
        <f>IF(OR(M465="Scheduled on call",M465="Booked on their behalf",N465="Scheduled on call",N465="Booked on their behalf"),"SCHEDULED (call)",IF(OR(M465="Not interested/Declined",N465="Not interested/Declined"),"DECLINED",IF(N465="Escalate to AM","ESCALATED TO LEAD",IF(E465="Ram is handling - no action","N/A",IF(M465="","PENDING CALL 1","IN PROGRESS")))))</f>
        <v/>
      </c>
      <c r="P465" s="19">
        <f>IF(OR('Ram - Digital ToDo'!O465="Scheduled",'Ram - Digital ToDo'!Q465="Scheduled"),"Scheduled within SLA (self-serve)",IF(OR(M465="Scheduled on call",M465="Booked on their behalf",N465="Scheduled on call",N465="Booked on their behalf"),"Scheduled within SLA (call)",IF(OR(M465="Not interested/Declined",N465="Not interested/Declined"),"Declined",IF(N465="Escalate to AM","SLA breach - unresolved","In progress"))))</f>
        <v/>
      </c>
      <c r="Q465" s="19" t="n"/>
    </row>
    <row r="466">
      <c r="A466" s="19" t="inlineStr">
        <is>
          <t>REQ-0465</t>
        </is>
      </c>
      <c r="B466" s="20" t="n">
        <v>44867.82708333333</v>
      </c>
      <c r="C466" s="20">
        <f>B466+1</f>
        <v/>
      </c>
      <c r="D466" s="21">
        <f>(C466-NOW())*24</f>
        <v/>
      </c>
      <c r="E466" s="19">
        <f>IF('Ram - Digital ToDo'!Q466="Escalate to call","CALL NOW",IF('Ram - Digital ToDo'!N466="Bad contact","CALL NOW (digital failed)","Ram is handling - no action"))</f>
        <v/>
      </c>
      <c r="F466" s="19">
        <f>IF(E466="Ram is handling - no action","No action needed",IF(M466="","CALL 1: ring candidate, offer to book on call (Playbook C1)",IF(OR(M466="Scheduled on call",M466="Booked on their behalf"),"DONE: scheduled on call",IF(M466="Not interested/Declined","CLOSED: candidate declined (log + tell lead)",IF(N466="","CALL 2: final attempt (Playbook C2)",IF(OR(N466="Scheduled on call",N466="Booked on their behalf"),"DONE: scheduled on call",IF(N466="Escalate to AM","ESCALATED TO LEAD","Review")))))))</f>
        <v/>
      </c>
      <c r="G466" s="20">
        <f>IF(E466="Ram is handling - no action","",IF(M466="",B466+6/24,IF(AND(M466&lt;&gt;"Scheduled on call",M466&lt;&gt;"Booked on their behalf",M466&lt;&gt;"Not interested/Declined",N466=""),B466+20/24,"")))</f>
        <v/>
      </c>
      <c r="H466" s="19" t="inlineStr">
        <is>
          <t>Chetan</t>
        </is>
      </c>
      <c r="I466" s="19" t="inlineStr">
        <is>
          <t>Google</t>
        </is>
      </c>
      <c r="J466" s="19" t="inlineStr">
        <is>
          <t>Round1</t>
        </is>
      </c>
      <c r="K466" s="22" t="inlineStr">
        <is>
          <t>+91 9920264452</t>
        </is>
      </c>
      <c r="L466" s="19" t="inlineStr">
        <is>
          <t>&lt;calendly_link&gt;</t>
        </is>
      </c>
      <c r="M466" s="19" t="n"/>
      <c r="N466" s="19" t="n"/>
      <c r="O466" s="19">
        <f>IF(OR(M466="Scheduled on call",M466="Booked on their behalf",N466="Scheduled on call",N466="Booked on their behalf"),"SCHEDULED (call)",IF(OR(M466="Not interested/Declined",N466="Not interested/Declined"),"DECLINED",IF(N466="Escalate to AM","ESCALATED TO LEAD",IF(E466="Ram is handling - no action","N/A",IF(M466="","PENDING CALL 1","IN PROGRESS")))))</f>
        <v/>
      </c>
      <c r="P466" s="19">
        <f>IF(OR('Ram - Digital ToDo'!O466="Scheduled",'Ram - Digital ToDo'!Q466="Scheduled"),"Scheduled within SLA (self-serve)",IF(OR(M466="Scheduled on call",M466="Booked on their behalf",N466="Scheduled on call",N466="Booked on their behalf"),"Scheduled within SLA (call)",IF(OR(M466="Not interested/Declined",N466="Not interested/Declined"),"Declined",IF(N466="Escalate to AM","SLA breach - unresolved","In progress"))))</f>
        <v/>
      </c>
      <c r="Q466" s="19" t="n"/>
    </row>
    <row r="467">
      <c r="A467" s="19" t="inlineStr">
        <is>
          <t>REQ-0466</t>
        </is>
      </c>
      <c r="B467" s="20" t="n">
        <v>44867.82708333333</v>
      </c>
      <c r="C467" s="20">
        <f>B467+1</f>
        <v/>
      </c>
      <c r="D467" s="21">
        <f>(C467-NOW())*24</f>
        <v/>
      </c>
      <c r="E467" s="19">
        <f>IF('Ram - Digital ToDo'!Q467="Escalate to call","CALL NOW",IF('Ram - Digital ToDo'!N467="Bad contact","CALL NOW (digital failed)","Ram is handling - no action"))</f>
        <v/>
      </c>
      <c r="F467" s="19">
        <f>IF(E467="Ram is handling - no action","No action needed",IF(M467="","CALL 1: ring candidate, offer to book on call (Playbook C1)",IF(OR(M467="Scheduled on call",M467="Booked on their behalf"),"DONE: scheduled on call",IF(M467="Not interested/Declined","CLOSED: candidate declined (log + tell lead)",IF(N467="","CALL 2: final attempt (Playbook C2)",IF(OR(N467="Scheduled on call",N467="Booked on their behalf"),"DONE: scheduled on call",IF(N467="Escalate to AM","ESCALATED TO LEAD","Review")))))))</f>
        <v/>
      </c>
      <c r="G467" s="20">
        <f>IF(E467="Ram is handling - no action","",IF(M467="",B467+6/24,IF(AND(M467&lt;&gt;"Scheduled on call",M467&lt;&gt;"Booked on their behalf",M467&lt;&gt;"Not interested/Declined",N467=""),B467+20/24,"")))</f>
        <v/>
      </c>
      <c r="H467" s="19" t="inlineStr">
        <is>
          <t>Chetan</t>
        </is>
      </c>
      <c r="I467" s="19" t="inlineStr">
        <is>
          <t>Google</t>
        </is>
      </c>
      <c r="J467" s="19" t="inlineStr">
        <is>
          <t>Round1</t>
        </is>
      </c>
      <c r="K467" s="22" t="inlineStr">
        <is>
          <t>+91 9920264452</t>
        </is>
      </c>
      <c r="L467" s="19" t="inlineStr">
        <is>
          <t>&lt;calendly_link&gt;</t>
        </is>
      </c>
      <c r="M467" s="19" t="n"/>
      <c r="N467" s="19" t="n"/>
      <c r="O467" s="19">
        <f>IF(OR(M467="Scheduled on call",M467="Booked on their behalf",N467="Scheduled on call",N467="Booked on their behalf"),"SCHEDULED (call)",IF(OR(M467="Not interested/Declined",N467="Not interested/Declined"),"DECLINED",IF(N467="Escalate to AM","ESCALATED TO LEAD",IF(E467="Ram is handling - no action","N/A",IF(M467="","PENDING CALL 1","IN PROGRESS")))))</f>
        <v/>
      </c>
      <c r="P467" s="19">
        <f>IF(OR('Ram - Digital ToDo'!O467="Scheduled",'Ram - Digital ToDo'!Q467="Scheduled"),"Scheduled within SLA (self-serve)",IF(OR(M467="Scheduled on call",M467="Booked on their behalf",N467="Scheduled on call",N467="Booked on their behalf"),"Scheduled within SLA (call)",IF(OR(M467="Not interested/Declined",N467="Not interested/Declined"),"Declined",IF(N467="Escalate to AM","SLA breach - unresolved","In progress"))))</f>
        <v/>
      </c>
      <c r="Q467" s="19" t="n"/>
    </row>
    <row r="468">
      <c r="A468" s="19" t="inlineStr">
        <is>
          <t>REQ-0467</t>
        </is>
      </c>
      <c r="B468" s="20" t="n">
        <v>44867.82708333333</v>
      </c>
      <c r="C468" s="20">
        <f>B468+1</f>
        <v/>
      </c>
      <c r="D468" s="21">
        <f>(C468-NOW())*24</f>
        <v/>
      </c>
      <c r="E468" s="19">
        <f>IF('Ram - Digital ToDo'!Q468="Escalate to call","CALL NOW",IF('Ram - Digital ToDo'!N468="Bad contact","CALL NOW (digital failed)","Ram is handling - no action"))</f>
        <v/>
      </c>
      <c r="F468" s="19">
        <f>IF(E468="Ram is handling - no action","No action needed",IF(M468="","CALL 1: ring candidate, offer to book on call (Playbook C1)",IF(OR(M468="Scheduled on call",M468="Booked on their behalf"),"DONE: scheduled on call",IF(M468="Not interested/Declined","CLOSED: candidate declined (log + tell lead)",IF(N468="","CALL 2: final attempt (Playbook C2)",IF(OR(N468="Scheduled on call",N468="Booked on their behalf"),"DONE: scheduled on call",IF(N468="Escalate to AM","ESCALATED TO LEAD","Review")))))))</f>
        <v/>
      </c>
      <c r="G468" s="20">
        <f>IF(E468="Ram is handling - no action","",IF(M468="",B468+6/24,IF(AND(M468&lt;&gt;"Scheduled on call",M468&lt;&gt;"Booked on their behalf",M468&lt;&gt;"Not interested/Declined",N468=""),B468+20/24,"")))</f>
        <v/>
      </c>
      <c r="H468" s="19" t="inlineStr">
        <is>
          <t>Chetan</t>
        </is>
      </c>
      <c r="I468" s="19" t="inlineStr">
        <is>
          <t>Google</t>
        </is>
      </c>
      <c r="J468" s="19" t="inlineStr">
        <is>
          <t>Round1</t>
        </is>
      </c>
      <c r="K468" s="22" t="inlineStr">
        <is>
          <t>+91 9920264452</t>
        </is>
      </c>
      <c r="L468" s="19" t="inlineStr">
        <is>
          <t>&lt;calendly_link&gt;</t>
        </is>
      </c>
      <c r="M468" s="19" t="n"/>
      <c r="N468" s="19" t="n"/>
      <c r="O468" s="19">
        <f>IF(OR(M468="Scheduled on call",M468="Booked on their behalf",N468="Scheduled on call",N468="Booked on their behalf"),"SCHEDULED (call)",IF(OR(M468="Not interested/Declined",N468="Not interested/Declined"),"DECLINED",IF(N468="Escalate to AM","ESCALATED TO LEAD",IF(E468="Ram is handling - no action","N/A",IF(M468="","PENDING CALL 1","IN PROGRESS")))))</f>
        <v/>
      </c>
      <c r="P468" s="19">
        <f>IF(OR('Ram - Digital ToDo'!O468="Scheduled",'Ram - Digital ToDo'!Q468="Scheduled"),"Scheduled within SLA (self-serve)",IF(OR(M468="Scheduled on call",M468="Booked on their behalf",N468="Scheduled on call",N468="Booked on their behalf"),"Scheduled within SLA (call)",IF(OR(M468="Not interested/Declined",N468="Not interested/Declined"),"Declined",IF(N468="Escalate to AM","SLA breach - unresolved","In progress"))))</f>
        <v/>
      </c>
      <c r="Q468" s="19" t="n"/>
    </row>
    <row r="469">
      <c r="A469" s="19" t="inlineStr">
        <is>
          <t>REQ-0468</t>
        </is>
      </c>
      <c r="B469" s="20" t="n">
        <v>44867.82708333333</v>
      </c>
      <c r="C469" s="20">
        <f>B469+1</f>
        <v/>
      </c>
      <c r="D469" s="21">
        <f>(C469-NOW())*24</f>
        <v/>
      </c>
      <c r="E469" s="19">
        <f>IF('Ram - Digital ToDo'!Q469="Escalate to call","CALL NOW",IF('Ram - Digital ToDo'!N469="Bad contact","CALL NOW (digital failed)","Ram is handling - no action"))</f>
        <v/>
      </c>
      <c r="F469" s="19">
        <f>IF(E469="Ram is handling - no action","No action needed",IF(M469="","CALL 1: ring candidate, offer to book on call (Playbook C1)",IF(OR(M469="Scheduled on call",M469="Booked on their behalf"),"DONE: scheduled on call",IF(M469="Not interested/Declined","CLOSED: candidate declined (log + tell lead)",IF(N469="","CALL 2: final attempt (Playbook C2)",IF(OR(N469="Scheduled on call",N469="Booked on their behalf"),"DONE: scheduled on call",IF(N469="Escalate to AM","ESCALATED TO LEAD","Review")))))))</f>
        <v/>
      </c>
      <c r="G469" s="20">
        <f>IF(E469="Ram is handling - no action","",IF(M469="",B469+6/24,IF(AND(M469&lt;&gt;"Scheduled on call",M469&lt;&gt;"Booked on their behalf",M469&lt;&gt;"Not interested/Declined",N469=""),B469+20/24,"")))</f>
        <v/>
      </c>
      <c r="H469" s="19" t="inlineStr">
        <is>
          <t>Chetan</t>
        </is>
      </c>
      <c r="I469" s="19" t="inlineStr">
        <is>
          <t>Google</t>
        </is>
      </c>
      <c r="J469" s="19" t="inlineStr">
        <is>
          <t>Round1</t>
        </is>
      </c>
      <c r="K469" s="22" t="inlineStr">
        <is>
          <t>+91 9920264452</t>
        </is>
      </c>
      <c r="L469" s="19" t="inlineStr">
        <is>
          <t>&lt;calendly_link&gt;</t>
        </is>
      </c>
      <c r="M469" s="19" t="n"/>
      <c r="N469" s="19" t="n"/>
      <c r="O469" s="19">
        <f>IF(OR(M469="Scheduled on call",M469="Booked on their behalf",N469="Scheduled on call",N469="Booked on their behalf"),"SCHEDULED (call)",IF(OR(M469="Not interested/Declined",N469="Not interested/Declined"),"DECLINED",IF(N469="Escalate to AM","ESCALATED TO LEAD",IF(E469="Ram is handling - no action","N/A",IF(M469="","PENDING CALL 1","IN PROGRESS")))))</f>
        <v/>
      </c>
      <c r="P469" s="19">
        <f>IF(OR('Ram - Digital ToDo'!O469="Scheduled",'Ram - Digital ToDo'!Q469="Scheduled"),"Scheduled within SLA (self-serve)",IF(OR(M469="Scheduled on call",M469="Booked on their behalf",N469="Scheduled on call",N469="Booked on their behalf"),"Scheduled within SLA (call)",IF(OR(M469="Not interested/Declined",N469="Not interested/Declined"),"Declined",IF(N469="Escalate to AM","SLA breach - unresolved","In progress"))))</f>
        <v/>
      </c>
      <c r="Q469" s="19" t="n"/>
    </row>
    <row r="470">
      <c r="A470" s="19" t="inlineStr">
        <is>
          <t>REQ-0469</t>
        </is>
      </c>
      <c r="B470" s="20" t="n">
        <v>44867.82708333333</v>
      </c>
      <c r="C470" s="20">
        <f>B470+1</f>
        <v/>
      </c>
      <c r="D470" s="21">
        <f>(C470-NOW())*24</f>
        <v/>
      </c>
      <c r="E470" s="19">
        <f>IF('Ram - Digital ToDo'!Q470="Escalate to call","CALL NOW",IF('Ram - Digital ToDo'!N470="Bad contact","CALL NOW (digital failed)","Ram is handling - no action"))</f>
        <v/>
      </c>
      <c r="F470" s="19">
        <f>IF(E470="Ram is handling - no action","No action needed",IF(M470="","CALL 1: ring candidate, offer to book on call (Playbook C1)",IF(OR(M470="Scheduled on call",M470="Booked on their behalf"),"DONE: scheduled on call",IF(M470="Not interested/Declined","CLOSED: candidate declined (log + tell lead)",IF(N470="","CALL 2: final attempt (Playbook C2)",IF(OR(N470="Scheduled on call",N470="Booked on their behalf"),"DONE: scheduled on call",IF(N470="Escalate to AM","ESCALATED TO LEAD","Review")))))))</f>
        <v/>
      </c>
      <c r="G470" s="20">
        <f>IF(E470="Ram is handling - no action","",IF(M470="",B470+6/24,IF(AND(M470&lt;&gt;"Scheduled on call",M470&lt;&gt;"Booked on their behalf",M470&lt;&gt;"Not interested/Declined",N470=""),B470+20/24,"")))</f>
        <v/>
      </c>
      <c r="H470" s="19" t="inlineStr">
        <is>
          <t>Chetan</t>
        </is>
      </c>
      <c r="I470" s="19" t="inlineStr">
        <is>
          <t>Google</t>
        </is>
      </c>
      <c r="J470" s="19" t="inlineStr">
        <is>
          <t>Round1</t>
        </is>
      </c>
      <c r="K470" s="22" t="inlineStr">
        <is>
          <t>+91 9920264452</t>
        </is>
      </c>
      <c r="L470" s="19" t="inlineStr">
        <is>
          <t>&lt;calendly_link&gt;</t>
        </is>
      </c>
      <c r="M470" s="19" t="n"/>
      <c r="N470" s="19" t="n"/>
      <c r="O470" s="19">
        <f>IF(OR(M470="Scheduled on call",M470="Booked on their behalf",N470="Scheduled on call",N470="Booked on their behalf"),"SCHEDULED (call)",IF(OR(M470="Not interested/Declined",N470="Not interested/Declined"),"DECLINED",IF(N470="Escalate to AM","ESCALATED TO LEAD",IF(E470="Ram is handling - no action","N/A",IF(M470="","PENDING CALL 1","IN PROGRESS")))))</f>
        <v/>
      </c>
      <c r="P470" s="19">
        <f>IF(OR('Ram - Digital ToDo'!O470="Scheduled",'Ram - Digital ToDo'!Q470="Scheduled"),"Scheduled within SLA (self-serve)",IF(OR(M470="Scheduled on call",M470="Booked on their behalf",N470="Scheduled on call",N470="Booked on their behalf"),"Scheduled within SLA (call)",IF(OR(M470="Not interested/Declined",N470="Not interested/Declined"),"Declined",IF(N470="Escalate to AM","SLA breach - unresolved","In progress"))))</f>
        <v/>
      </c>
      <c r="Q470" s="19" t="n"/>
    </row>
    <row r="471">
      <c r="A471" s="19" t="inlineStr">
        <is>
          <t>REQ-0470</t>
        </is>
      </c>
      <c r="B471" s="20" t="n">
        <v>44867.82708333333</v>
      </c>
      <c r="C471" s="20">
        <f>B471+1</f>
        <v/>
      </c>
      <c r="D471" s="21">
        <f>(C471-NOW())*24</f>
        <v/>
      </c>
      <c r="E471" s="19">
        <f>IF('Ram - Digital ToDo'!Q471="Escalate to call","CALL NOW",IF('Ram - Digital ToDo'!N471="Bad contact","CALL NOW (digital failed)","Ram is handling - no action"))</f>
        <v/>
      </c>
      <c r="F471" s="19">
        <f>IF(E471="Ram is handling - no action","No action needed",IF(M471="","CALL 1: ring candidate, offer to book on call (Playbook C1)",IF(OR(M471="Scheduled on call",M471="Booked on their behalf"),"DONE: scheduled on call",IF(M471="Not interested/Declined","CLOSED: candidate declined (log + tell lead)",IF(N471="","CALL 2: final attempt (Playbook C2)",IF(OR(N471="Scheduled on call",N471="Booked on their behalf"),"DONE: scheduled on call",IF(N471="Escalate to AM","ESCALATED TO LEAD","Review")))))))</f>
        <v/>
      </c>
      <c r="G471" s="20">
        <f>IF(E471="Ram is handling - no action","",IF(M471="",B471+6/24,IF(AND(M471&lt;&gt;"Scheduled on call",M471&lt;&gt;"Booked on their behalf",M471&lt;&gt;"Not interested/Declined",N471=""),B471+20/24,"")))</f>
        <v/>
      </c>
      <c r="H471" s="19" t="inlineStr">
        <is>
          <t>Chetan</t>
        </is>
      </c>
      <c r="I471" s="19" t="inlineStr">
        <is>
          <t>Google</t>
        </is>
      </c>
      <c r="J471" s="19" t="inlineStr">
        <is>
          <t>Round1</t>
        </is>
      </c>
      <c r="K471" s="22" t="inlineStr">
        <is>
          <t>+91 9920264452</t>
        </is>
      </c>
      <c r="L471" s="19" t="inlineStr">
        <is>
          <t>&lt;calendly_link&gt;</t>
        </is>
      </c>
      <c r="M471" s="19" t="n"/>
      <c r="N471" s="19" t="n"/>
      <c r="O471" s="19">
        <f>IF(OR(M471="Scheduled on call",M471="Booked on their behalf",N471="Scheduled on call",N471="Booked on their behalf"),"SCHEDULED (call)",IF(OR(M471="Not interested/Declined",N471="Not interested/Declined"),"DECLINED",IF(N471="Escalate to AM","ESCALATED TO LEAD",IF(E471="Ram is handling - no action","N/A",IF(M471="","PENDING CALL 1","IN PROGRESS")))))</f>
        <v/>
      </c>
      <c r="P471" s="19">
        <f>IF(OR('Ram - Digital ToDo'!O471="Scheduled",'Ram - Digital ToDo'!Q471="Scheduled"),"Scheduled within SLA (self-serve)",IF(OR(M471="Scheduled on call",M471="Booked on their behalf",N471="Scheduled on call",N471="Booked on their behalf"),"Scheduled within SLA (call)",IF(OR(M471="Not interested/Declined",N471="Not interested/Declined"),"Declined",IF(N471="Escalate to AM","SLA breach - unresolved","In progress"))))</f>
        <v/>
      </c>
      <c r="Q471" s="19" t="n"/>
    </row>
    <row r="472">
      <c r="A472" s="19" t="inlineStr">
        <is>
          <t>REQ-0471</t>
        </is>
      </c>
      <c r="B472" s="20" t="n">
        <v>44867.82708333333</v>
      </c>
      <c r="C472" s="20">
        <f>B472+1</f>
        <v/>
      </c>
      <c r="D472" s="21">
        <f>(C472-NOW())*24</f>
        <v/>
      </c>
      <c r="E472" s="19">
        <f>IF('Ram - Digital ToDo'!Q472="Escalate to call","CALL NOW",IF('Ram - Digital ToDo'!N472="Bad contact","CALL NOW (digital failed)","Ram is handling - no action"))</f>
        <v/>
      </c>
      <c r="F472" s="19">
        <f>IF(E472="Ram is handling - no action","No action needed",IF(M472="","CALL 1: ring candidate, offer to book on call (Playbook C1)",IF(OR(M472="Scheduled on call",M472="Booked on their behalf"),"DONE: scheduled on call",IF(M472="Not interested/Declined","CLOSED: candidate declined (log + tell lead)",IF(N472="","CALL 2: final attempt (Playbook C2)",IF(OR(N472="Scheduled on call",N472="Booked on their behalf"),"DONE: scheduled on call",IF(N472="Escalate to AM","ESCALATED TO LEAD","Review")))))))</f>
        <v/>
      </c>
      <c r="G472" s="20">
        <f>IF(E472="Ram is handling - no action","",IF(M472="",B472+6/24,IF(AND(M472&lt;&gt;"Scheduled on call",M472&lt;&gt;"Booked on their behalf",M472&lt;&gt;"Not interested/Declined",N472=""),B472+20/24,"")))</f>
        <v/>
      </c>
      <c r="H472" s="19" t="inlineStr">
        <is>
          <t>Chetan</t>
        </is>
      </c>
      <c r="I472" s="19" t="inlineStr">
        <is>
          <t>Google</t>
        </is>
      </c>
      <c r="J472" s="19" t="inlineStr">
        <is>
          <t>Round1</t>
        </is>
      </c>
      <c r="K472" s="22" t="inlineStr">
        <is>
          <t>+91 9920264452</t>
        </is>
      </c>
      <c r="L472" s="19" t="inlineStr">
        <is>
          <t>&lt;calendly_link&gt;</t>
        </is>
      </c>
      <c r="M472" s="19" t="n"/>
      <c r="N472" s="19" t="n"/>
      <c r="O472" s="19">
        <f>IF(OR(M472="Scheduled on call",M472="Booked on their behalf",N472="Scheduled on call",N472="Booked on their behalf"),"SCHEDULED (call)",IF(OR(M472="Not interested/Declined",N472="Not interested/Declined"),"DECLINED",IF(N472="Escalate to AM","ESCALATED TO LEAD",IF(E472="Ram is handling - no action","N/A",IF(M472="","PENDING CALL 1","IN PROGRESS")))))</f>
        <v/>
      </c>
      <c r="P472" s="19">
        <f>IF(OR('Ram - Digital ToDo'!O472="Scheduled",'Ram - Digital ToDo'!Q472="Scheduled"),"Scheduled within SLA (self-serve)",IF(OR(M472="Scheduled on call",M472="Booked on their behalf",N472="Scheduled on call",N472="Booked on their behalf"),"Scheduled within SLA (call)",IF(OR(M472="Not interested/Declined",N472="Not interested/Declined"),"Declined",IF(N472="Escalate to AM","SLA breach - unresolved","In progress"))))</f>
        <v/>
      </c>
      <c r="Q472" s="19" t="n"/>
    </row>
    <row r="473">
      <c r="A473" s="19" t="inlineStr">
        <is>
          <t>REQ-0472</t>
        </is>
      </c>
      <c r="B473" s="20" t="n">
        <v>44867.82708333333</v>
      </c>
      <c r="C473" s="20">
        <f>B473+1</f>
        <v/>
      </c>
      <c r="D473" s="21">
        <f>(C473-NOW())*24</f>
        <v/>
      </c>
      <c r="E473" s="19">
        <f>IF('Ram - Digital ToDo'!Q473="Escalate to call","CALL NOW",IF('Ram - Digital ToDo'!N473="Bad contact","CALL NOW (digital failed)","Ram is handling - no action"))</f>
        <v/>
      </c>
      <c r="F473" s="19">
        <f>IF(E473="Ram is handling - no action","No action needed",IF(M473="","CALL 1: ring candidate, offer to book on call (Playbook C1)",IF(OR(M473="Scheduled on call",M473="Booked on their behalf"),"DONE: scheduled on call",IF(M473="Not interested/Declined","CLOSED: candidate declined (log + tell lead)",IF(N473="","CALL 2: final attempt (Playbook C2)",IF(OR(N473="Scheduled on call",N473="Booked on their behalf"),"DONE: scheduled on call",IF(N473="Escalate to AM","ESCALATED TO LEAD","Review")))))))</f>
        <v/>
      </c>
      <c r="G473" s="20">
        <f>IF(E473="Ram is handling - no action","",IF(M473="",B473+6/24,IF(AND(M473&lt;&gt;"Scheduled on call",M473&lt;&gt;"Booked on their behalf",M473&lt;&gt;"Not interested/Declined",N473=""),B473+20/24,"")))</f>
        <v/>
      </c>
      <c r="H473" s="19" t="inlineStr">
        <is>
          <t>Chetan</t>
        </is>
      </c>
      <c r="I473" s="19" t="inlineStr">
        <is>
          <t>Google</t>
        </is>
      </c>
      <c r="J473" s="19" t="inlineStr">
        <is>
          <t>Round1</t>
        </is>
      </c>
      <c r="K473" s="22" t="inlineStr">
        <is>
          <t>+91 9920264452</t>
        </is>
      </c>
      <c r="L473" s="19" t="inlineStr">
        <is>
          <t>&lt;calendly_link&gt;</t>
        </is>
      </c>
      <c r="M473" s="19" t="n"/>
      <c r="N473" s="19" t="n"/>
      <c r="O473" s="19">
        <f>IF(OR(M473="Scheduled on call",M473="Booked on their behalf",N473="Scheduled on call",N473="Booked on their behalf"),"SCHEDULED (call)",IF(OR(M473="Not interested/Declined",N473="Not interested/Declined"),"DECLINED",IF(N473="Escalate to AM","ESCALATED TO LEAD",IF(E473="Ram is handling - no action","N/A",IF(M473="","PENDING CALL 1","IN PROGRESS")))))</f>
        <v/>
      </c>
      <c r="P473" s="19">
        <f>IF(OR('Ram - Digital ToDo'!O473="Scheduled",'Ram - Digital ToDo'!Q473="Scheduled"),"Scheduled within SLA (self-serve)",IF(OR(M473="Scheduled on call",M473="Booked on their behalf",N473="Scheduled on call",N473="Booked on their behalf"),"Scheduled within SLA (call)",IF(OR(M473="Not interested/Declined",N473="Not interested/Declined"),"Declined",IF(N473="Escalate to AM","SLA breach - unresolved","In progress"))))</f>
        <v/>
      </c>
      <c r="Q473" s="19" t="n"/>
    </row>
    <row r="474">
      <c r="A474" s="19" t="inlineStr">
        <is>
          <t>REQ-0473</t>
        </is>
      </c>
      <c r="B474" s="20" t="n">
        <v>44867.82708333333</v>
      </c>
      <c r="C474" s="20">
        <f>B474+1</f>
        <v/>
      </c>
      <c r="D474" s="21">
        <f>(C474-NOW())*24</f>
        <v/>
      </c>
      <c r="E474" s="19">
        <f>IF('Ram - Digital ToDo'!Q474="Escalate to call","CALL NOW",IF('Ram - Digital ToDo'!N474="Bad contact","CALL NOW (digital failed)","Ram is handling - no action"))</f>
        <v/>
      </c>
      <c r="F474" s="19">
        <f>IF(E474="Ram is handling - no action","No action needed",IF(M474="","CALL 1: ring candidate, offer to book on call (Playbook C1)",IF(OR(M474="Scheduled on call",M474="Booked on their behalf"),"DONE: scheduled on call",IF(M474="Not interested/Declined","CLOSED: candidate declined (log + tell lead)",IF(N474="","CALL 2: final attempt (Playbook C2)",IF(OR(N474="Scheduled on call",N474="Booked on their behalf"),"DONE: scheduled on call",IF(N474="Escalate to AM","ESCALATED TO LEAD","Review")))))))</f>
        <v/>
      </c>
      <c r="G474" s="20">
        <f>IF(E474="Ram is handling - no action","",IF(M474="",B474+6/24,IF(AND(M474&lt;&gt;"Scheduled on call",M474&lt;&gt;"Booked on their behalf",M474&lt;&gt;"Not interested/Declined",N474=""),B474+20/24,"")))</f>
        <v/>
      </c>
      <c r="H474" s="19" t="inlineStr">
        <is>
          <t>Chetan</t>
        </is>
      </c>
      <c r="I474" s="19" t="inlineStr">
        <is>
          <t>Google</t>
        </is>
      </c>
      <c r="J474" s="19" t="inlineStr">
        <is>
          <t>Round1</t>
        </is>
      </c>
      <c r="K474" s="22" t="inlineStr">
        <is>
          <t>+91 9920264452</t>
        </is>
      </c>
      <c r="L474" s="19" t="inlineStr">
        <is>
          <t>&lt;calendly_link&gt;</t>
        </is>
      </c>
      <c r="M474" s="19" t="n"/>
      <c r="N474" s="19" t="n"/>
      <c r="O474" s="19">
        <f>IF(OR(M474="Scheduled on call",M474="Booked on their behalf",N474="Scheduled on call",N474="Booked on their behalf"),"SCHEDULED (call)",IF(OR(M474="Not interested/Declined",N474="Not interested/Declined"),"DECLINED",IF(N474="Escalate to AM","ESCALATED TO LEAD",IF(E474="Ram is handling - no action","N/A",IF(M474="","PENDING CALL 1","IN PROGRESS")))))</f>
        <v/>
      </c>
      <c r="P474" s="19">
        <f>IF(OR('Ram - Digital ToDo'!O474="Scheduled",'Ram - Digital ToDo'!Q474="Scheduled"),"Scheduled within SLA (self-serve)",IF(OR(M474="Scheduled on call",M474="Booked on their behalf",N474="Scheduled on call",N474="Booked on their behalf"),"Scheduled within SLA (call)",IF(OR(M474="Not interested/Declined",N474="Not interested/Declined"),"Declined",IF(N474="Escalate to AM","SLA breach - unresolved","In progress"))))</f>
        <v/>
      </c>
      <c r="Q474" s="19" t="n"/>
    </row>
    <row r="475">
      <c r="A475" s="19" t="inlineStr">
        <is>
          <t>REQ-0474</t>
        </is>
      </c>
      <c r="B475" s="20" t="n">
        <v>44867.82708333333</v>
      </c>
      <c r="C475" s="20">
        <f>B475+1</f>
        <v/>
      </c>
      <c r="D475" s="21">
        <f>(C475-NOW())*24</f>
        <v/>
      </c>
      <c r="E475" s="19">
        <f>IF('Ram - Digital ToDo'!Q475="Escalate to call","CALL NOW",IF('Ram - Digital ToDo'!N475="Bad contact","CALL NOW (digital failed)","Ram is handling - no action"))</f>
        <v/>
      </c>
      <c r="F475" s="19">
        <f>IF(E475="Ram is handling - no action","No action needed",IF(M475="","CALL 1: ring candidate, offer to book on call (Playbook C1)",IF(OR(M475="Scheduled on call",M475="Booked on their behalf"),"DONE: scheduled on call",IF(M475="Not interested/Declined","CLOSED: candidate declined (log + tell lead)",IF(N475="","CALL 2: final attempt (Playbook C2)",IF(OR(N475="Scheduled on call",N475="Booked on their behalf"),"DONE: scheduled on call",IF(N475="Escalate to AM","ESCALATED TO LEAD","Review")))))))</f>
        <v/>
      </c>
      <c r="G475" s="20">
        <f>IF(E475="Ram is handling - no action","",IF(M475="",B475+6/24,IF(AND(M475&lt;&gt;"Scheduled on call",M475&lt;&gt;"Booked on their behalf",M475&lt;&gt;"Not interested/Declined",N475=""),B475+20/24,"")))</f>
        <v/>
      </c>
      <c r="H475" s="19" t="inlineStr">
        <is>
          <t>Chetan</t>
        </is>
      </c>
      <c r="I475" s="19" t="inlineStr">
        <is>
          <t>Google</t>
        </is>
      </c>
      <c r="J475" s="19" t="inlineStr">
        <is>
          <t>Round1</t>
        </is>
      </c>
      <c r="K475" s="22" t="inlineStr">
        <is>
          <t>+91 9920264452</t>
        </is>
      </c>
      <c r="L475" s="19" t="inlineStr">
        <is>
          <t>&lt;calendly_link&gt;</t>
        </is>
      </c>
      <c r="M475" s="19" t="n"/>
      <c r="N475" s="19" t="n"/>
      <c r="O475" s="19">
        <f>IF(OR(M475="Scheduled on call",M475="Booked on their behalf",N475="Scheduled on call",N475="Booked on their behalf"),"SCHEDULED (call)",IF(OR(M475="Not interested/Declined",N475="Not interested/Declined"),"DECLINED",IF(N475="Escalate to AM","ESCALATED TO LEAD",IF(E475="Ram is handling - no action","N/A",IF(M475="","PENDING CALL 1","IN PROGRESS")))))</f>
        <v/>
      </c>
      <c r="P475" s="19">
        <f>IF(OR('Ram - Digital ToDo'!O475="Scheduled",'Ram - Digital ToDo'!Q475="Scheduled"),"Scheduled within SLA (self-serve)",IF(OR(M475="Scheduled on call",M475="Booked on their behalf",N475="Scheduled on call",N475="Booked on their behalf"),"Scheduled within SLA (call)",IF(OR(M475="Not interested/Declined",N475="Not interested/Declined"),"Declined",IF(N475="Escalate to AM","SLA breach - unresolved","In progress"))))</f>
        <v/>
      </c>
      <c r="Q475" s="19" t="n"/>
    </row>
    <row r="476">
      <c r="A476" s="19" t="inlineStr">
        <is>
          <t>REQ-0475</t>
        </is>
      </c>
      <c r="B476" s="20" t="n">
        <v>44867.82708333333</v>
      </c>
      <c r="C476" s="20">
        <f>B476+1</f>
        <v/>
      </c>
      <c r="D476" s="21">
        <f>(C476-NOW())*24</f>
        <v/>
      </c>
      <c r="E476" s="19">
        <f>IF('Ram - Digital ToDo'!Q476="Escalate to call","CALL NOW",IF('Ram - Digital ToDo'!N476="Bad contact","CALL NOW (digital failed)","Ram is handling - no action"))</f>
        <v/>
      </c>
      <c r="F476" s="19">
        <f>IF(E476="Ram is handling - no action","No action needed",IF(M476="","CALL 1: ring candidate, offer to book on call (Playbook C1)",IF(OR(M476="Scheduled on call",M476="Booked on their behalf"),"DONE: scheduled on call",IF(M476="Not interested/Declined","CLOSED: candidate declined (log + tell lead)",IF(N476="","CALL 2: final attempt (Playbook C2)",IF(OR(N476="Scheduled on call",N476="Booked on their behalf"),"DONE: scheduled on call",IF(N476="Escalate to AM","ESCALATED TO LEAD","Review")))))))</f>
        <v/>
      </c>
      <c r="G476" s="20">
        <f>IF(E476="Ram is handling - no action","",IF(M476="",B476+6/24,IF(AND(M476&lt;&gt;"Scheduled on call",M476&lt;&gt;"Booked on their behalf",M476&lt;&gt;"Not interested/Declined",N476=""),B476+20/24,"")))</f>
        <v/>
      </c>
      <c r="H476" s="19" t="inlineStr">
        <is>
          <t>Chetan</t>
        </is>
      </c>
      <c r="I476" s="19" t="inlineStr">
        <is>
          <t>Google</t>
        </is>
      </c>
      <c r="J476" s="19" t="inlineStr">
        <is>
          <t>Round1</t>
        </is>
      </c>
      <c r="K476" s="22" t="inlineStr">
        <is>
          <t>+91 9920264452</t>
        </is>
      </c>
      <c r="L476" s="19" t="inlineStr">
        <is>
          <t>&lt;calendly_link&gt;</t>
        </is>
      </c>
      <c r="M476" s="19" t="n"/>
      <c r="N476" s="19" t="n"/>
      <c r="O476" s="19">
        <f>IF(OR(M476="Scheduled on call",M476="Booked on their behalf",N476="Scheduled on call",N476="Booked on their behalf"),"SCHEDULED (call)",IF(OR(M476="Not interested/Declined",N476="Not interested/Declined"),"DECLINED",IF(N476="Escalate to AM","ESCALATED TO LEAD",IF(E476="Ram is handling - no action","N/A",IF(M476="","PENDING CALL 1","IN PROGRESS")))))</f>
        <v/>
      </c>
      <c r="P476" s="19">
        <f>IF(OR('Ram - Digital ToDo'!O476="Scheduled",'Ram - Digital ToDo'!Q476="Scheduled"),"Scheduled within SLA (self-serve)",IF(OR(M476="Scheduled on call",M476="Booked on their behalf",N476="Scheduled on call",N476="Booked on their behalf"),"Scheduled within SLA (call)",IF(OR(M476="Not interested/Declined",N476="Not interested/Declined"),"Declined",IF(N476="Escalate to AM","SLA breach - unresolved","In progress"))))</f>
        <v/>
      </c>
      <c r="Q476" s="19" t="n"/>
    </row>
    <row r="477">
      <c r="A477" s="19" t="inlineStr">
        <is>
          <t>REQ-0476</t>
        </is>
      </c>
      <c r="B477" s="20" t="n">
        <v>44867.82708333333</v>
      </c>
      <c r="C477" s="20">
        <f>B477+1</f>
        <v/>
      </c>
      <c r="D477" s="21">
        <f>(C477-NOW())*24</f>
        <v/>
      </c>
      <c r="E477" s="19">
        <f>IF('Ram - Digital ToDo'!Q477="Escalate to call","CALL NOW",IF('Ram - Digital ToDo'!N477="Bad contact","CALL NOW (digital failed)","Ram is handling - no action"))</f>
        <v/>
      </c>
      <c r="F477" s="19">
        <f>IF(E477="Ram is handling - no action","No action needed",IF(M477="","CALL 1: ring candidate, offer to book on call (Playbook C1)",IF(OR(M477="Scheduled on call",M477="Booked on their behalf"),"DONE: scheduled on call",IF(M477="Not interested/Declined","CLOSED: candidate declined (log + tell lead)",IF(N477="","CALL 2: final attempt (Playbook C2)",IF(OR(N477="Scheduled on call",N477="Booked on their behalf"),"DONE: scheduled on call",IF(N477="Escalate to AM","ESCALATED TO LEAD","Review")))))))</f>
        <v/>
      </c>
      <c r="G477" s="20">
        <f>IF(E477="Ram is handling - no action","",IF(M477="",B477+6/24,IF(AND(M477&lt;&gt;"Scheduled on call",M477&lt;&gt;"Booked on their behalf",M477&lt;&gt;"Not interested/Declined",N477=""),B477+20/24,"")))</f>
        <v/>
      </c>
      <c r="H477" s="19" t="inlineStr">
        <is>
          <t>Chetan</t>
        </is>
      </c>
      <c r="I477" s="19" t="inlineStr">
        <is>
          <t>Google</t>
        </is>
      </c>
      <c r="J477" s="19" t="inlineStr">
        <is>
          <t>Round1</t>
        </is>
      </c>
      <c r="K477" s="22" t="inlineStr">
        <is>
          <t>+91 9920264452</t>
        </is>
      </c>
      <c r="L477" s="19" t="inlineStr">
        <is>
          <t>&lt;calendly_link&gt;</t>
        </is>
      </c>
      <c r="M477" s="19" t="n"/>
      <c r="N477" s="19" t="n"/>
      <c r="O477" s="19">
        <f>IF(OR(M477="Scheduled on call",M477="Booked on their behalf",N477="Scheduled on call",N477="Booked on their behalf"),"SCHEDULED (call)",IF(OR(M477="Not interested/Declined",N477="Not interested/Declined"),"DECLINED",IF(N477="Escalate to AM","ESCALATED TO LEAD",IF(E477="Ram is handling - no action","N/A",IF(M477="","PENDING CALL 1","IN PROGRESS")))))</f>
        <v/>
      </c>
      <c r="P477" s="19">
        <f>IF(OR('Ram - Digital ToDo'!O477="Scheduled",'Ram - Digital ToDo'!Q477="Scheduled"),"Scheduled within SLA (self-serve)",IF(OR(M477="Scheduled on call",M477="Booked on their behalf",N477="Scheduled on call",N477="Booked on their behalf"),"Scheduled within SLA (call)",IF(OR(M477="Not interested/Declined",N477="Not interested/Declined"),"Declined",IF(N477="Escalate to AM","SLA breach - unresolved","In progress"))))</f>
        <v/>
      </c>
      <c r="Q477" s="19" t="n"/>
    </row>
    <row r="478">
      <c r="A478" s="19" t="inlineStr">
        <is>
          <t>REQ-0477</t>
        </is>
      </c>
      <c r="B478" s="20" t="n">
        <v>44867.82708333333</v>
      </c>
      <c r="C478" s="20">
        <f>B478+1</f>
        <v/>
      </c>
      <c r="D478" s="21">
        <f>(C478-NOW())*24</f>
        <v/>
      </c>
      <c r="E478" s="19">
        <f>IF('Ram - Digital ToDo'!Q478="Escalate to call","CALL NOW",IF('Ram - Digital ToDo'!N478="Bad contact","CALL NOW (digital failed)","Ram is handling - no action"))</f>
        <v/>
      </c>
      <c r="F478" s="19">
        <f>IF(E478="Ram is handling - no action","No action needed",IF(M478="","CALL 1: ring candidate, offer to book on call (Playbook C1)",IF(OR(M478="Scheduled on call",M478="Booked on their behalf"),"DONE: scheduled on call",IF(M478="Not interested/Declined","CLOSED: candidate declined (log + tell lead)",IF(N478="","CALL 2: final attempt (Playbook C2)",IF(OR(N478="Scheduled on call",N478="Booked on their behalf"),"DONE: scheduled on call",IF(N478="Escalate to AM","ESCALATED TO LEAD","Review")))))))</f>
        <v/>
      </c>
      <c r="G478" s="20">
        <f>IF(E478="Ram is handling - no action","",IF(M478="",B478+6/24,IF(AND(M478&lt;&gt;"Scheduled on call",M478&lt;&gt;"Booked on their behalf",M478&lt;&gt;"Not interested/Declined",N478=""),B478+20/24,"")))</f>
        <v/>
      </c>
      <c r="H478" s="19" t="inlineStr">
        <is>
          <t>Chetan</t>
        </is>
      </c>
      <c r="I478" s="19" t="inlineStr">
        <is>
          <t>Google</t>
        </is>
      </c>
      <c r="J478" s="19" t="inlineStr">
        <is>
          <t>Round1</t>
        </is>
      </c>
      <c r="K478" s="22" t="inlineStr">
        <is>
          <t>+91 9920264452</t>
        </is>
      </c>
      <c r="L478" s="19" t="inlineStr">
        <is>
          <t>&lt;calendly_link&gt;</t>
        </is>
      </c>
      <c r="M478" s="19" t="n"/>
      <c r="N478" s="19" t="n"/>
      <c r="O478" s="19">
        <f>IF(OR(M478="Scheduled on call",M478="Booked on their behalf",N478="Scheduled on call",N478="Booked on their behalf"),"SCHEDULED (call)",IF(OR(M478="Not interested/Declined",N478="Not interested/Declined"),"DECLINED",IF(N478="Escalate to AM","ESCALATED TO LEAD",IF(E478="Ram is handling - no action","N/A",IF(M478="","PENDING CALL 1","IN PROGRESS")))))</f>
        <v/>
      </c>
      <c r="P478" s="19">
        <f>IF(OR('Ram - Digital ToDo'!O478="Scheduled",'Ram - Digital ToDo'!Q478="Scheduled"),"Scheduled within SLA (self-serve)",IF(OR(M478="Scheduled on call",M478="Booked on their behalf",N478="Scheduled on call",N478="Booked on their behalf"),"Scheduled within SLA (call)",IF(OR(M478="Not interested/Declined",N478="Not interested/Declined"),"Declined",IF(N478="Escalate to AM","SLA breach - unresolved","In progress"))))</f>
        <v/>
      </c>
      <c r="Q478" s="19" t="n"/>
    </row>
    <row r="479">
      <c r="A479" s="19" t="inlineStr">
        <is>
          <t>REQ-0478</t>
        </is>
      </c>
      <c r="B479" s="20" t="n">
        <v>44867.82708333333</v>
      </c>
      <c r="C479" s="20">
        <f>B479+1</f>
        <v/>
      </c>
      <c r="D479" s="21">
        <f>(C479-NOW())*24</f>
        <v/>
      </c>
      <c r="E479" s="19">
        <f>IF('Ram - Digital ToDo'!Q479="Escalate to call","CALL NOW",IF('Ram - Digital ToDo'!N479="Bad contact","CALL NOW (digital failed)","Ram is handling - no action"))</f>
        <v/>
      </c>
      <c r="F479" s="19">
        <f>IF(E479="Ram is handling - no action","No action needed",IF(M479="","CALL 1: ring candidate, offer to book on call (Playbook C1)",IF(OR(M479="Scheduled on call",M479="Booked on their behalf"),"DONE: scheduled on call",IF(M479="Not interested/Declined","CLOSED: candidate declined (log + tell lead)",IF(N479="","CALL 2: final attempt (Playbook C2)",IF(OR(N479="Scheduled on call",N479="Booked on their behalf"),"DONE: scheduled on call",IF(N479="Escalate to AM","ESCALATED TO LEAD","Review")))))))</f>
        <v/>
      </c>
      <c r="G479" s="20">
        <f>IF(E479="Ram is handling - no action","",IF(M479="",B479+6/24,IF(AND(M479&lt;&gt;"Scheduled on call",M479&lt;&gt;"Booked on their behalf",M479&lt;&gt;"Not interested/Declined",N479=""),B479+20/24,"")))</f>
        <v/>
      </c>
      <c r="H479" s="19" t="inlineStr">
        <is>
          <t>Chetan</t>
        </is>
      </c>
      <c r="I479" s="19" t="inlineStr">
        <is>
          <t>Google</t>
        </is>
      </c>
      <c r="J479" s="19" t="inlineStr">
        <is>
          <t>Round1</t>
        </is>
      </c>
      <c r="K479" s="22" t="inlineStr">
        <is>
          <t>+91 9920264452</t>
        </is>
      </c>
      <c r="L479" s="19" t="inlineStr">
        <is>
          <t>&lt;calendly_link&gt;</t>
        </is>
      </c>
      <c r="M479" s="19" t="n"/>
      <c r="N479" s="19" t="n"/>
      <c r="O479" s="19">
        <f>IF(OR(M479="Scheduled on call",M479="Booked on their behalf",N479="Scheduled on call",N479="Booked on their behalf"),"SCHEDULED (call)",IF(OR(M479="Not interested/Declined",N479="Not interested/Declined"),"DECLINED",IF(N479="Escalate to AM","ESCALATED TO LEAD",IF(E479="Ram is handling - no action","N/A",IF(M479="","PENDING CALL 1","IN PROGRESS")))))</f>
        <v/>
      </c>
      <c r="P479" s="19">
        <f>IF(OR('Ram - Digital ToDo'!O479="Scheduled",'Ram - Digital ToDo'!Q479="Scheduled"),"Scheduled within SLA (self-serve)",IF(OR(M479="Scheduled on call",M479="Booked on their behalf",N479="Scheduled on call",N479="Booked on their behalf"),"Scheduled within SLA (call)",IF(OR(M479="Not interested/Declined",N479="Not interested/Declined"),"Declined",IF(N479="Escalate to AM","SLA breach - unresolved","In progress"))))</f>
        <v/>
      </c>
      <c r="Q479" s="19" t="n"/>
    </row>
    <row r="480">
      <c r="A480" s="19" t="inlineStr">
        <is>
          <t>REQ-0479</t>
        </is>
      </c>
      <c r="B480" s="20" t="n">
        <v>44867.82708333333</v>
      </c>
      <c r="C480" s="20">
        <f>B480+1</f>
        <v/>
      </c>
      <c r="D480" s="21">
        <f>(C480-NOW())*24</f>
        <v/>
      </c>
      <c r="E480" s="19">
        <f>IF('Ram - Digital ToDo'!Q480="Escalate to call","CALL NOW",IF('Ram - Digital ToDo'!N480="Bad contact","CALL NOW (digital failed)","Ram is handling - no action"))</f>
        <v/>
      </c>
      <c r="F480" s="19">
        <f>IF(E480="Ram is handling - no action","No action needed",IF(M480="","CALL 1: ring candidate, offer to book on call (Playbook C1)",IF(OR(M480="Scheduled on call",M480="Booked on their behalf"),"DONE: scheduled on call",IF(M480="Not interested/Declined","CLOSED: candidate declined (log + tell lead)",IF(N480="","CALL 2: final attempt (Playbook C2)",IF(OR(N480="Scheduled on call",N480="Booked on their behalf"),"DONE: scheduled on call",IF(N480="Escalate to AM","ESCALATED TO LEAD","Review")))))))</f>
        <v/>
      </c>
      <c r="G480" s="20">
        <f>IF(E480="Ram is handling - no action","",IF(M480="",B480+6/24,IF(AND(M480&lt;&gt;"Scheduled on call",M480&lt;&gt;"Booked on their behalf",M480&lt;&gt;"Not interested/Declined",N480=""),B480+20/24,"")))</f>
        <v/>
      </c>
      <c r="H480" s="19" t="inlineStr">
        <is>
          <t>Chetan</t>
        </is>
      </c>
      <c r="I480" s="19" t="inlineStr">
        <is>
          <t>Google</t>
        </is>
      </c>
      <c r="J480" s="19" t="inlineStr">
        <is>
          <t>Round1</t>
        </is>
      </c>
      <c r="K480" s="22" t="inlineStr">
        <is>
          <t>+91 9920264452</t>
        </is>
      </c>
      <c r="L480" s="19" t="inlineStr">
        <is>
          <t>&lt;calendly_link&gt;</t>
        </is>
      </c>
      <c r="M480" s="19" t="n"/>
      <c r="N480" s="19" t="n"/>
      <c r="O480" s="19">
        <f>IF(OR(M480="Scheduled on call",M480="Booked on their behalf",N480="Scheduled on call",N480="Booked on their behalf"),"SCHEDULED (call)",IF(OR(M480="Not interested/Declined",N480="Not interested/Declined"),"DECLINED",IF(N480="Escalate to AM","ESCALATED TO LEAD",IF(E480="Ram is handling - no action","N/A",IF(M480="","PENDING CALL 1","IN PROGRESS")))))</f>
        <v/>
      </c>
      <c r="P480" s="19">
        <f>IF(OR('Ram - Digital ToDo'!O480="Scheduled",'Ram - Digital ToDo'!Q480="Scheduled"),"Scheduled within SLA (self-serve)",IF(OR(M480="Scheduled on call",M480="Booked on their behalf",N480="Scheduled on call",N480="Booked on their behalf"),"Scheduled within SLA (call)",IF(OR(M480="Not interested/Declined",N480="Not interested/Declined"),"Declined",IF(N480="Escalate to AM","SLA breach - unresolved","In progress"))))</f>
        <v/>
      </c>
      <c r="Q480" s="19" t="n"/>
    </row>
    <row r="481">
      <c r="A481" s="19" t="inlineStr">
        <is>
          <t>REQ-0480</t>
        </is>
      </c>
      <c r="B481" s="20" t="n">
        <v>44867.82708333333</v>
      </c>
      <c r="C481" s="20">
        <f>B481+1</f>
        <v/>
      </c>
      <c r="D481" s="21">
        <f>(C481-NOW())*24</f>
        <v/>
      </c>
      <c r="E481" s="19">
        <f>IF('Ram - Digital ToDo'!Q481="Escalate to call","CALL NOW",IF('Ram - Digital ToDo'!N481="Bad contact","CALL NOW (digital failed)","Ram is handling - no action"))</f>
        <v/>
      </c>
      <c r="F481" s="19">
        <f>IF(E481="Ram is handling - no action","No action needed",IF(M481="","CALL 1: ring candidate, offer to book on call (Playbook C1)",IF(OR(M481="Scheduled on call",M481="Booked on their behalf"),"DONE: scheduled on call",IF(M481="Not interested/Declined","CLOSED: candidate declined (log + tell lead)",IF(N481="","CALL 2: final attempt (Playbook C2)",IF(OR(N481="Scheduled on call",N481="Booked on their behalf"),"DONE: scheduled on call",IF(N481="Escalate to AM","ESCALATED TO LEAD","Review")))))))</f>
        <v/>
      </c>
      <c r="G481" s="20">
        <f>IF(E481="Ram is handling - no action","",IF(M481="",B481+6/24,IF(AND(M481&lt;&gt;"Scheduled on call",M481&lt;&gt;"Booked on their behalf",M481&lt;&gt;"Not interested/Declined",N481=""),B481+20/24,"")))</f>
        <v/>
      </c>
      <c r="H481" s="19" t="inlineStr">
        <is>
          <t>Chetan</t>
        </is>
      </c>
      <c r="I481" s="19" t="inlineStr">
        <is>
          <t>Google</t>
        </is>
      </c>
      <c r="J481" s="19" t="inlineStr">
        <is>
          <t>Round1</t>
        </is>
      </c>
      <c r="K481" s="22" t="inlineStr">
        <is>
          <t>+91 9920264452</t>
        </is>
      </c>
      <c r="L481" s="19" t="inlineStr">
        <is>
          <t>&lt;calendly_link&gt;</t>
        </is>
      </c>
      <c r="M481" s="19" t="n"/>
      <c r="N481" s="19" t="n"/>
      <c r="O481" s="19">
        <f>IF(OR(M481="Scheduled on call",M481="Booked on their behalf",N481="Scheduled on call",N481="Booked on their behalf"),"SCHEDULED (call)",IF(OR(M481="Not interested/Declined",N481="Not interested/Declined"),"DECLINED",IF(N481="Escalate to AM","ESCALATED TO LEAD",IF(E481="Ram is handling - no action","N/A",IF(M481="","PENDING CALL 1","IN PROGRESS")))))</f>
        <v/>
      </c>
      <c r="P481" s="19">
        <f>IF(OR('Ram - Digital ToDo'!O481="Scheduled",'Ram - Digital ToDo'!Q481="Scheduled"),"Scheduled within SLA (self-serve)",IF(OR(M481="Scheduled on call",M481="Booked on their behalf",N481="Scheduled on call",N481="Booked on their behalf"),"Scheduled within SLA (call)",IF(OR(M481="Not interested/Declined",N481="Not interested/Declined"),"Declined",IF(N481="Escalate to AM","SLA breach - unresolved","In progress"))))</f>
        <v/>
      </c>
      <c r="Q481" s="19" t="n"/>
    </row>
    <row r="482">
      <c r="A482" s="19" t="inlineStr">
        <is>
          <t>REQ-0481</t>
        </is>
      </c>
      <c r="B482" s="20" t="n">
        <v>44867.82708333333</v>
      </c>
      <c r="C482" s="20">
        <f>B482+1</f>
        <v/>
      </c>
      <c r="D482" s="21">
        <f>(C482-NOW())*24</f>
        <v/>
      </c>
      <c r="E482" s="19">
        <f>IF('Ram - Digital ToDo'!Q482="Escalate to call","CALL NOW",IF('Ram - Digital ToDo'!N482="Bad contact","CALL NOW (digital failed)","Ram is handling - no action"))</f>
        <v/>
      </c>
      <c r="F482" s="19">
        <f>IF(E482="Ram is handling - no action","No action needed",IF(M482="","CALL 1: ring candidate, offer to book on call (Playbook C1)",IF(OR(M482="Scheduled on call",M482="Booked on their behalf"),"DONE: scheduled on call",IF(M482="Not interested/Declined","CLOSED: candidate declined (log + tell lead)",IF(N482="","CALL 2: final attempt (Playbook C2)",IF(OR(N482="Scheduled on call",N482="Booked on their behalf"),"DONE: scheduled on call",IF(N482="Escalate to AM","ESCALATED TO LEAD","Review")))))))</f>
        <v/>
      </c>
      <c r="G482" s="20">
        <f>IF(E482="Ram is handling - no action","",IF(M482="",B482+6/24,IF(AND(M482&lt;&gt;"Scheduled on call",M482&lt;&gt;"Booked on their behalf",M482&lt;&gt;"Not interested/Declined",N482=""),B482+20/24,"")))</f>
        <v/>
      </c>
      <c r="H482" s="19" t="inlineStr">
        <is>
          <t>Chetan</t>
        </is>
      </c>
      <c r="I482" s="19" t="inlineStr">
        <is>
          <t>Google</t>
        </is>
      </c>
      <c r="J482" s="19" t="inlineStr">
        <is>
          <t>Round1</t>
        </is>
      </c>
      <c r="K482" s="22" t="inlineStr">
        <is>
          <t>+91 9920264452</t>
        </is>
      </c>
      <c r="L482" s="19" t="inlineStr">
        <is>
          <t>&lt;calendly_link&gt;</t>
        </is>
      </c>
      <c r="M482" s="19" t="n"/>
      <c r="N482" s="19" t="n"/>
      <c r="O482" s="19">
        <f>IF(OR(M482="Scheduled on call",M482="Booked on their behalf",N482="Scheduled on call",N482="Booked on their behalf"),"SCHEDULED (call)",IF(OR(M482="Not interested/Declined",N482="Not interested/Declined"),"DECLINED",IF(N482="Escalate to AM","ESCALATED TO LEAD",IF(E482="Ram is handling - no action","N/A",IF(M482="","PENDING CALL 1","IN PROGRESS")))))</f>
        <v/>
      </c>
      <c r="P482" s="19">
        <f>IF(OR('Ram - Digital ToDo'!O482="Scheduled",'Ram - Digital ToDo'!Q482="Scheduled"),"Scheduled within SLA (self-serve)",IF(OR(M482="Scheduled on call",M482="Booked on their behalf",N482="Scheduled on call",N482="Booked on their behalf"),"Scheduled within SLA (call)",IF(OR(M482="Not interested/Declined",N482="Not interested/Declined"),"Declined",IF(N482="Escalate to AM","SLA breach - unresolved","In progress"))))</f>
        <v/>
      </c>
      <c r="Q482" s="19" t="n"/>
    </row>
    <row r="483">
      <c r="A483" s="19" t="inlineStr">
        <is>
          <t>REQ-0482</t>
        </is>
      </c>
      <c r="B483" s="20" t="n">
        <v>44867.82708333333</v>
      </c>
      <c r="C483" s="20">
        <f>B483+1</f>
        <v/>
      </c>
      <c r="D483" s="21">
        <f>(C483-NOW())*24</f>
        <v/>
      </c>
      <c r="E483" s="19">
        <f>IF('Ram - Digital ToDo'!Q483="Escalate to call","CALL NOW",IF('Ram - Digital ToDo'!N483="Bad contact","CALL NOW (digital failed)","Ram is handling - no action"))</f>
        <v/>
      </c>
      <c r="F483" s="19">
        <f>IF(E483="Ram is handling - no action","No action needed",IF(M483="","CALL 1: ring candidate, offer to book on call (Playbook C1)",IF(OR(M483="Scheduled on call",M483="Booked on their behalf"),"DONE: scheduled on call",IF(M483="Not interested/Declined","CLOSED: candidate declined (log + tell lead)",IF(N483="","CALL 2: final attempt (Playbook C2)",IF(OR(N483="Scheduled on call",N483="Booked on their behalf"),"DONE: scheduled on call",IF(N483="Escalate to AM","ESCALATED TO LEAD","Review")))))))</f>
        <v/>
      </c>
      <c r="G483" s="20">
        <f>IF(E483="Ram is handling - no action","",IF(M483="",B483+6/24,IF(AND(M483&lt;&gt;"Scheduled on call",M483&lt;&gt;"Booked on their behalf",M483&lt;&gt;"Not interested/Declined",N483=""),B483+20/24,"")))</f>
        <v/>
      </c>
      <c r="H483" s="19" t="inlineStr">
        <is>
          <t>Chetan</t>
        </is>
      </c>
      <c r="I483" s="19" t="inlineStr">
        <is>
          <t>Google</t>
        </is>
      </c>
      <c r="J483" s="19" t="inlineStr">
        <is>
          <t>Round1</t>
        </is>
      </c>
      <c r="K483" s="22" t="inlineStr">
        <is>
          <t>+91 9920264452</t>
        </is>
      </c>
      <c r="L483" s="19" t="inlineStr">
        <is>
          <t>&lt;calendly_link&gt;</t>
        </is>
      </c>
      <c r="M483" s="19" t="n"/>
      <c r="N483" s="19" t="n"/>
      <c r="O483" s="19">
        <f>IF(OR(M483="Scheduled on call",M483="Booked on their behalf",N483="Scheduled on call",N483="Booked on their behalf"),"SCHEDULED (call)",IF(OR(M483="Not interested/Declined",N483="Not interested/Declined"),"DECLINED",IF(N483="Escalate to AM","ESCALATED TO LEAD",IF(E483="Ram is handling - no action","N/A",IF(M483="","PENDING CALL 1","IN PROGRESS")))))</f>
        <v/>
      </c>
      <c r="P483" s="19">
        <f>IF(OR('Ram - Digital ToDo'!O483="Scheduled",'Ram - Digital ToDo'!Q483="Scheduled"),"Scheduled within SLA (self-serve)",IF(OR(M483="Scheduled on call",M483="Booked on their behalf",N483="Scheduled on call",N483="Booked on their behalf"),"Scheduled within SLA (call)",IF(OR(M483="Not interested/Declined",N483="Not interested/Declined"),"Declined",IF(N483="Escalate to AM","SLA breach - unresolved","In progress"))))</f>
        <v/>
      </c>
      <c r="Q483" s="19" t="n"/>
    </row>
    <row r="484">
      <c r="A484" s="19" t="inlineStr">
        <is>
          <t>REQ-0483</t>
        </is>
      </c>
      <c r="B484" s="20" t="n">
        <v>44867.82708333333</v>
      </c>
      <c r="C484" s="20">
        <f>B484+1</f>
        <v/>
      </c>
      <c r="D484" s="21">
        <f>(C484-NOW())*24</f>
        <v/>
      </c>
      <c r="E484" s="19">
        <f>IF('Ram - Digital ToDo'!Q484="Escalate to call","CALL NOW",IF('Ram - Digital ToDo'!N484="Bad contact","CALL NOW (digital failed)","Ram is handling - no action"))</f>
        <v/>
      </c>
      <c r="F484" s="19">
        <f>IF(E484="Ram is handling - no action","No action needed",IF(M484="","CALL 1: ring candidate, offer to book on call (Playbook C1)",IF(OR(M484="Scheduled on call",M484="Booked on their behalf"),"DONE: scheduled on call",IF(M484="Not interested/Declined","CLOSED: candidate declined (log + tell lead)",IF(N484="","CALL 2: final attempt (Playbook C2)",IF(OR(N484="Scheduled on call",N484="Booked on their behalf"),"DONE: scheduled on call",IF(N484="Escalate to AM","ESCALATED TO LEAD","Review")))))))</f>
        <v/>
      </c>
      <c r="G484" s="20">
        <f>IF(E484="Ram is handling - no action","",IF(M484="",B484+6/24,IF(AND(M484&lt;&gt;"Scheduled on call",M484&lt;&gt;"Booked on their behalf",M484&lt;&gt;"Not interested/Declined",N484=""),B484+20/24,"")))</f>
        <v/>
      </c>
      <c r="H484" s="19" t="inlineStr">
        <is>
          <t>Chetan</t>
        </is>
      </c>
      <c r="I484" s="19" t="inlineStr">
        <is>
          <t>Google</t>
        </is>
      </c>
      <c r="J484" s="19" t="inlineStr">
        <is>
          <t>Round1</t>
        </is>
      </c>
      <c r="K484" s="22" t="inlineStr">
        <is>
          <t>+91 9920264452</t>
        </is>
      </c>
      <c r="L484" s="19" t="inlineStr">
        <is>
          <t>&lt;calendly_link&gt;</t>
        </is>
      </c>
      <c r="M484" s="19" t="n"/>
      <c r="N484" s="19" t="n"/>
      <c r="O484" s="19">
        <f>IF(OR(M484="Scheduled on call",M484="Booked on their behalf",N484="Scheduled on call",N484="Booked on their behalf"),"SCHEDULED (call)",IF(OR(M484="Not interested/Declined",N484="Not interested/Declined"),"DECLINED",IF(N484="Escalate to AM","ESCALATED TO LEAD",IF(E484="Ram is handling - no action","N/A",IF(M484="","PENDING CALL 1","IN PROGRESS")))))</f>
        <v/>
      </c>
      <c r="P484" s="19">
        <f>IF(OR('Ram - Digital ToDo'!O484="Scheduled",'Ram - Digital ToDo'!Q484="Scheduled"),"Scheduled within SLA (self-serve)",IF(OR(M484="Scheduled on call",M484="Booked on their behalf",N484="Scheduled on call",N484="Booked on their behalf"),"Scheduled within SLA (call)",IF(OR(M484="Not interested/Declined",N484="Not interested/Declined"),"Declined",IF(N484="Escalate to AM","SLA breach - unresolved","In progress"))))</f>
        <v/>
      </c>
      <c r="Q484" s="19" t="n"/>
    </row>
    <row r="485">
      <c r="A485" s="19" t="inlineStr">
        <is>
          <t>REQ-0484</t>
        </is>
      </c>
      <c r="B485" s="20" t="n">
        <v>44867.82708333333</v>
      </c>
      <c r="C485" s="20">
        <f>B485+1</f>
        <v/>
      </c>
      <c r="D485" s="21">
        <f>(C485-NOW())*24</f>
        <v/>
      </c>
      <c r="E485" s="19">
        <f>IF('Ram - Digital ToDo'!Q485="Escalate to call","CALL NOW",IF('Ram - Digital ToDo'!N485="Bad contact","CALL NOW (digital failed)","Ram is handling - no action"))</f>
        <v/>
      </c>
      <c r="F485" s="19">
        <f>IF(E485="Ram is handling - no action","No action needed",IF(M485="","CALL 1: ring candidate, offer to book on call (Playbook C1)",IF(OR(M485="Scheduled on call",M485="Booked on their behalf"),"DONE: scheduled on call",IF(M485="Not interested/Declined","CLOSED: candidate declined (log + tell lead)",IF(N485="","CALL 2: final attempt (Playbook C2)",IF(OR(N485="Scheduled on call",N485="Booked on their behalf"),"DONE: scheduled on call",IF(N485="Escalate to AM","ESCALATED TO LEAD","Review")))))))</f>
        <v/>
      </c>
      <c r="G485" s="20">
        <f>IF(E485="Ram is handling - no action","",IF(M485="",B485+6/24,IF(AND(M485&lt;&gt;"Scheduled on call",M485&lt;&gt;"Booked on their behalf",M485&lt;&gt;"Not interested/Declined",N485=""),B485+20/24,"")))</f>
        <v/>
      </c>
      <c r="H485" s="19" t="inlineStr">
        <is>
          <t>Chetan</t>
        </is>
      </c>
      <c r="I485" s="19" t="inlineStr">
        <is>
          <t>Google</t>
        </is>
      </c>
      <c r="J485" s="19" t="inlineStr">
        <is>
          <t>Round1</t>
        </is>
      </c>
      <c r="K485" s="22" t="inlineStr">
        <is>
          <t>+91 9920264452</t>
        </is>
      </c>
      <c r="L485" s="19" t="inlineStr">
        <is>
          <t>&lt;calendly_link&gt;</t>
        </is>
      </c>
      <c r="M485" s="19" t="n"/>
      <c r="N485" s="19" t="n"/>
      <c r="O485" s="19">
        <f>IF(OR(M485="Scheduled on call",M485="Booked on their behalf",N485="Scheduled on call",N485="Booked on their behalf"),"SCHEDULED (call)",IF(OR(M485="Not interested/Declined",N485="Not interested/Declined"),"DECLINED",IF(N485="Escalate to AM","ESCALATED TO LEAD",IF(E485="Ram is handling - no action","N/A",IF(M485="","PENDING CALL 1","IN PROGRESS")))))</f>
        <v/>
      </c>
      <c r="P485" s="19">
        <f>IF(OR('Ram - Digital ToDo'!O485="Scheduled",'Ram - Digital ToDo'!Q485="Scheduled"),"Scheduled within SLA (self-serve)",IF(OR(M485="Scheduled on call",M485="Booked on their behalf",N485="Scheduled on call",N485="Booked on their behalf"),"Scheduled within SLA (call)",IF(OR(M485="Not interested/Declined",N485="Not interested/Declined"),"Declined",IF(N485="Escalate to AM","SLA breach - unresolved","In progress"))))</f>
        <v/>
      </c>
      <c r="Q485" s="19" t="n"/>
    </row>
    <row r="486">
      <c r="A486" s="19" t="inlineStr">
        <is>
          <t>REQ-0485</t>
        </is>
      </c>
      <c r="B486" s="20" t="n">
        <v>44867.82708333333</v>
      </c>
      <c r="C486" s="20">
        <f>B486+1</f>
        <v/>
      </c>
      <c r="D486" s="21">
        <f>(C486-NOW())*24</f>
        <v/>
      </c>
      <c r="E486" s="19">
        <f>IF('Ram - Digital ToDo'!Q486="Escalate to call","CALL NOW",IF('Ram - Digital ToDo'!N486="Bad contact","CALL NOW (digital failed)","Ram is handling - no action"))</f>
        <v/>
      </c>
      <c r="F486" s="19">
        <f>IF(E486="Ram is handling - no action","No action needed",IF(M486="","CALL 1: ring candidate, offer to book on call (Playbook C1)",IF(OR(M486="Scheduled on call",M486="Booked on their behalf"),"DONE: scheduled on call",IF(M486="Not interested/Declined","CLOSED: candidate declined (log + tell lead)",IF(N486="","CALL 2: final attempt (Playbook C2)",IF(OR(N486="Scheduled on call",N486="Booked on their behalf"),"DONE: scheduled on call",IF(N486="Escalate to AM","ESCALATED TO LEAD","Review")))))))</f>
        <v/>
      </c>
      <c r="G486" s="20">
        <f>IF(E486="Ram is handling - no action","",IF(M486="",B486+6/24,IF(AND(M486&lt;&gt;"Scheduled on call",M486&lt;&gt;"Booked on their behalf",M486&lt;&gt;"Not interested/Declined",N486=""),B486+20/24,"")))</f>
        <v/>
      </c>
      <c r="H486" s="19" t="inlineStr">
        <is>
          <t>Chetan</t>
        </is>
      </c>
      <c r="I486" s="19" t="inlineStr">
        <is>
          <t>Google</t>
        </is>
      </c>
      <c r="J486" s="19" t="inlineStr">
        <is>
          <t>Round1</t>
        </is>
      </c>
      <c r="K486" s="22" t="inlineStr">
        <is>
          <t>+91 9920264452</t>
        </is>
      </c>
      <c r="L486" s="19" t="inlineStr">
        <is>
          <t>&lt;calendly_link&gt;</t>
        </is>
      </c>
      <c r="M486" s="19" t="n"/>
      <c r="N486" s="19" t="n"/>
      <c r="O486" s="19">
        <f>IF(OR(M486="Scheduled on call",M486="Booked on their behalf",N486="Scheduled on call",N486="Booked on their behalf"),"SCHEDULED (call)",IF(OR(M486="Not interested/Declined",N486="Not interested/Declined"),"DECLINED",IF(N486="Escalate to AM","ESCALATED TO LEAD",IF(E486="Ram is handling - no action","N/A",IF(M486="","PENDING CALL 1","IN PROGRESS")))))</f>
        <v/>
      </c>
      <c r="P486" s="19">
        <f>IF(OR('Ram - Digital ToDo'!O486="Scheduled",'Ram - Digital ToDo'!Q486="Scheduled"),"Scheduled within SLA (self-serve)",IF(OR(M486="Scheduled on call",M486="Booked on their behalf",N486="Scheduled on call",N486="Booked on their behalf"),"Scheduled within SLA (call)",IF(OR(M486="Not interested/Declined",N486="Not interested/Declined"),"Declined",IF(N486="Escalate to AM","SLA breach - unresolved","In progress"))))</f>
        <v/>
      </c>
      <c r="Q486" s="19" t="n"/>
    </row>
    <row r="487">
      <c r="A487" s="19" t="inlineStr">
        <is>
          <t>REQ-0486</t>
        </is>
      </c>
      <c r="B487" s="20" t="n">
        <v>44867.82708333333</v>
      </c>
      <c r="C487" s="20">
        <f>B487+1</f>
        <v/>
      </c>
      <c r="D487" s="21">
        <f>(C487-NOW())*24</f>
        <v/>
      </c>
      <c r="E487" s="19">
        <f>IF('Ram - Digital ToDo'!Q487="Escalate to call","CALL NOW",IF('Ram - Digital ToDo'!N487="Bad contact","CALL NOW (digital failed)","Ram is handling - no action"))</f>
        <v/>
      </c>
      <c r="F487" s="19">
        <f>IF(E487="Ram is handling - no action","No action needed",IF(M487="","CALL 1: ring candidate, offer to book on call (Playbook C1)",IF(OR(M487="Scheduled on call",M487="Booked on their behalf"),"DONE: scheduled on call",IF(M487="Not interested/Declined","CLOSED: candidate declined (log + tell lead)",IF(N487="","CALL 2: final attempt (Playbook C2)",IF(OR(N487="Scheduled on call",N487="Booked on their behalf"),"DONE: scheduled on call",IF(N487="Escalate to AM","ESCALATED TO LEAD","Review")))))))</f>
        <v/>
      </c>
      <c r="G487" s="20">
        <f>IF(E487="Ram is handling - no action","",IF(M487="",B487+6/24,IF(AND(M487&lt;&gt;"Scheduled on call",M487&lt;&gt;"Booked on their behalf",M487&lt;&gt;"Not interested/Declined",N487=""),B487+20/24,"")))</f>
        <v/>
      </c>
      <c r="H487" s="19" t="inlineStr">
        <is>
          <t>Chetan</t>
        </is>
      </c>
      <c r="I487" s="19" t="inlineStr">
        <is>
          <t>Google</t>
        </is>
      </c>
      <c r="J487" s="19" t="inlineStr">
        <is>
          <t>Round1</t>
        </is>
      </c>
      <c r="K487" s="22" t="inlineStr">
        <is>
          <t>+91 9920264452</t>
        </is>
      </c>
      <c r="L487" s="19" t="inlineStr">
        <is>
          <t>&lt;calendly_link&gt;</t>
        </is>
      </c>
      <c r="M487" s="19" t="n"/>
      <c r="N487" s="19" t="n"/>
      <c r="O487" s="19">
        <f>IF(OR(M487="Scheduled on call",M487="Booked on their behalf",N487="Scheduled on call",N487="Booked on their behalf"),"SCHEDULED (call)",IF(OR(M487="Not interested/Declined",N487="Not interested/Declined"),"DECLINED",IF(N487="Escalate to AM","ESCALATED TO LEAD",IF(E487="Ram is handling - no action","N/A",IF(M487="","PENDING CALL 1","IN PROGRESS")))))</f>
        <v/>
      </c>
      <c r="P487" s="19">
        <f>IF(OR('Ram - Digital ToDo'!O487="Scheduled",'Ram - Digital ToDo'!Q487="Scheduled"),"Scheduled within SLA (self-serve)",IF(OR(M487="Scheduled on call",M487="Booked on their behalf",N487="Scheduled on call",N487="Booked on their behalf"),"Scheduled within SLA (call)",IF(OR(M487="Not interested/Declined",N487="Not interested/Declined"),"Declined",IF(N487="Escalate to AM","SLA breach - unresolved","In progress"))))</f>
        <v/>
      </c>
      <c r="Q487" s="19" t="n"/>
    </row>
    <row r="488">
      <c r="A488" s="19" t="inlineStr">
        <is>
          <t>REQ-0487</t>
        </is>
      </c>
      <c r="B488" s="20" t="n">
        <v>44867.82708333333</v>
      </c>
      <c r="C488" s="20">
        <f>B488+1</f>
        <v/>
      </c>
      <c r="D488" s="21">
        <f>(C488-NOW())*24</f>
        <v/>
      </c>
      <c r="E488" s="19">
        <f>IF('Ram - Digital ToDo'!Q488="Escalate to call","CALL NOW",IF('Ram - Digital ToDo'!N488="Bad contact","CALL NOW (digital failed)","Ram is handling - no action"))</f>
        <v/>
      </c>
      <c r="F488" s="19">
        <f>IF(E488="Ram is handling - no action","No action needed",IF(M488="","CALL 1: ring candidate, offer to book on call (Playbook C1)",IF(OR(M488="Scheduled on call",M488="Booked on their behalf"),"DONE: scheduled on call",IF(M488="Not interested/Declined","CLOSED: candidate declined (log + tell lead)",IF(N488="","CALL 2: final attempt (Playbook C2)",IF(OR(N488="Scheduled on call",N488="Booked on their behalf"),"DONE: scheduled on call",IF(N488="Escalate to AM","ESCALATED TO LEAD","Review")))))))</f>
        <v/>
      </c>
      <c r="G488" s="20">
        <f>IF(E488="Ram is handling - no action","",IF(M488="",B488+6/24,IF(AND(M488&lt;&gt;"Scheduled on call",M488&lt;&gt;"Booked on their behalf",M488&lt;&gt;"Not interested/Declined",N488=""),B488+20/24,"")))</f>
        <v/>
      </c>
      <c r="H488" s="19" t="inlineStr">
        <is>
          <t>Chetan</t>
        </is>
      </c>
      <c r="I488" s="19" t="inlineStr">
        <is>
          <t>Google</t>
        </is>
      </c>
      <c r="J488" s="19" t="inlineStr">
        <is>
          <t>Round1</t>
        </is>
      </c>
      <c r="K488" s="22" t="inlineStr">
        <is>
          <t>+91 9920264452</t>
        </is>
      </c>
      <c r="L488" s="19" t="inlineStr">
        <is>
          <t>&lt;calendly_link&gt;</t>
        </is>
      </c>
      <c r="M488" s="19" t="n"/>
      <c r="N488" s="19" t="n"/>
      <c r="O488" s="19">
        <f>IF(OR(M488="Scheduled on call",M488="Booked on their behalf",N488="Scheduled on call",N488="Booked on their behalf"),"SCHEDULED (call)",IF(OR(M488="Not interested/Declined",N488="Not interested/Declined"),"DECLINED",IF(N488="Escalate to AM","ESCALATED TO LEAD",IF(E488="Ram is handling - no action","N/A",IF(M488="","PENDING CALL 1","IN PROGRESS")))))</f>
        <v/>
      </c>
      <c r="P488" s="19">
        <f>IF(OR('Ram - Digital ToDo'!O488="Scheduled",'Ram - Digital ToDo'!Q488="Scheduled"),"Scheduled within SLA (self-serve)",IF(OR(M488="Scheduled on call",M488="Booked on their behalf",N488="Scheduled on call",N488="Booked on their behalf"),"Scheduled within SLA (call)",IF(OR(M488="Not interested/Declined",N488="Not interested/Declined"),"Declined",IF(N488="Escalate to AM","SLA breach - unresolved","In progress"))))</f>
        <v/>
      </c>
      <c r="Q488" s="19" t="n"/>
    </row>
    <row r="489">
      <c r="A489" s="19" t="inlineStr">
        <is>
          <t>REQ-0488</t>
        </is>
      </c>
      <c r="B489" s="20" t="n">
        <v>44867.82708333333</v>
      </c>
      <c r="C489" s="20">
        <f>B489+1</f>
        <v/>
      </c>
      <c r="D489" s="21">
        <f>(C489-NOW())*24</f>
        <v/>
      </c>
      <c r="E489" s="19">
        <f>IF('Ram - Digital ToDo'!Q489="Escalate to call","CALL NOW",IF('Ram - Digital ToDo'!N489="Bad contact","CALL NOW (digital failed)","Ram is handling - no action"))</f>
        <v/>
      </c>
      <c r="F489" s="19">
        <f>IF(E489="Ram is handling - no action","No action needed",IF(M489="","CALL 1: ring candidate, offer to book on call (Playbook C1)",IF(OR(M489="Scheduled on call",M489="Booked on their behalf"),"DONE: scheduled on call",IF(M489="Not interested/Declined","CLOSED: candidate declined (log + tell lead)",IF(N489="","CALL 2: final attempt (Playbook C2)",IF(OR(N489="Scheduled on call",N489="Booked on their behalf"),"DONE: scheduled on call",IF(N489="Escalate to AM","ESCALATED TO LEAD","Review")))))))</f>
        <v/>
      </c>
      <c r="G489" s="20">
        <f>IF(E489="Ram is handling - no action","",IF(M489="",B489+6/24,IF(AND(M489&lt;&gt;"Scheduled on call",M489&lt;&gt;"Booked on their behalf",M489&lt;&gt;"Not interested/Declined",N489=""),B489+20/24,"")))</f>
        <v/>
      </c>
      <c r="H489" s="19" t="inlineStr">
        <is>
          <t>Chetan</t>
        </is>
      </c>
      <c r="I489" s="19" t="inlineStr">
        <is>
          <t>Google</t>
        </is>
      </c>
      <c r="J489" s="19" t="inlineStr">
        <is>
          <t>Round1</t>
        </is>
      </c>
      <c r="K489" s="22" t="inlineStr">
        <is>
          <t>+91 9920264452</t>
        </is>
      </c>
      <c r="L489" s="19" t="inlineStr">
        <is>
          <t>&lt;calendly_link&gt;</t>
        </is>
      </c>
      <c r="M489" s="19" t="n"/>
      <c r="N489" s="19" t="n"/>
      <c r="O489" s="19">
        <f>IF(OR(M489="Scheduled on call",M489="Booked on their behalf",N489="Scheduled on call",N489="Booked on their behalf"),"SCHEDULED (call)",IF(OR(M489="Not interested/Declined",N489="Not interested/Declined"),"DECLINED",IF(N489="Escalate to AM","ESCALATED TO LEAD",IF(E489="Ram is handling - no action","N/A",IF(M489="","PENDING CALL 1","IN PROGRESS")))))</f>
        <v/>
      </c>
      <c r="P489" s="19">
        <f>IF(OR('Ram - Digital ToDo'!O489="Scheduled",'Ram - Digital ToDo'!Q489="Scheduled"),"Scheduled within SLA (self-serve)",IF(OR(M489="Scheduled on call",M489="Booked on their behalf",N489="Scheduled on call",N489="Booked on their behalf"),"Scheduled within SLA (call)",IF(OR(M489="Not interested/Declined",N489="Not interested/Declined"),"Declined",IF(N489="Escalate to AM","SLA breach - unresolved","In progress"))))</f>
        <v/>
      </c>
      <c r="Q489" s="19" t="n"/>
    </row>
    <row r="490">
      <c r="A490" s="19" t="inlineStr">
        <is>
          <t>REQ-0489</t>
        </is>
      </c>
      <c r="B490" s="20" t="n">
        <v>44867.82708333333</v>
      </c>
      <c r="C490" s="20">
        <f>B490+1</f>
        <v/>
      </c>
      <c r="D490" s="21">
        <f>(C490-NOW())*24</f>
        <v/>
      </c>
      <c r="E490" s="19">
        <f>IF('Ram - Digital ToDo'!Q490="Escalate to call","CALL NOW",IF('Ram - Digital ToDo'!N490="Bad contact","CALL NOW (digital failed)","Ram is handling - no action"))</f>
        <v/>
      </c>
      <c r="F490" s="19">
        <f>IF(E490="Ram is handling - no action","No action needed",IF(M490="","CALL 1: ring candidate, offer to book on call (Playbook C1)",IF(OR(M490="Scheduled on call",M490="Booked on their behalf"),"DONE: scheduled on call",IF(M490="Not interested/Declined","CLOSED: candidate declined (log + tell lead)",IF(N490="","CALL 2: final attempt (Playbook C2)",IF(OR(N490="Scheduled on call",N490="Booked on their behalf"),"DONE: scheduled on call",IF(N490="Escalate to AM","ESCALATED TO LEAD","Review")))))))</f>
        <v/>
      </c>
      <c r="G490" s="20">
        <f>IF(E490="Ram is handling - no action","",IF(M490="",B490+6/24,IF(AND(M490&lt;&gt;"Scheduled on call",M490&lt;&gt;"Booked on their behalf",M490&lt;&gt;"Not interested/Declined",N490=""),B490+20/24,"")))</f>
        <v/>
      </c>
      <c r="H490" s="19" t="inlineStr">
        <is>
          <t>Chetan</t>
        </is>
      </c>
      <c r="I490" s="19" t="inlineStr">
        <is>
          <t>Google</t>
        </is>
      </c>
      <c r="J490" s="19" t="inlineStr">
        <is>
          <t>Round1</t>
        </is>
      </c>
      <c r="K490" s="22" t="inlineStr">
        <is>
          <t>+91 9920264452</t>
        </is>
      </c>
      <c r="L490" s="19" t="inlineStr">
        <is>
          <t>&lt;calendly_link&gt;</t>
        </is>
      </c>
      <c r="M490" s="19" t="n"/>
      <c r="N490" s="19" t="n"/>
      <c r="O490" s="19">
        <f>IF(OR(M490="Scheduled on call",M490="Booked on their behalf",N490="Scheduled on call",N490="Booked on their behalf"),"SCHEDULED (call)",IF(OR(M490="Not interested/Declined",N490="Not interested/Declined"),"DECLINED",IF(N490="Escalate to AM","ESCALATED TO LEAD",IF(E490="Ram is handling - no action","N/A",IF(M490="","PENDING CALL 1","IN PROGRESS")))))</f>
        <v/>
      </c>
      <c r="P490" s="19">
        <f>IF(OR('Ram - Digital ToDo'!O490="Scheduled",'Ram - Digital ToDo'!Q490="Scheduled"),"Scheduled within SLA (self-serve)",IF(OR(M490="Scheduled on call",M490="Booked on their behalf",N490="Scheduled on call",N490="Booked on their behalf"),"Scheduled within SLA (call)",IF(OR(M490="Not interested/Declined",N490="Not interested/Declined"),"Declined",IF(N490="Escalate to AM","SLA breach - unresolved","In progress"))))</f>
        <v/>
      </c>
      <c r="Q490" s="19" t="n"/>
    </row>
    <row r="491">
      <c r="A491" s="19" t="inlineStr">
        <is>
          <t>REQ-0490</t>
        </is>
      </c>
      <c r="B491" s="20" t="n">
        <v>44867.82708333333</v>
      </c>
      <c r="C491" s="20">
        <f>B491+1</f>
        <v/>
      </c>
      <c r="D491" s="21">
        <f>(C491-NOW())*24</f>
        <v/>
      </c>
      <c r="E491" s="19">
        <f>IF('Ram - Digital ToDo'!Q491="Escalate to call","CALL NOW",IF('Ram - Digital ToDo'!N491="Bad contact","CALL NOW (digital failed)","Ram is handling - no action"))</f>
        <v/>
      </c>
      <c r="F491" s="19">
        <f>IF(E491="Ram is handling - no action","No action needed",IF(M491="","CALL 1: ring candidate, offer to book on call (Playbook C1)",IF(OR(M491="Scheduled on call",M491="Booked on their behalf"),"DONE: scheduled on call",IF(M491="Not interested/Declined","CLOSED: candidate declined (log + tell lead)",IF(N491="","CALL 2: final attempt (Playbook C2)",IF(OR(N491="Scheduled on call",N491="Booked on their behalf"),"DONE: scheduled on call",IF(N491="Escalate to AM","ESCALATED TO LEAD","Review")))))))</f>
        <v/>
      </c>
      <c r="G491" s="20">
        <f>IF(E491="Ram is handling - no action","",IF(M491="",B491+6/24,IF(AND(M491&lt;&gt;"Scheduled on call",M491&lt;&gt;"Booked on their behalf",M491&lt;&gt;"Not interested/Declined",N491=""),B491+20/24,"")))</f>
        <v/>
      </c>
      <c r="H491" s="19" t="inlineStr">
        <is>
          <t>Chetan</t>
        </is>
      </c>
      <c r="I491" s="19" t="inlineStr">
        <is>
          <t>Google</t>
        </is>
      </c>
      <c r="J491" s="19" t="inlineStr">
        <is>
          <t>Round1</t>
        </is>
      </c>
      <c r="K491" s="22" t="inlineStr">
        <is>
          <t>+91 9920264452</t>
        </is>
      </c>
      <c r="L491" s="19" t="inlineStr">
        <is>
          <t>&lt;calendly_link&gt;</t>
        </is>
      </c>
      <c r="M491" s="19" t="n"/>
      <c r="N491" s="19" t="n"/>
      <c r="O491" s="19">
        <f>IF(OR(M491="Scheduled on call",M491="Booked on their behalf",N491="Scheduled on call",N491="Booked on their behalf"),"SCHEDULED (call)",IF(OR(M491="Not interested/Declined",N491="Not interested/Declined"),"DECLINED",IF(N491="Escalate to AM","ESCALATED TO LEAD",IF(E491="Ram is handling - no action","N/A",IF(M491="","PENDING CALL 1","IN PROGRESS")))))</f>
        <v/>
      </c>
      <c r="P491" s="19">
        <f>IF(OR('Ram - Digital ToDo'!O491="Scheduled",'Ram - Digital ToDo'!Q491="Scheduled"),"Scheduled within SLA (self-serve)",IF(OR(M491="Scheduled on call",M491="Booked on their behalf",N491="Scheduled on call",N491="Booked on their behalf"),"Scheduled within SLA (call)",IF(OR(M491="Not interested/Declined",N491="Not interested/Declined"),"Declined",IF(N491="Escalate to AM","SLA breach - unresolved","In progress"))))</f>
        <v/>
      </c>
      <c r="Q491" s="19" t="n"/>
    </row>
    <row r="492">
      <c r="A492" s="19" t="inlineStr">
        <is>
          <t>REQ-0491</t>
        </is>
      </c>
      <c r="B492" s="20" t="n">
        <v>44867.82708333333</v>
      </c>
      <c r="C492" s="20">
        <f>B492+1</f>
        <v/>
      </c>
      <c r="D492" s="21">
        <f>(C492-NOW())*24</f>
        <v/>
      </c>
      <c r="E492" s="19">
        <f>IF('Ram - Digital ToDo'!Q492="Escalate to call","CALL NOW",IF('Ram - Digital ToDo'!N492="Bad contact","CALL NOW (digital failed)","Ram is handling - no action"))</f>
        <v/>
      </c>
      <c r="F492" s="19">
        <f>IF(E492="Ram is handling - no action","No action needed",IF(M492="","CALL 1: ring candidate, offer to book on call (Playbook C1)",IF(OR(M492="Scheduled on call",M492="Booked on their behalf"),"DONE: scheduled on call",IF(M492="Not interested/Declined","CLOSED: candidate declined (log + tell lead)",IF(N492="","CALL 2: final attempt (Playbook C2)",IF(OR(N492="Scheduled on call",N492="Booked on their behalf"),"DONE: scheduled on call",IF(N492="Escalate to AM","ESCALATED TO LEAD","Review")))))))</f>
        <v/>
      </c>
      <c r="G492" s="20">
        <f>IF(E492="Ram is handling - no action","",IF(M492="",B492+6/24,IF(AND(M492&lt;&gt;"Scheduled on call",M492&lt;&gt;"Booked on their behalf",M492&lt;&gt;"Not interested/Declined",N492=""),B492+20/24,"")))</f>
        <v/>
      </c>
      <c r="H492" s="19" t="inlineStr">
        <is>
          <t>Chetan</t>
        </is>
      </c>
      <c r="I492" s="19" t="inlineStr">
        <is>
          <t>Google</t>
        </is>
      </c>
      <c r="J492" s="19" t="inlineStr">
        <is>
          <t>Round1</t>
        </is>
      </c>
      <c r="K492" s="22" t="inlineStr">
        <is>
          <t>+91 9920264452</t>
        </is>
      </c>
      <c r="L492" s="19" t="inlineStr">
        <is>
          <t>&lt;calendly_link&gt;</t>
        </is>
      </c>
      <c r="M492" s="19" t="n"/>
      <c r="N492" s="19" t="n"/>
      <c r="O492" s="19">
        <f>IF(OR(M492="Scheduled on call",M492="Booked on their behalf",N492="Scheduled on call",N492="Booked on their behalf"),"SCHEDULED (call)",IF(OR(M492="Not interested/Declined",N492="Not interested/Declined"),"DECLINED",IF(N492="Escalate to AM","ESCALATED TO LEAD",IF(E492="Ram is handling - no action","N/A",IF(M492="","PENDING CALL 1","IN PROGRESS")))))</f>
        <v/>
      </c>
      <c r="P492" s="19">
        <f>IF(OR('Ram - Digital ToDo'!O492="Scheduled",'Ram - Digital ToDo'!Q492="Scheduled"),"Scheduled within SLA (self-serve)",IF(OR(M492="Scheduled on call",M492="Booked on their behalf",N492="Scheduled on call",N492="Booked on their behalf"),"Scheduled within SLA (call)",IF(OR(M492="Not interested/Declined",N492="Not interested/Declined"),"Declined",IF(N492="Escalate to AM","SLA breach - unresolved","In progress"))))</f>
        <v/>
      </c>
      <c r="Q492" s="19" t="n"/>
    </row>
    <row r="493">
      <c r="A493" s="19" t="inlineStr">
        <is>
          <t>REQ-0492</t>
        </is>
      </c>
      <c r="B493" s="20" t="n">
        <v>44867.82708333333</v>
      </c>
      <c r="C493" s="20">
        <f>B493+1</f>
        <v/>
      </c>
      <c r="D493" s="21">
        <f>(C493-NOW())*24</f>
        <v/>
      </c>
      <c r="E493" s="19">
        <f>IF('Ram - Digital ToDo'!Q493="Escalate to call","CALL NOW",IF('Ram - Digital ToDo'!N493="Bad contact","CALL NOW (digital failed)","Ram is handling - no action"))</f>
        <v/>
      </c>
      <c r="F493" s="19">
        <f>IF(E493="Ram is handling - no action","No action needed",IF(M493="","CALL 1: ring candidate, offer to book on call (Playbook C1)",IF(OR(M493="Scheduled on call",M493="Booked on their behalf"),"DONE: scheduled on call",IF(M493="Not interested/Declined","CLOSED: candidate declined (log + tell lead)",IF(N493="","CALL 2: final attempt (Playbook C2)",IF(OR(N493="Scheduled on call",N493="Booked on their behalf"),"DONE: scheduled on call",IF(N493="Escalate to AM","ESCALATED TO LEAD","Review")))))))</f>
        <v/>
      </c>
      <c r="G493" s="20">
        <f>IF(E493="Ram is handling - no action","",IF(M493="",B493+6/24,IF(AND(M493&lt;&gt;"Scheduled on call",M493&lt;&gt;"Booked on their behalf",M493&lt;&gt;"Not interested/Declined",N493=""),B493+20/24,"")))</f>
        <v/>
      </c>
      <c r="H493" s="19" t="inlineStr">
        <is>
          <t>Chetan</t>
        </is>
      </c>
      <c r="I493" s="19" t="inlineStr">
        <is>
          <t>Google</t>
        </is>
      </c>
      <c r="J493" s="19" t="inlineStr">
        <is>
          <t>Round1</t>
        </is>
      </c>
      <c r="K493" s="22" t="inlineStr">
        <is>
          <t>+91 9920264452</t>
        </is>
      </c>
      <c r="L493" s="19" t="inlineStr">
        <is>
          <t>&lt;calendly_link&gt;</t>
        </is>
      </c>
      <c r="M493" s="19" t="n"/>
      <c r="N493" s="19" t="n"/>
      <c r="O493" s="19">
        <f>IF(OR(M493="Scheduled on call",M493="Booked on their behalf",N493="Scheduled on call",N493="Booked on their behalf"),"SCHEDULED (call)",IF(OR(M493="Not interested/Declined",N493="Not interested/Declined"),"DECLINED",IF(N493="Escalate to AM","ESCALATED TO LEAD",IF(E493="Ram is handling - no action","N/A",IF(M493="","PENDING CALL 1","IN PROGRESS")))))</f>
        <v/>
      </c>
      <c r="P493" s="19">
        <f>IF(OR('Ram - Digital ToDo'!O493="Scheduled",'Ram - Digital ToDo'!Q493="Scheduled"),"Scheduled within SLA (self-serve)",IF(OR(M493="Scheduled on call",M493="Booked on their behalf",N493="Scheduled on call",N493="Booked on their behalf"),"Scheduled within SLA (call)",IF(OR(M493="Not interested/Declined",N493="Not interested/Declined"),"Declined",IF(N493="Escalate to AM","SLA breach - unresolved","In progress"))))</f>
        <v/>
      </c>
      <c r="Q493" s="19" t="n"/>
    </row>
    <row r="494">
      <c r="A494" s="19" t="inlineStr">
        <is>
          <t>REQ-0493</t>
        </is>
      </c>
      <c r="B494" s="20" t="n">
        <v>44867.82708333333</v>
      </c>
      <c r="C494" s="20">
        <f>B494+1</f>
        <v/>
      </c>
      <c r="D494" s="21">
        <f>(C494-NOW())*24</f>
        <v/>
      </c>
      <c r="E494" s="19">
        <f>IF('Ram - Digital ToDo'!Q494="Escalate to call","CALL NOW",IF('Ram - Digital ToDo'!N494="Bad contact","CALL NOW (digital failed)","Ram is handling - no action"))</f>
        <v/>
      </c>
      <c r="F494" s="19">
        <f>IF(E494="Ram is handling - no action","No action needed",IF(M494="","CALL 1: ring candidate, offer to book on call (Playbook C1)",IF(OR(M494="Scheduled on call",M494="Booked on their behalf"),"DONE: scheduled on call",IF(M494="Not interested/Declined","CLOSED: candidate declined (log + tell lead)",IF(N494="","CALL 2: final attempt (Playbook C2)",IF(OR(N494="Scheduled on call",N494="Booked on their behalf"),"DONE: scheduled on call",IF(N494="Escalate to AM","ESCALATED TO LEAD","Review")))))))</f>
        <v/>
      </c>
      <c r="G494" s="20">
        <f>IF(E494="Ram is handling - no action","",IF(M494="",B494+6/24,IF(AND(M494&lt;&gt;"Scheduled on call",M494&lt;&gt;"Booked on their behalf",M494&lt;&gt;"Not interested/Declined",N494=""),B494+20/24,"")))</f>
        <v/>
      </c>
      <c r="H494" s="19" t="inlineStr">
        <is>
          <t>Chetan</t>
        </is>
      </c>
      <c r="I494" s="19" t="inlineStr">
        <is>
          <t>Google</t>
        </is>
      </c>
      <c r="J494" s="19" t="inlineStr">
        <is>
          <t>Round1</t>
        </is>
      </c>
      <c r="K494" s="22" t="inlineStr">
        <is>
          <t>+91 9920264452</t>
        </is>
      </c>
      <c r="L494" s="19" t="inlineStr">
        <is>
          <t>&lt;calendly_link&gt;</t>
        </is>
      </c>
      <c r="M494" s="19" t="n"/>
      <c r="N494" s="19" t="n"/>
      <c r="O494" s="19">
        <f>IF(OR(M494="Scheduled on call",M494="Booked on their behalf",N494="Scheduled on call",N494="Booked on their behalf"),"SCHEDULED (call)",IF(OR(M494="Not interested/Declined",N494="Not interested/Declined"),"DECLINED",IF(N494="Escalate to AM","ESCALATED TO LEAD",IF(E494="Ram is handling - no action","N/A",IF(M494="","PENDING CALL 1","IN PROGRESS")))))</f>
        <v/>
      </c>
      <c r="P494" s="19">
        <f>IF(OR('Ram - Digital ToDo'!O494="Scheduled",'Ram - Digital ToDo'!Q494="Scheduled"),"Scheduled within SLA (self-serve)",IF(OR(M494="Scheduled on call",M494="Booked on their behalf",N494="Scheduled on call",N494="Booked on their behalf"),"Scheduled within SLA (call)",IF(OR(M494="Not interested/Declined",N494="Not interested/Declined"),"Declined",IF(N494="Escalate to AM","SLA breach - unresolved","In progress"))))</f>
        <v/>
      </c>
      <c r="Q494" s="19" t="n"/>
    </row>
    <row r="495">
      <c r="A495" s="19" t="inlineStr">
        <is>
          <t>REQ-0494</t>
        </is>
      </c>
      <c r="B495" s="20" t="n">
        <v>44867.82708333333</v>
      </c>
      <c r="C495" s="20">
        <f>B495+1</f>
        <v/>
      </c>
      <c r="D495" s="21">
        <f>(C495-NOW())*24</f>
        <v/>
      </c>
      <c r="E495" s="19">
        <f>IF('Ram - Digital ToDo'!Q495="Escalate to call","CALL NOW",IF('Ram - Digital ToDo'!N495="Bad contact","CALL NOW (digital failed)","Ram is handling - no action"))</f>
        <v/>
      </c>
      <c r="F495" s="19">
        <f>IF(E495="Ram is handling - no action","No action needed",IF(M495="","CALL 1: ring candidate, offer to book on call (Playbook C1)",IF(OR(M495="Scheduled on call",M495="Booked on their behalf"),"DONE: scheduled on call",IF(M495="Not interested/Declined","CLOSED: candidate declined (log + tell lead)",IF(N495="","CALL 2: final attempt (Playbook C2)",IF(OR(N495="Scheduled on call",N495="Booked on their behalf"),"DONE: scheduled on call",IF(N495="Escalate to AM","ESCALATED TO LEAD","Review")))))))</f>
        <v/>
      </c>
      <c r="G495" s="20">
        <f>IF(E495="Ram is handling - no action","",IF(M495="",B495+6/24,IF(AND(M495&lt;&gt;"Scheduled on call",M495&lt;&gt;"Booked on their behalf",M495&lt;&gt;"Not interested/Declined",N495=""),B495+20/24,"")))</f>
        <v/>
      </c>
      <c r="H495" s="19" t="inlineStr">
        <is>
          <t>Chetan</t>
        </is>
      </c>
      <c r="I495" s="19" t="inlineStr">
        <is>
          <t>Google</t>
        </is>
      </c>
      <c r="J495" s="19" t="inlineStr">
        <is>
          <t>Round1</t>
        </is>
      </c>
      <c r="K495" s="22" t="inlineStr">
        <is>
          <t>+91 9920264452</t>
        </is>
      </c>
      <c r="L495" s="19" t="inlineStr">
        <is>
          <t>&lt;calendly_link&gt;</t>
        </is>
      </c>
      <c r="M495" s="19" t="n"/>
      <c r="N495" s="19" t="n"/>
      <c r="O495" s="19">
        <f>IF(OR(M495="Scheduled on call",M495="Booked on their behalf",N495="Scheduled on call",N495="Booked on their behalf"),"SCHEDULED (call)",IF(OR(M495="Not interested/Declined",N495="Not interested/Declined"),"DECLINED",IF(N495="Escalate to AM","ESCALATED TO LEAD",IF(E495="Ram is handling - no action","N/A",IF(M495="","PENDING CALL 1","IN PROGRESS")))))</f>
        <v/>
      </c>
      <c r="P495" s="19">
        <f>IF(OR('Ram - Digital ToDo'!O495="Scheduled",'Ram - Digital ToDo'!Q495="Scheduled"),"Scheduled within SLA (self-serve)",IF(OR(M495="Scheduled on call",M495="Booked on their behalf",N495="Scheduled on call",N495="Booked on their behalf"),"Scheduled within SLA (call)",IF(OR(M495="Not interested/Declined",N495="Not interested/Declined"),"Declined",IF(N495="Escalate to AM","SLA breach - unresolved","In progress"))))</f>
        <v/>
      </c>
      <c r="Q495" s="19" t="n"/>
    </row>
    <row r="496">
      <c r="A496" s="19" t="inlineStr">
        <is>
          <t>REQ-0495</t>
        </is>
      </c>
      <c r="B496" s="20" t="n">
        <v>44867.82708333333</v>
      </c>
      <c r="C496" s="20">
        <f>B496+1</f>
        <v/>
      </c>
      <c r="D496" s="21">
        <f>(C496-NOW())*24</f>
        <v/>
      </c>
      <c r="E496" s="19">
        <f>IF('Ram - Digital ToDo'!Q496="Escalate to call","CALL NOW",IF('Ram - Digital ToDo'!N496="Bad contact","CALL NOW (digital failed)","Ram is handling - no action"))</f>
        <v/>
      </c>
      <c r="F496" s="19">
        <f>IF(E496="Ram is handling - no action","No action needed",IF(M496="","CALL 1: ring candidate, offer to book on call (Playbook C1)",IF(OR(M496="Scheduled on call",M496="Booked on their behalf"),"DONE: scheduled on call",IF(M496="Not interested/Declined","CLOSED: candidate declined (log + tell lead)",IF(N496="","CALL 2: final attempt (Playbook C2)",IF(OR(N496="Scheduled on call",N496="Booked on their behalf"),"DONE: scheduled on call",IF(N496="Escalate to AM","ESCALATED TO LEAD","Review")))))))</f>
        <v/>
      </c>
      <c r="G496" s="20">
        <f>IF(E496="Ram is handling - no action","",IF(M496="",B496+6/24,IF(AND(M496&lt;&gt;"Scheduled on call",M496&lt;&gt;"Booked on their behalf",M496&lt;&gt;"Not interested/Declined",N496=""),B496+20/24,"")))</f>
        <v/>
      </c>
      <c r="H496" s="19" t="inlineStr">
        <is>
          <t>Chetan</t>
        </is>
      </c>
      <c r="I496" s="19" t="inlineStr">
        <is>
          <t>Google</t>
        </is>
      </c>
      <c r="J496" s="19" t="inlineStr">
        <is>
          <t>Round1</t>
        </is>
      </c>
      <c r="K496" s="22" t="inlineStr">
        <is>
          <t>+91 9920264452</t>
        </is>
      </c>
      <c r="L496" s="19" t="inlineStr">
        <is>
          <t>&lt;calendly_link&gt;</t>
        </is>
      </c>
      <c r="M496" s="19" t="n"/>
      <c r="N496" s="19" t="n"/>
      <c r="O496" s="19">
        <f>IF(OR(M496="Scheduled on call",M496="Booked on their behalf",N496="Scheduled on call",N496="Booked on their behalf"),"SCHEDULED (call)",IF(OR(M496="Not interested/Declined",N496="Not interested/Declined"),"DECLINED",IF(N496="Escalate to AM","ESCALATED TO LEAD",IF(E496="Ram is handling - no action","N/A",IF(M496="","PENDING CALL 1","IN PROGRESS")))))</f>
        <v/>
      </c>
      <c r="P496" s="19">
        <f>IF(OR('Ram - Digital ToDo'!O496="Scheduled",'Ram - Digital ToDo'!Q496="Scheduled"),"Scheduled within SLA (self-serve)",IF(OR(M496="Scheduled on call",M496="Booked on their behalf",N496="Scheduled on call",N496="Booked on their behalf"),"Scheduled within SLA (call)",IF(OR(M496="Not interested/Declined",N496="Not interested/Declined"),"Declined",IF(N496="Escalate to AM","SLA breach - unresolved","In progress"))))</f>
        <v/>
      </c>
      <c r="Q496" s="19" t="n"/>
    </row>
    <row r="497">
      <c r="A497" s="19" t="inlineStr">
        <is>
          <t>REQ-0496</t>
        </is>
      </c>
      <c r="B497" s="20" t="n">
        <v>44867.82708333333</v>
      </c>
      <c r="C497" s="20">
        <f>B497+1</f>
        <v/>
      </c>
      <c r="D497" s="21">
        <f>(C497-NOW())*24</f>
        <v/>
      </c>
      <c r="E497" s="19">
        <f>IF('Ram - Digital ToDo'!Q497="Escalate to call","CALL NOW",IF('Ram - Digital ToDo'!N497="Bad contact","CALL NOW (digital failed)","Ram is handling - no action"))</f>
        <v/>
      </c>
      <c r="F497" s="19">
        <f>IF(E497="Ram is handling - no action","No action needed",IF(M497="","CALL 1: ring candidate, offer to book on call (Playbook C1)",IF(OR(M497="Scheduled on call",M497="Booked on their behalf"),"DONE: scheduled on call",IF(M497="Not interested/Declined","CLOSED: candidate declined (log + tell lead)",IF(N497="","CALL 2: final attempt (Playbook C2)",IF(OR(N497="Scheduled on call",N497="Booked on their behalf"),"DONE: scheduled on call",IF(N497="Escalate to AM","ESCALATED TO LEAD","Review")))))))</f>
        <v/>
      </c>
      <c r="G497" s="20">
        <f>IF(E497="Ram is handling - no action","",IF(M497="",B497+6/24,IF(AND(M497&lt;&gt;"Scheduled on call",M497&lt;&gt;"Booked on their behalf",M497&lt;&gt;"Not interested/Declined",N497=""),B497+20/24,"")))</f>
        <v/>
      </c>
      <c r="H497" s="19" t="inlineStr">
        <is>
          <t>Chetan</t>
        </is>
      </c>
      <c r="I497" s="19" t="inlineStr">
        <is>
          <t>Google</t>
        </is>
      </c>
      <c r="J497" s="19" t="inlineStr">
        <is>
          <t>Round1</t>
        </is>
      </c>
      <c r="K497" s="22" t="inlineStr">
        <is>
          <t>+91 9920264452</t>
        </is>
      </c>
      <c r="L497" s="19" t="inlineStr">
        <is>
          <t>&lt;calendly_link&gt;</t>
        </is>
      </c>
      <c r="M497" s="19" t="n"/>
      <c r="N497" s="19" t="n"/>
      <c r="O497" s="19">
        <f>IF(OR(M497="Scheduled on call",M497="Booked on their behalf",N497="Scheduled on call",N497="Booked on their behalf"),"SCHEDULED (call)",IF(OR(M497="Not interested/Declined",N497="Not interested/Declined"),"DECLINED",IF(N497="Escalate to AM","ESCALATED TO LEAD",IF(E497="Ram is handling - no action","N/A",IF(M497="","PENDING CALL 1","IN PROGRESS")))))</f>
        <v/>
      </c>
      <c r="P497" s="19">
        <f>IF(OR('Ram - Digital ToDo'!O497="Scheduled",'Ram - Digital ToDo'!Q497="Scheduled"),"Scheduled within SLA (self-serve)",IF(OR(M497="Scheduled on call",M497="Booked on their behalf",N497="Scheduled on call",N497="Booked on their behalf"),"Scheduled within SLA (call)",IF(OR(M497="Not interested/Declined",N497="Not interested/Declined"),"Declined",IF(N497="Escalate to AM","SLA breach - unresolved","In progress"))))</f>
        <v/>
      </c>
      <c r="Q497" s="19" t="n"/>
    </row>
    <row r="498">
      <c r="A498" s="19" t="inlineStr">
        <is>
          <t>REQ-0497</t>
        </is>
      </c>
      <c r="B498" s="20" t="n">
        <v>44867.82708333333</v>
      </c>
      <c r="C498" s="20">
        <f>B498+1</f>
        <v/>
      </c>
      <c r="D498" s="21">
        <f>(C498-NOW())*24</f>
        <v/>
      </c>
      <c r="E498" s="19">
        <f>IF('Ram - Digital ToDo'!Q498="Escalate to call","CALL NOW",IF('Ram - Digital ToDo'!N498="Bad contact","CALL NOW (digital failed)","Ram is handling - no action"))</f>
        <v/>
      </c>
      <c r="F498" s="19">
        <f>IF(E498="Ram is handling - no action","No action needed",IF(M498="","CALL 1: ring candidate, offer to book on call (Playbook C1)",IF(OR(M498="Scheduled on call",M498="Booked on their behalf"),"DONE: scheduled on call",IF(M498="Not interested/Declined","CLOSED: candidate declined (log + tell lead)",IF(N498="","CALL 2: final attempt (Playbook C2)",IF(OR(N498="Scheduled on call",N498="Booked on their behalf"),"DONE: scheduled on call",IF(N498="Escalate to AM","ESCALATED TO LEAD","Review")))))))</f>
        <v/>
      </c>
      <c r="G498" s="20">
        <f>IF(E498="Ram is handling - no action","",IF(M498="",B498+6/24,IF(AND(M498&lt;&gt;"Scheduled on call",M498&lt;&gt;"Booked on their behalf",M498&lt;&gt;"Not interested/Declined",N498=""),B498+20/24,"")))</f>
        <v/>
      </c>
      <c r="H498" s="19" t="inlineStr">
        <is>
          <t>Chetan</t>
        </is>
      </c>
      <c r="I498" s="19" t="inlineStr">
        <is>
          <t>Google</t>
        </is>
      </c>
      <c r="J498" s="19" t="inlineStr">
        <is>
          <t>Round1</t>
        </is>
      </c>
      <c r="K498" s="22" t="inlineStr">
        <is>
          <t>+91 9920264452</t>
        </is>
      </c>
      <c r="L498" s="19" t="inlineStr">
        <is>
          <t>&lt;calendly_link&gt;</t>
        </is>
      </c>
      <c r="M498" s="19" t="n"/>
      <c r="N498" s="19" t="n"/>
      <c r="O498" s="19">
        <f>IF(OR(M498="Scheduled on call",M498="Booked on their behalf",N498="Scheduled on call",N498="Booked on their behalf"),"SCHEDULED (call)",IF(OR(M498="Not interested/Declined",N498="Not interested/Declined"),"DECLINED",IF(N498="Escalate to AM","ESCALATED TO LEAD",IF(E498="Ram is handling - no action","N/A",IF(M498="","PENDING CALL 1","IN PROGRESS")))))</f>
        <v/>
      </c>
      <c r="P498" s="19">
        <f>IF(OR('Ram - Digital ToDo'!O498="Scheduled",'Ram - Digital ToDo'!Q498="Scheduled"),"Scheduled within SLA (self-serve)",IF(OR(M498="Scheduled on call",M498="Booked on their behalf",N498="Scheduled on call",N498="Booked on their behalf"),"Scheduled within SLA (call)",IF(OR(M498="Not interested/Declined",N498="Not interested/Declined"),"Declined",IF(N498="Escalate to AM","SLA breach - unresolved","In progress"))))</f>
        <v/>
      </c>
      <c r="Q498" s="19" t="n"/>
    </row>
    <row r="499">
      <c r="A499" s="19" t="inlineStr">
        <is>
          <t>REQ-0498</t>
        </is>
      </c>
      <c r="B499" s="20" t="n">
        <v>44867.82708333333</v>
      </c>
      <c r="C499" s="20">
        <f>B499+1</f>
        <v/>
      </c>
      <c r="D499" s="21">
        <f>(C499-NOW())*24</f>
        <v/>
      </c>
      <c r="E499" s="19">
        <f>IF('Ram - Digital ToDo'!Q499="Escalate to call","CALL NOW",IF('Ram - Digital ToDo'!N499="Bad contact","CALL NOW (digital failed)","Ram is handling - no action"))</f>
        <v/>
      </c>
      <c r="F499" s="19">
        <f>IF(E499="Ram is handling - no action","No action needed",IF(M499="","CALL 1: ring candidate, offer to book on call (Playbook C1)",IF(OR(M499="Scheduled on call",M499="Booked on their behalf"),"DONE: scheduled on call",IF(M499="Not interested/Declined","CLOSED: candidate declined (log + tell lead)",IF(N499="","CALL 2: final attempt (Playbook C2)",IF(OR(N499="Scheduled on call",N499="Booked on their behalf"),"DONE: scheduled on call",IF(N499="Escalate to AM","ESCALATED TO LEAD","Review")))))))</f>
        <v/>
      </c>
      <c r="G499" s="20">
        <f>IF(E499="Ram is handling - no action","",IF(M499="",B499+6/24,IF(AND(M499&lt;&gt;"Scheduled on call",M499&lt;&gt;"Booked on their behalf",M499&lt;&gt;"Not interested/Declined",N499=""),B499+20/24,"")))</f>
        <v/>
      </c>
      <c r="H499" s="19" t="inlineStr">
        <is>
          <t>Chetan</t>
        </is>
      </c>
      <c r="I499" s="19" t="inlineStr">
        <is>
          <t>Google</t>
        </is>
      </c>
      <c r="J499" s="19" t="inlineStr">
        <is>
          <t>Round1</t>
        </is>
      </c>
      <c r="K499" s="22" t="inlineStr">
        <is>
          <t>+91 9920264452</t>
        </is>
      </c>
      <c r="L499" s="19" t="inlineStr">
        <is>
          <t>&lt;calendly_link&gt;</t>
        </is>
      </c>
      <c r="M499" s="19" t="n"/>
      <c r="N499" s="19" t="n"/>
      <c r="O499" s="19">
        <f>IF(OR(M499="Scheduled on call",M499="Booked on their behalf",N499="Scheduled on call",N499="Booked on their behalf"),"SCHEDULED (call)",IF(OR(M499="Not interested/Declined",N499="Not interested/Declined"),"DECLINED",IF(N499="Escalate to AM","ESCALATED TO LEAD",IF(E499="Ram is handling - no action","N/A",IF(M499="","PENDING CALL 1","IN PROGRESS")))))</f>
        <v/>
      </c>
      <c r="P499" s="19">
        <f>IF(OR('Ram - Digital ToDo'!O499="Scheduled",'Ram - Digital ToDo'!Q499="Scheduled"),"Scheduled within SLA (self-serve)",IF(OR(M499="Scheduled on call",M499="Booked on their behalf",N499="Scheduled on call",N499="Booked on their behalf"),"Scheduled within SLA (call)",IF(OR(M499="Not interested/Declined",N499="Not interested/Declined"),"Declined",IF(N499="Escalate to AM","SLA breach - unresolved","In progress"))))</f>
        <v/>
      </c>
      <c r="Q499" s="19" t="n"/>
    </row>
    <row r="500">
      <c r="A500" s="19" t="inlineStr">
        <is>
          <t>REQ-0499</t>
        </is>
      </c>
      <c r="B500" s="20" t="n">
        <v>44867.82708333333</v>
      </c>
      <c r="C500" s="20">
        <f>B500+1</f>
        <v/>
      </c>
      <c r="D500" s="21">
        <f>(C500-NOW())*24</f>
        <v/>
      </c>
      <c r="E500" s="19">
        <f>IF('Ram - Digital ToDo'!Q500="Escalate to call","CALL NOW",IF('Ram - Digital ToDo'!N500="Bad contact","CALL NOW (digital failed)","Ram is handling - no action"))</f>
        <v/>
      </c>
      <c r="F500" s="19">
        <f>IF(E500="Ram is handling - no action","No action needed",IF(M500="","CALL 1: ring candidate, offer to book on call (Playbook C1)",IF(OR(M500="Scheduled on call",M500="Booked on their behalf"),"DONE: scheduled on call",IF(M500="Not interested/Declined","CLOSED: candidate declined (log + tell lead)",IF(N500="","CALL 2: final attempt (Playbook C2)",IF(OR(N500="Scheduled on call",N500="Booked on their behalf"),"DONE: scheduled on call",IF(N500="Escalate to AM","ESCALATED TO LEAD","Review")))))))</f>
        <v/>
      </c>
      <c r="G500" s="20">
        <f>IF(E500="Ram is handling - no action","",IF(M500="",B500+6/24,IF(AND(M500&lt;&gt;"Scheduled on call",M500&lt;&gt;"Booked on their behalf",M500&lt;&gt;"Not interested/Declined",N500=""),B500+20/24,"")))</f>
        <v/>
      </c>
      <c r="H500" s="19" t="inlineStr">
        <is>
          <t>Chetan</t>
        </is>
      </c>
      <c r="I500" s="19" t="inlineStr">
        <is>
          <t>Google</t>
        </is>
      </c>
      <c r="J500" s="19" t="inlineStr">
        <is>
          <t>Round1</t>
        </is>
      </c>
      <c r="K500" s="22" t="inlineStr">
        <is>
          <t>+91 9920264452</t>
        </is>
      </c>
      <c r="L500" s="19" t="inlineStr">
        <is>
          <t>&lt;calendly_link&gt;</t>
        </is>
      </c>
      <c r="M500" s="19" t="n"/>
      <c r="N500" s="19" t="n"/>
      <c r="O500" s="19">
        <f>IF(OR(M500="Scheduled on call",M500="Booked on their behalf",N500="Scheduled on call",N500="Booked on their behalf"),"SCHEDULED (call)",IF(OR(M500="Not interested/Declined",N500="Not interested/Declined"),"DECLINED",IF(N500="Escalate to AM","ESCALATED TO LEAD",IF(E500="Ram is handling - no action","N/A",IF(M500="","PENDING CALL 1","IN PROGRESS")))))</f>
        <v/>
      </c>
      <c r="P500" s="19">
        <f>IF(OR('Ram - Digital ToDo'!O500="Scheduled",'Ram - Digital ToDo'!Q500="Scheduled"),"Scheduled within SLA (self-serve)",IF(OR(M500="Scheduled on call",M500="Booked on their behalf",N500="Scheduled on call",N500="Booked on their behalf"),"Scheduled within SLA (call)",IF(OR(M500="Not interested/Declined",N500="Not interested/Declined"),"Declined",IF(N500="Escalate to AM","SLA breach - unresolved","In progress"))))</f>
        <v/>
      </c>
      <c r="Q500" s="19" t="n"/>
    </row>
    <row r="501">
      <c r="A501" s="19" t="inlineStr">
        <is>
          <t>REQ-0500</t>
        </is>
      </c>
      <c r="B501" s="20" t="n">
        <v>44867.82708333333</v>
      </c>
      <c r="C501" s="20">
        <f>B501+1</f>
        <v/>
      </c>
      <c r="D501" s="21">
        <f>(C501-NOW())*24</f>
        <v/>
      </c>
      <c r="E501" s="19">
        <f>IF('Ram - Digital ToDo'!Q501="Escalate to call","CALL NOW",IF('Ram - Digital ToDo'!N501="Bad contact","CALL NOW (digital failed)","Ram is handling - no action"))</f>
        <v/>
      </c>
      <c r="F501" s="19">
        <f>IF(E501="Ram is handling - no action","No action needed",IF(M501="","CALL 1: ring candidate, offer to book on call (Playbook C1)",IF(OR(M501="Scheduled on call",M501="Booked on their behalf"),"DONE: scheduled on call",IF(M501="Not interested/Declined","CLOSED: candidate declined (log + tell lead)",IF(N501="","CALL 2: final attempt (Playbook C2)",IF(OR(N501="Scheduled on call",N501="Booked on their behalf"),"DONE: scheduled on call",IF(N501="Escalate to AM","ESCALATED TO LEAD","Review")))))))</f>
        <v/>
      </c>
      <c r="G501" s="20">
        <f>IF(E501="Ram is handling - no action","",IF(M501="",B501+6/24,IF(AND(M501&lt;&gt;"Scheduled on call",M501&lt;&gt;"Booked on their behalf",M501&lt;&gt;"Not interested/Declined",N501=""),B501+20/24,"")))</f>
        <v/>
      </c>
      <c r="H501" s="19" t="inlineStr">
        <is>
          <t>Chetan</t>
        </is>
      </c>
      <c r="I501" s="19" t="inlineStr">
        <is>
          <t>Google</t>
        </is>
      </c>
      <c r="J501" s="19" t="inlineStr">
        <is>
          <t>Round1</t>
        </is>
      </c>
      <c r="K501" s="22" t="inlineStr">
        <is>
          <t>+91 9920264452</t>
        </is>
      </c>
      <c r="L501" s="19" t="inlineStr">
        <is>
          <t>&lt;calendly_link&gt;</t>
        </is>
      </c>
      <c r="M501" s="19" t="n"/>
      <c r="N501" s="19" t="n"/>
      <c r="O501" s="19">
        <f>IF(OR(M501="Scheduled on call",M501="Booked on their behalf",N501="Scheduled on call",N501="Booked on their behalf"),"SCHEDULED (call)",IF(OR(M501="Not interested/Declined",N501="Not interested/Declined"),"DECLINED",IF(N501="Escalate to AM","ESCALATED TO LEAD",IF(E501="Ram is handling - no action","N/A",IF(M501="","PENDING CALL 1","IN PROGRESS")))))</f>
        <v/>
      </c>
      <c r="P501" s="19">
        <f>IF(OR('Ram - Digital ToDo'!O501="Scheduled",'Ram - Digital ToDo'!Q501="Scheduled"),"Scheduled within SLA (self-serve)",IF(OR(M501="Scheduled on call",M501="Booked on their behalf",N501="Scheduled on call",N501="Booked on their behalf"),"Scheduled within SLA (call)",IF(OR(M501="Not interested/Declined",N501="Not interested/Declined"),"Declined",IF(N501="Escalate to AM","SLA breach - unresolved","In progress"))))</f>
        <v/>
      </c>
      <c r="Q501" s="19" t="n"/>
    </row>
    <row r="502">
      <c r="A502" s="19" t="inlineStr">
        <is>
          <t>REQ-0501</t>
        </is>
      </c>
      <c r="B502" s="20" t="n">
        <v>44867.82708333333</v>
      </c>
      <c r="C502" s="20">
        <f>B502+1</f>
        <v/>
      </c>
      <c r="D502" s="21">
        <f>(C502-NOW())*24</f>
        <v/>
      </c>
      <c r="E502" s="19">
        <f>IF('Ram - Digital ToDo'!Q502="Escalate to call","CALL NOW",IF('Ram - Digital ToDo'!N502="Bad contact","CALL NOW (digital failed)","Ram is handling - no action"))</f>
        <v/>
      </c>
      <c r="F502" s="19">
        <f>IF(E502="Ram is handling - no action","No action needed",IF(M502="","CALL 1: ring candidate, offer to book on call (Playbook C1)",IF(OR(M502="Scheduled on call",M502="Booked on their behalf"),"DONE: scheduled on call",IF(M502="Not interested/Declined","CLOSED: candidate declined (log + tell lead)",IF(N502="","CALL 2: final attempt (Playbook C2)",IF(OR(N502="Scheduled on call",N502="Booked on their behalf"),"DONE: scheduled on call",IF(N502="Escalate to AM","ESCALATED TO LEAD","Review")))))))</f>
        <v/>
      </c>
      <c r="G502" s="20">
        <f>IF(E502="Ram is handling - no action","",IF(M502="",B502+6/24,IF(AND(M502&lt;&gt;"Scheduled on call",M502&lt;&gt;"Booked on their behalf",M502&lt;&gt;"Not interested/Declined",N502=""),B502+20/24,"")))</f>
        <v/>
      </c>
      <c r="H502" s="19" t="inlineStr">
        <is>
          <t>Chetan</t>
        </is>
      </c>
      <c r="I502" s="19" t="inlineStr">
        <is>
          <t>Google</t>
        </is>
      </c>
      <c r="J502" s="19" t="inlineStr">
        <is>
          <t>Round1</t>
        </is>
      </c>
      <c r="K502" s="22" t="inlineStr">
        <is>
          <t>+91 9920264452</t>
        </is>
      </c>
      <c r="L502" s="19" t="inlineStr">
        <is>
          <t>&lt;calendly_link&gt;</t>
        </is>
      </c>
      <c r="M502" s="19" t="n"/>
      <c r="N502" s="19" t="n"/>
      <c r="O502" s="19">
        <f>IF(OR(M502="Scheduled on call",M502="Booked on their behalf",N502="Scheduled on call",N502="Booked on their behalf"),"SCHEDULED (call)",IF(OR(M502="Not interested/Declined",N502="Not interested/Declined"),"DECLINED",IF(N502="Escalate to AM","ESCALATED TO LEAD",IF(E502="Ram is handling - no action","N/A",IF(M502="","PENDING CALL 1","IN PROGRESS")))))</f>
        <v/>
      </c>
      <c r="P502" s="19">
        <f>IF(OR('Ram - Digital ToDo'!O502="Scheduled",'Ram - Digital ToDo'!Q502="Scheduled"),"Scheduled within SLA (self-serve)",IF(OR(M502="Scheduled on call",M502="Booked on their behalf",N502="Scheduled on call",N502="Booked on their behalf"),"Scheduled within SLA (call)",IF(OR(M502="Not interested/Declined",N502="Not interested/Declined"),"Declined",IF(N502="Escalate to AM","SLA breach - unresolved","In progress"))))</f>
        <v/>
      </c>
      <c r="Q502" s="19" t="n"/>
    </row>
    <row r="503">
      <c r="A503" s="19" t="inlineStr">
        <is>
          <t>REQ-0502</t>
        </is>
      </c>
      <c r="B503" s="20" t="n">
        <v>44867.82708333333</v>
      </c>
      <c r="C503" s="20">
        <f>B503+1</f>
        <v/>
      </c>
      <c r="D503" s="21">
        <f>(C503-NOW())*24</f>
        <v/>
      </c>
      <c r="E503" s="19">
        <f>IF('Ram - Digital ToDo'!Q503="Escalate to call","CALL NOW",IF('Ram - Digital ToDo'!N503="Bad contact","CALL NOW (digital failed)","Ram is handling - no action"))</f>
        <v/>
      </c>
      <c r="F503" s="19">
        <f>IF(E503="Ram is handling - no action","No action needed",IF(M503="","CALL 1: ring candidate, offer to book on call (Playbook C1)",IF(OR(M503="Scheduled on call",M503="Booked on their behalf"),"DONE: scheduled on call",IF(M503="Not interested/Declined","CLOSED: candidate declined (log + tell lead)",IF(N503="","CALL 2: final attempt (Playbook C2)",IF(OR(N503="Scheduled on call",N503="Booked on their behalf"),"DONE: scheduled on call",IF(N503="Escalate to AM","ESCALATED TO LEAD","Review")))))))</f>
        <v/>
      </c>
      <c r="G503" s="20">
        <f>IF(E503="Ram is handling - no action","",IF(M503="",B503+6/24,IF(AND(M503&lt;&gt;"Scheduled on call",M503&lt;&gt;"Booked on their behalf",M503&lt;&gt;"Not interested/Declined",N503=""),B503+20/24,"")))</f>
        <v/>
      </c>
      <c r="H503" s="19" t="inlineStr">
        <is>
          <t>Chetan</t>
        </is>
      </c>
      <c r="I503" s="19" t="inlineStr">
        <is>
          <t>Google</t>
        </is>
      </c>
      <c r="J503" s="19" t="inlineStr">
        <is>
          <t>Round1</t>
        </is>
      </c>
      <c r="K503" s="22" t="inlineStr">
        <is>
          <t>+91 9920264452</t>
        </is>
      </c>
      <c r="L503" s="19" t="inlineStr">
        <is>
          <t>&lt;calendly_link&gt;</t>
        </is>
      </c>
      <c r="M503" s="19" t="n"/>
      <c r="N503" s="19" t="n"/>
      <c r="O503" s="19">
        <f>IF(OR(M503="Scheduled on call",M503="Booked on their behalf",N503="Scheduled on call",N503="Booked on their behalf"),"SCHEDULED (call)",IF(OR(M503="Not interested/Declined",N503="Not interested/Declined"),"DECLINED",IF(N503="Escalate to AM","ESCALATED TO LEAD",IF(E503="Ram is handling - no action","N/A",IF(M503="","PENDING CALL 1","IN PROGRESS")))))</f>
        <v/>
      </c>
      <c r="P503" s="19">
        <f>IF(OR('Ram - Digital ToDo'!O503="Scheduled",'Ram - Digital ToDo'!Q503="Scheduled"),"Scheduled within SLA (self-serve)",IF(OR(M503="Scheduled on call",M503="Booked on their behalf",N503="Scheduled on call",N503="Booked on their behalf"),"Scheduled within SLA (call)",IF(OR(M503="Not interested/Declined",N503="Not interested/Declined"),"Declined",IF(N503="Escalate to AM","SLA breach - unresolved","In progress"))))</f>
        <v/>
      </c>
      <c r="Q503" s="19" t="n"/>
    </row>
    <row r="504">
      <c r="A504" s="19" t="inlineStr">
        <is>
          <t>REQ-0503</t>
        </is>
      </c>
      <c r="B504" s="20" t="n">
        <v>44867.82708333333</v>
      </c>
      <c r="C504" s="20">
        <f>B504+1</f>
        <v/>
      </c>
      <c r="D504" s="21">
        <f>(C504-NOW())*24</f>
        <v/>
      </c>
      <c r="E504" s="19">
        <f>IF('Ram - Digital ToDo'!Q504="Escalate to call","CALL NOW",IF('Ram - Digital ToDo'!N504="Bad contact","CALL NOW (digital failed)","Ram is handling - no action"))</f>
        <v/>
      </c>
      <c r="F504" s="19">
        <f>IF(E504="Ram is handling - no action","No action needed",IF(M504="","CALL 1: ring candidate, offer to book on call (Playbook C1)",IF(OR(M504="Scheduled on call",M504="Booked on their behalf"),"DONE: scheduled on call",IF(M504="Not interested/Declined","CLOSED: candidate declined (log + tell lead)",IF(N504="","CALL 2: final attempt (Playbook C2)",IF(OR(N504="Scheduled on call",N504="Booked on their behalf"),"DONE: scheduled on call",IF(N504="Escalate to AM","ESCALATED TO LEAD","Review")))))))</f>
        <v/>
      </c>
      <c r="G504" s="20">
        <f>IF(E504="Ram is handling - no action","",IF(M504="",B504+6/24,IF(AND(M504&lt;&gt;"Scheduled on call",M504&lt;&gt;"Booked on their behalf",M504&lt;&gt;"Not interested/Declined",N504=""),B504+20/24,"")))</f>
        <v/>
      </c>
      <c r="H504" s="19" t="inlineStr">
        <is>
          <t>Chetan</t>
        </is>
      </c>
      <c r="I504" s="19" t="inlineStr">
        <is>
          <t>Google</t>
        </is>
      </c>
      <c r="J504" s="19" t="inlineStr">
        <is>
          <t>Round1</t>
        </is>
      </c>
      <c r="K504" s="22" t="inlineStr">
        <is>
          <t>+91 9920264452</t>
        </is>
      </c>
      <c r="L504" s="19" t="inlineStr">
        <is>
          <t>&lt;calendly_link&gt;</t>
        </is>
      </c>
      <c r="M504" s="19" t="n"/>
      <c r="N504" s="19" t="n"/>
      <c r="O504" s="19">
        <f>IF(OR(M504="Scheduled on call",M504="Booked on their behalf",N504="Scheduled on call",N504="Booked on their behalf"),"SCHEDULED (call)",IF(OR(M504="Not interested/Declined",N504="Not interested/Declined"),"DECLINED",IF(N504="Escalate to AM","ESCALATED TO LEAD",IF(E504="Ram is handling - no action","N/A",IF(M504="","PENDING CALL 1","IN PROGRESS")))))</f>
        <v/>
      </c>
      <c r="P504" s="19">
        <f>IF(OR('Ram - Digital ToDo'!O504="Scheduled",'Ram - Digital ToDo'!Q504="Scheduled"),"Scheduled within SLA (self-serve)",IF(OR(M504="Scheduled on call",M504="Booked on their behalf",N504="Scheduled on call",N504="Booked on their behalf"),"Scheduled within SLA (call)",IF(OR(M504="Not interested/Declined",N504="Not interested/Declined"),"Declined",IF(N504="Escalate to AM","SLA breach - unresolved","In progress"))))</f>
        <v/>
      </c>
      <c r="Q504" s="19" t="n"/>
    </row>
    <row r="505">
      <c r="A505" s="19" t="inlineStr">
        <is>
          <t>REQ-0504</t>
        </is>
      </c>
      <c r="B505" s="20" t="n">
        <v>44867.82708333333</v>
      </c>
      <c r="C505" s="20">
        <f>B505+1</f>
        <v/>
      </c>
      <c r="D505" s="21">
        <f>(C505-NOW())*24</f>
        <v/>
      </c>
      <c r="E505" s="19">
        <f>IF('Ram - Digital ToDo'!Q505="Escalate to call","CALL NOW",IF('Ram - Digital ToDo'!N505="Bad contact","CALL NOW (digital failed)","Ram is handling - no action"))</f>
        <v/>
      </c>
      <c r="F505" s="19">
        <f>IF(E505="Ram is handling - no action","No action needed",IF(M505="","CALL 1: ring candidate, offer to book on call (Playbook C1)",IF(OR(M505="Scheduled on call",M505="Booked on their behalf"),"DONE: scheduled on call",IF(M505="Not interested/Declined","CLOSED: candidate declined (log + tell lead)",IF(N505="","CALL 2: final attempt (Playbook C2)",IF(OR(N505="Scheduled on call",N505="Booked on their behalf"),"DONE: scheduled on call",IF(N505="Escalate to AM","ESCALATED TO LEAD","Review")))))))</f>
        <v/>
      </c>
      <c r="G505" s="20">
        <f>IF(E505="Ram is handling - no action","",IF(M505="",B505+6/24,IF(AND(M505&lt;&gt;"Scheduled on call",M505&lt;&gt;"Booked on their behalf",M505&lt;&gt;"Not interested/Declined",N505=""),B505+20/24,"")))</f>
        <v/>
      </c>
      <c r="H505" s="19" t="inlineStr">
        <is>
          <t>Chetan</t>
        </is>
      </c>
      <c r="I505" s="19" t="inlineStr">
        <is>
          <t>Google</t>
        </is>
      </c>
      <c r="J505" s="19" t="inlineStr">
        <is>
          <t>Round1</t>
        </is>
      </c>
      <c r="K505" s="22" t="inlineStr">
        <is>
          <t>+91 9920264452</t>
        </is>
      </c>
      <c r="L505" s="19" t="inlineStr">
        <is>
          <t>&lt;calendly_link&gt;</t>
        </is>
      </c>
      <c r="M505" s="19" t="n"/>
      <c r="N505" s="19" t="n"/>
      <c r="O505" s="19">
        <f>IF(OR(M505="Scheduled on call",M505="Booked on their behalf",N505="Scheduled on call",N505="Booked on their behalf"),"SCHEDULED (call)",IF(OR(M505="Not interested/Declined",N505="Not interested/Declined"),"DECLINED",IF(N505="Escalate to AM","ESCALATED TO LEAD",IF(E505="Ram is handling - no action","N/A",IF(M505="","PENDING CALL 1","IN PROGRESS")))))</f>
        <v/>
      </c>
      <c r="P505" s="19">
        <f>IF(OR('Ram - Digital ToDo'!O505="Scheduled",'Ram - Digital ToDo'!Q505="Scheduled"),"Scheduled within SLA (self-serve)",IF(OR(M505="Scheduled on call",M505="Booked on their behalf",N505="Scheduled on call",N505="Booked on their behalf"),"Scheduled within SLA (call)",IF(OR(M505="Not interested/Declined",N505="Not interested/Declined"),"Declined",IF(N505="Escalate to AM","SLA breach - unresolved","In progress"))))</f>
        <v/>
      </c>
      <c r="Q505" s="19" t="n"/>
    </row>
    <row r="506">
      <c r="A506" s="19" t="inlineStr">
        <is>
          <t>REQ-0505</t>
        </is>
      </c>
      <c r="B506" s="20" t="n">
        <v>44867.82708333333</v>
      </c>
      <c r="C506" s="20">
        <f>B506+1</f>
        <v/>
      </c>
      <c r="D506" s="21">
        <f>(C506-NOW())*24</f>
        <v/>
      </c>
      <c r="E506" s="19">
        <f>IF('Ram - Digital ToDo'!Q506="Escalate to call","CALL NOW",IF('Ram - Digital ToDo'!N506="Bad contact","CALL NOW (digital failed)","Ram is handling - no action"))</f>
        <v/>
      </c>
      <c r="F506" s="19">
        <f>IF(E506="Ram is handling - no action","No action needed",IF(M506="","CALL 1: ring candidate, offer to book on call (Playbook C1)",IF(OR(M506="Scheduled on call",M506="Booked on their behalf"),"DONE: scheduled on call",IF(M506="Not interested/Declined","CLOSED: candidate declined (log + tell lead)",IF(N506="","CALL 2: final attempt (Playbook C2)",IF(OR(N506="Scheduled on call",N506="Booked on their behalf"),"DONE: scheduled on call",IF(N506="Escalate to AM","ESCALATED TO LEAD","Review")))))))</f>
        <v/>
      </c>
      <c r="G506" s="20">
        <f>IF(E506="Ram is handling - no action","",IF(M506="",B506+6/24,IF(AND(M506&lt;&gt;"Scheduled on call",M506&lt;&gt;"Booked on their behalf",M506&lt;&gt;"Not interested/Declined",N506=""),B506+20/24,"")))</f>
        <v/>
      </c>
      <c r="H506" s="19" t="inlineStr">
        <is>
          <t>Chetan</t>
        </is>
      </c>
      <c r="I506" s="19" t="inlineStr">
        <is>
          <t>Google</t>
        </is>
      </c>
      <c r="J506" s="19" t="inlineStr">
        <is>
          <t>Round1</t>
        </is>
      </c>
      <c r="K506" s="22" t="inlineStr">
        <is>
          <t>+91 9920264452</t>
        </is>
      </c>
      <c r="L506" s="19" t="inlineStr">
        <is>
          <t>&lt;calendly_link&gt;</t>
        </is>
      </c>
      <c r="M506" s="19" t="n"/>
      <c r="N506" s="19" t="n"/>
      <c r="O506" s="19">
        <f>IF(OR(M506="Scheduled on call",M506="Booked on their behalf",N506="Scheduled on call",N506="Booked on their behalf"),"SCHEDULED (call)",IF(OR(M506="Not interested/Declined",N506="Not interested/Declined"),"DECLINED",IF(N506="Escalate to AM","ESCALATED TO LEAD",IF(E506="Ram is handling - no action","N/A",IF(M506="","PENDING CALL 1","IN PROGRESS")))))</f>
        <v/>
      </c>
      <c r="P506" s="19">
        <f>IF(OR('Ram - Digital ToDo'!O506="Scheduled",'Ram - Digital ToDo'!Q506="Scheduled"),"Scheduled within SLA (self-serve)",IF(OR(M506="Scheduled on call",M506="Booked on their behalf",N506="Scheduled on call",N506="Booked on their behalf"),"Scheduled within SLA (call)",IF(OR(M506="Not interested/Declined",N506="Not interested/Declined"),"Declined",IF(N506="Escalate to AM","SLA breach - unresolved","In progress"))))</f>
        <v/>
      </c>
      <c r="Q506" s="19" t="n"/>
    </row>
    <row r="507">
      <c r="A507" s="19" t="inlineStr">
        <is>
          <t>REQ-0506</t>
        </is>
      </c>
      <c r="B507" s="20" t="n">
        <v>44867.82708333333</v>
      </c>
      <c r="C507" s="20">
        <f>B507+1</f>
        <v/>
      </c>
      <c r="D507" s="21">
        <f>(C507-NOW())*24</f>
        <v/>
      </c>
      <c r="E507" s="19">
        <f>IF('Ram - Digital ToDo'!Q507="Escalate to call","CALL NOW",IF('Ram - Digital ToDo'!N507="Bad contact","CALL NOW (digital failed)","Ram is handling - no action"))</f>
        <v/>
      </c>
      <c r="F507" s="19">
        <f>IF(E507="Ram is handling - no action","No action needed",IF(M507="","CALL 1: ring candidate, offer to book on call (Playbook C1)",IF(OR(M507="Scheduled on call",M507="Booked on their behalf"),"DONE: scheduled on call",IF(M507="Not interested/Declined","CLOSED: candidate declined (log + tell lead)",IF(N507="","CALL 2: final attempt (Playbook C2)",IF(OR(N507="Scheduled on call",N507="Booked on their behalf"),"DONE: scheduled on call",IF(N507="Escalate to AM","ESCALATED TO LEAD","Review")))))))</f>
        <v/>
      </c>
      <c r="G507" s="20">
        <f>IF(E507="Ram is handling - no action","",IF(M507="",B507+6/24,IF(AND(M507&lt;&gt;"Scheduled on call",M507&lt;&gt;"Booked on their behalf",M507&lt;&gt;"Not interested/Declined",N507=""),B507+20/24,"")))</f>
        <v/>
      </c>
      <c r="H507" s="19" t="inlineStr">
        <is>
          <t>Chetan</t>
        </is>
      </c>
      <c r="I507" s="19" t="inlineStr">
        <is>
          <t>Google</t>
        </is>
      </c>
      <c r="J507" s="19" t="inlineStr">
        <is>
          <t>Round1</t>
        </is>
      </c>
      <c r="K507" s="22" t="inlineStr">
        <is>
          <t>+91 9920264452</t>
        </is>
      </c>
      <c r="L507" s="19" t="inlineStr">
        <is>
          <t>&lt;calendly_link&gt;</t>
        </is>
      </c>
      <c r="M507" s="19" t="n"/>
      <c r="N507" s="19" t="n"/>
      <c r="O507" s="19">
        <f>IF(OR(M507="Scheduled on call",M507="Booked on their behalf",N507="Scheduled on call",N507="Booked on their behalf"),"SCHEDULED (call)",IF(OR(M507="Not interested/Declined",N507="Not interested/Declined"),"DECLINED",IF(N507="Escalate to AM","ESCALATED TO LEAD",IF(E507="Ram is handling - no action","N/A",IF(M507="","PENDING CALL 1","IN PROGRESS")))))</f>
        <v/>
      </c>
      <c r="P507" s="19">
        <f>IF(OR('Ram - Digital ToDo'!O507="Scheduled",'Ram - Digital ToDo'!Q507="Scheduled"),"Scheduled within SLA (self-serve)",IF(OR(M507="Scheduled on call",M507="Booked on their behalf",N507="Scheduled on call",N507="Booked on their behalf"),"Scheduled within SLA (call)",IF(OR(M507="Not interested/Declined",N507="Not interested/Declined"),"Declined",IF(N507="Escalate to AM","SLA breach - unresolved","In progress"))))</f>
        <v/>
      </c>
      <c r="Q507" s="19" t="n"/>
    </row>
    <row r="508">
      <c r="A508" s="19" t="inlineStr">
        <is>
          <t>REQ-0507</t>
        </is>
      </c>
      <c r="B508" s="20" t="n">
        <v>44867.82708333333</v>
      </c>
      <c r="C508" s="20">
        <f>B508+1</f>
        <v/>
      </c>
      <c r="D508" s="21">
        <f>(C508-NOW())*24</f>
        <v/>
      </c>
      <c r="E508" s="19">
        <f>IF('Ram - Digital ToDo'!Q508="Escalate to call","CALL NOW",IF('Ram - Digital ToDo'!N508="Bad contact","CALL NOW (digital failed)","Ram is handling - no action"))</f>
        <v/>
      </c>
      <c r="F508" s="19">
        <f>IF(E508="Ram is handling - no action","No action needed",IF(M508="","CALL 1: ring candidate, offer to book on call (Playbook C1)",IF(OR(M508="Scheduled on call",M508="Booked on their behalf"),"DONE: scheduled on call",IF(M508="Not interested/Declined","CLOSED: candidate declined (log + tell lead)",IF(N508="","CALL 2: final attempt (Playbook C2)",IF(OR(N508="Scheduled on call",N508="Booked on their behalf"),"DONE: scheduled on call",IF(N508="Escalate to AM","ESCALATED TO LEAD","Review")))))))</f>
        <v/>
      </c>
      <c r="G508" s="20">
        <f>IF(E508="Ram is handling - no action","",IF(M508="",B508+6/24,IF(AND(M508&lt;&gt;"Scheduled on call",M508&lt;&gt;"Booked on their behalf",M508&lt;&gt;"Not interested/Declined",N508=""),B508+20/24,"")))</f>
        <v/>
      </c>
      <c r="H508" s="19" t="inlineStr">
        <is>
          <t>Chetan</t>
        </is>
      </c>
      <c r="I508" s="19" t="inlineStr">
        <is>
          <t>Google</t>
        </is>
      </c>
      <c r="J508" s="19" t="inlineStr">
        <is>
          <t>Round1</t>
        </is>
      </c>
      <c r="K508" s="22" t="inlineStr">
        <is>
          <t>+91 9920264452</t>
        </is>
      </c>
      <c r="L508" s="19" t="inlineStr">
        <is>
          <t>&lt;calendly_link&gt;</t>
        </is>
      </c>
      <c r="M508" s="19" t="n"/>
      <c r="N508" s="19" t="n"/>
      <c r="O508" s="19">
        <f>IF(OR(M508="Scheduled on call",M508="Booked on their behalf",N508="Scheduled on call",N508="Booked on their behalf"),"SCHEDULED (call)",IF(OR(M508="Not interested/Declined",N508="Not interested/Declined"),"DECLINED",IF(N508="Escalate to AM","ESCALATED TO LEAD",IF(E508="Ram is handling - no action","N/A",IF(M508="","PENDING CALL 1","IN PROGRESS")))))</f>
        <v/>
      </c>
      <c r="P508" s="19">
        <f>IF(OR('Ram - Digital ToDo'!O508="Scheduled",'Ram - Digital ToDo'!Q508="Scheduled"),"Scheduled within SLA (self-serve)",IF(OR(M508="Scheduled on call",M508="Booked on their behalf",N508="Scheduled on call",N508="Booked on their behalf"),"Scheduled within SLA (call)",IF(OR(M508="Not interested/Declined",N508="Not interested/Declined"),"Declined",IF(N508="Escalate to AM","SLA breach - unresolved","In progress"))))</f>
        <v/>
      </c>
      <c r="Q508" s="19" t="n"/>
    </row>
    <row r="509">
      <c r="A509" s="19" t="inlineStr">
        <is>
          <t>REQ-0508</t>
        </is>
      </c>
      <c r="B509" s="20" t="n">
        <v>44867.82708333333</v>
      </c>
      <c r="C509" s="20">
        <f>B509+1</f>
        <v/>
      </c>
      <c r="D509" s="21">
        <f>(C509-NOW())*24</f>
        <v/>
      </c>
      <c r="E509" s="19">
        <f>IF('Ram - Digital ToDo'!Q509="Escalate to call","CALL NOW",IF('Ram - Digital ToDo'!N509="Bad contact","CALL NOW (digital failed)","Ram is handling - no action"))</f>
        <v/>
      </c>
      <c r="F509" s="19">
        <f>IF(E509="Ram is handling - no action","No action needed",IF(M509="","CALL 1: ring candidate, offer to book on call (Playbook C1)",IF(OR(M509="Scheduled on call",M509="Booked on their behalf"),"DONE: scheduled on call",IF(M509="Not interested/Declined","CLOSED: candidate declined (log + tell lead)",IF(N509="","CALL 2: final attempt (Playbook C2)",IF(OR(N509="Scheduled on call",N509="Booked on their behalf"),"DONE: scheduled on call",IF(N509="Escalate to AM","ESCALATED TO LEAD","Review")))))))</f>
        <v/>
      </c>
      <c r="G509" s="20">
        <f>IF(E509="Ram is handling - no action","",IF(M509="",B509+6/24,IF(AND(M509&lt;&gt;"Scheduled on call",M509&lt;&gt;"Booked on their behalf",M509&lt;&gt;"Not interested/Declined",N509=""),B509+20/24,"")))</f>
        <v/>
      </c>
      <c r="H509" s="19" t="inlineStr">
        <is>
          <t>Chetan</t>
        </is>
      </c>
      <c r="I509" s="19" t="inlineStr">
        <is>
          <t>Google</t>
        </is>
      </c>
      <c r="J509" s="19" t="inlineStr">
        <is>
          <t>Round1</t>
        </is>
      </c>
      <c r="K509" s="22" t="inlineStr">
        <is>
          <t>+91 9920264452</t>
        </is>
      </c>
      <c r="L509" s="19" t="inlineStr">
        <is>
          <t>&lt;calendly_link&gt;</t>
        </is>
      </c>
      <c r="M509" s="19" t="n"/>
      <c r="N509" s="19" t="n"/>
      <c r="O509" s="19">
        <f>IF(OR(M509="Scheduled on call",M509="Booked on their behalf",N509="Scheduled on call",N509="Booked on their behalf"),"SCHEDULED (call)",IF(OR(M509="Not interested/Declined",N509="Not interested/Declined"),"DECLINED",IF(N509="Escalate to AM","ESCALATED TO LEAD",IF(E509="Ram is handling - no action","N/A",IF(M509="","PENDING CALL 1","IN PROGRESS")))))</f>
        <v/>
      </c>
      <c r="P509" s="19">
        <f>IF(OR('Ram - Digital ToDo'!O509="Scheduled",'Ram - Digital ToDo'!Q509="Scheduled"),"Scheduled within SLA (self-serve)",IF(OR(M509="Scheduled on call",M509="Booked on their behalf",N509="Scheduled on call",N509="Booked on their behalf"),"Scheduled within SLA (call)",IF(OR(M509="Not interested/Declined",N509="Not interested/Declined"),"Declined",IF(N509="Escalate to AM","SLA breach - unresolved","In progress"))))</f>
        <v/>
      </c>
      <c r="Q509" s="19" t="n"/>
    </row>
    <row r="510">
      <c r="A510" s="19" t="inlineStr">
        <is>
          <t>REQ-0509</t>
        </is>
      </c>
      <c r="B510" s="20" t="n">
        <v>44867.82708333333</v>
      </c>
      <c r="C510" s="20">
        <f>B510+1</f>
        <v/>
      </c>
      <c r="D510" s="21">
        <f>(C510-NOW())*24</f>
        <v/>
      </c>
      <c r="E510" s="19">
        <f>IF('Ram - Digital ToDo'!Q510="Escalate to call","CALL NOW",IF('Ram - Digital ToDo'!N510="Bad contact","CALL NOW (digital failed)","Ram is handling - no action"))</f>
        <v/>
      </c>
      <c r="F510" s="19">
        <f>IF(E510="Ram is handling - no action","No action needed",IF(M510="","CALL 1: ring candidate, offer to book on call (Playbook C1)",IF(OR(M510="Scheduled on call",M510="Booked on their behalf"),"DONE: scheduled on call",IF(M510="Not interested/Declined","CLOSED: candidate declined (log + tell lead)",IF(N510="","CALL 2: final attempt (Playbook C2)",IF(OR(N510="Scheduled on call",N510="Booked on their behalf"),"DONE: scheduled on call",IF(N510="Escalate to AM","ESCALATED TO LEAD","Review")))))))</f>
        <v/>
      </c>
      <c r="G510" s="20">
        <f>IF(E510="Ram is handling - no action","",IF(M510="",B510+6/24,IF(AND(M510&lt;&gt;"Scheduled on call",M510&lt;&gt;"Booked on their behalf",M510&lt;&gt;"Not interested/Declined",N510=""),B510+20/24,"")))</f>
        <v/>
      </c>
      <c r="H510" s="19" t="inlineStr">
        <is>
          <t>Chetan</t>
        </is>
      </c>
      <c r="I510" s="19" t="inlineStr">
        <is>
          <t>Google</t>
        </is>
      </c>
      <c r="J510" s="19" t="inlineStr">
        <is>
          <t>Round1</t>
        </is>
      </c>
      <c r="K510" s="22" t="inlineStr">
        <is>
          <t>+91 9920264452</t>
        </is>
      </c>
      <c r="L510" s="19" t="inlineStr">
        <is>
          <t>&lt;calendly_link&gt;</t>
        </is>
      </c>
      <c r="M510" s="19" t="n"/>
      <c r="N510" s="19" t="n"/>
      <c r="O510" s="19">
        <f>IF(OR(M510="Scheduled on call",M510="Booked on their behalf",N510="Scheduled on call",N510="Booked on their behalf"),"SCHEDULED (call)",IF(OR(M510="Not interested/Declined",N510="Not interested/Declined"),"DECLINED",IF(N510="Escalate to AM","ESCALATED TO LEAD",IF(E510="Ram is handling - no action","N/A",IF(M510="","PENDING CALL 1","IN PROGRESS")))))</f>
        <v/>
      </c>
      <c r="P510" s="19">
        <f>IF(OR('Ram - Digital ToDo'!O510="Scheduled",'Ram - Digital ToDo'!Q510="Scheduled"),"Scheduled within SLA (self-serve)",IF(OR(M510="Scheduled on call",M510="Booked on their behalf",N510="Scheduled on call",N510="Booked on their behalf"),"Scheduled within SLA (call)",IF(OR(M510="Not interested/Declined",N510="Not interested/Declined"),"Declined",IF(N510="Escalate to AM","SLA breach - unresolved","In progress"))))</f>
        <v/>
      </c>
      <c r="Q510" s="19" t="n"/>
    </row>
    <row r="511">
      <c r="A511" s="19" t="inlineStr">
        <is>
          <t>REQ-0510</t>
        </is>
      </c>
      <c r="B511" s="20" t="n">
        <v>44867.82708333333</v>
      </c>
      <c r="C511" s="20">
        <f>B511+1</f>
        <v/>
      </c>
      <c r="D511" s="21">
        <f>(C511-NOW())*24</f>
        <v/>
      </c>
      <c r="E511" s="19">
        <f>IF('Ram - Digital ToDo'!Q511="Escalate to call","CALL NOW",IF('Ram - Digital ToDo'!N511="Bad contact","CALL NOW (digital failed)","Ram is handling - no action"))</f>
        <v/>
      </c>
      <c r="F511" s="19">
        <f>IF(E511="Ram is handling - no action","No action needed",IF(M511="","CALL 1: ring candidate, offer to book on call (Playbook C1)",IF(OR(M511="Scheduled on call",M511="Booked on their behalf"),"DONE: scheduled on call",IF(M511="Not interested/Declined","CLOSED: candidate declined (log + tell lead)",IF(N511="","CALL 2: final attempt (Playbook C2)",IF(OR(N511="Scheduled on call",N511="Booked on their behalf"),"DONE: scheduled on call",IF(N511="Escalate to AM","ESCALATED TO LEAD","Review")))))))</f>
        <v/>
      </c>
      <c r="G511" s="20">
        <f>IF(E511="Ram is handling - no action","",IF(M511="",B511+6/24,IF(AND(M511&lt;&gt;"Scheduled on call",M511&lt;&gt;"Booked on their behalf",M511&lt;&gt;"Not interested/Declined",N511=""),B511+20/24,"")))</f>
        <v/>
      </c>
      <c r="H511" s="19" t="inlineStr">
        <is>
          <t>Chetan</t>
        </is>
      </c>
      <c r="I511" s="19" t="inlineStr">
        <is>
          <t>Google</t>
        </is>
      </c>
      <c r="J511" s="19" t="inlineStr">
        <is>
          <t>Round1</t>
        </is>
      </c>
      <c r="K511" s="22" t="inlineStr">
        <is>
          <t>+91 9920264452</t>
        </is>
      </c>
      <c r="L511" s="19" t="inlineStr">
        <is>
          <t>&lt;calendly_link&gt;</t>
        </is>
      </c>
      <c r="M511" s="19" t="n"/>
      <c r="N511" s="19" t="n"/>
      <c r="O511" s="19">
        <f>IF(OR(M511="Scheduled on call",M511="Booked on their behalf",N511="Scheduled on call",N511="Booked on their behalf"),"SCHEDULED (call)",IF(OR(M511="Not interested/Declined",N511="Not interested/Declined"),"DECLINED",IF(N511="Escalate to AM","ESCALATED TO LEAD",IF(E511="Ram is handling - no action","N/A",IF(M511="","PENDING CALL 1","IN PROGRESS")))))</f>
        <v/>
      </c>
      <c r="P511" s="19">
        <f>IF(OR('Ram - Digital ToDo'!O511="Scheduled",'Ram - Digital ToDo'!Q511="Scheduled"),"Scheduled within SLA (self-serve)",IF(OR(M511="Scheduled on call",M511="Booked on their behalf",N511="Scheduled on call",N511="Booked on their behalf"),"Scheduled within SLA (call)",IF(OR(M511="Not interested/Declined",N511="Not interested/Declined"),"Declined",IF(N511="Escalate to AM","SLA breach - unresolved","In progress"))))</f>
        <v/>
      </c>
      <c r="Q511" s="19" t="n"/>
    </row>
    <row r="512">
      <c r="A512" s="19" t="inlineStr">
        <is>
          <t>REQ-0511</t>
        </is>
      </c>
      <c r="B512" s="20" t="n">
        <v>44867.82708333333</v>
      </c>
      <c r="C512" s="20">
        <f>B512+1</f>
        <v/>
      </c>
      <c r="D512" s="21">
        <f>(C512-NOW())*24</f>
        <v/>
      </c>
      <c r="E512" s="19">
        <f>IF('Ram - Digital ToDo'!Q512="Escalate to call","CALL NOW",IF('Ram - Digital ToDo'!N512="Bad contact","CALL NOW (digital failed)","Ram is handling - no action"))</f>
        <v/>
      </c>
      <c r="F512" s="19">
        <f>IF(E512="Ram is handling - no action","No action needed",IF(M512="","CALL 1: ring candidate, offer to book on call (Playbook C1)",IF(OR(M512="Scheduled on call",M512="Booked on their behalf"),"DONE: scheduled on call",IF(M512="Not interested/Declined","CLOSED: candidate declined (log + tell lead)",IF(N512="","CALL 2: final attempt (Playbook C2)",IF(OR(N512="Scheduled on call",N512="Booked on their behalf"),"DONE: scheduled on call",IF(N512="Escalate to AM","ESCALATED TO LEAD","Review")))))))</f>
        <v/>
      </c>
      <c r="G512" s="20">
        <f>IF(E512="Ram is handling - no action","",IF(M512="",B512+6/24,IF(AND(M512&lt;&gt;"Scheduled on call",M512&lt;&gt;"Booked on their behalf",M512&lt;&gt;"Not interested/Declined",N512=""),B512+20/24,"")))</f>
        <v/>
      </c>
      <c r="H512" s="19" t="inlineStr">
        <is>
          <t>Chetan</t>
        </is>
      </c>
      <c r="I512" s="19" t="inlineStr">
        <is>
          <t>Google</t>
        </is>
      </c>
      <c r="J512" s="19" t="inlineStr">
        <is>
          <t>Round1</t>
        </is>
      </c>
      <c r="K512" s="22" t="inlineStr">
        <is>
          <t>+91 9920264452</t>
        </is>
      </c>
      <c r="L512" s="19" t="inlineStr">
        <is>
          <t>&lt;calendly_link&gt;</t>
        </is>
      </c>
      <c r="M512" s="19" t="n"/>
      <c r="N512" s="19" t="n"/>
      <c r="O512" s="19">
        <f>IF(OR(M512="Scheduled on call",M512="Booked on their behalf",N512="Scheduled on call",N512="Booked on their behalf"),"SCHEDULED (call)",IF(OR(M512="Not interested/Declined",N512="Not interested/Declined"),"DECLINED",IF(N512="Escalate to AM","ESCALATED TO LEAD",IF(E512="Ram is handling - no action","N/A",IF(M512="","PENDING CALL 1","IN PROGRESS")))))</f>
        <v/>
      </c>
      <c r="P512" s="19">
        <f>IF(OR('Ram - Digital ToDo'!O512="Scheduled",'Ram - Digital ToDo'!Q512="Scheduled"),"Scheduled within SLA (self-serve)",IF(OR(M512="Scheduled on call",M512="Booked on their behalf",N512="Scheduled on call",N512="Booked on their behalf"),"Scheduled within SLA (call)",IF(OR(M512="Not interested/Declined",N512="Not interested/Declined"),"Declined",IF(N512="Escalate to AM","SLA breach - unresolved","In progress"))))</f>
        <v/>
      </c>
      <c r="Q512" s="19" t="n"/>
    </row>
    <row r="513">
      <c r="A513" s="19" t="inlineStr">
        <is>
          <t>REQ-0512</t>
        </is>
      </c>
      <c r="B513" s="20" t="n">
        <v>44867.82708333333</v>
      </c>
      <c r="C513" s="20">
        <f>B513+1</f>
        <v/>
      </c>
      <c r="D513" s="21">
        <f>(C513-NOW())*24</f>
        <v/>
      </c>
      <c r="E513" s="19">
        <f>IF('Ram - Digital ToDo'!Q513="Escalate to call","CALL NOW",IF('Ram - Digital ToDo'!N513="Bad contact","CALL NOW (digital failed)","Ram is handling - no action"))</f>
        <v/>
      </c>
      <c r="F513" s="19">
        <f>IF(E513="Ram is handling - no action","No action needed",IF(M513="","CALL 1: ring candidate, offer to book on call (Playbook C1)",IF(OR(M513="Scheduled on call",M513="Booked on their behalf"),"DONE: scheduled on call",IF(M513="Not interested/Declined","CLOSED: candidate declined (log + tell lead)",IF(N513="","CALL 2: final attempt (Playbook C2)",IF(OR(N513="Scheduled on call",N513="Booked on their behalf"),"DONE: scheduled on call",IF(N513="Escalate to AM","ESCALATED TO LEAD","Review")))))))</f>
        <v/>
      </c>
      <c r="G513" s="20">
        <f>IF(E513="Ram is handling - no action","",IF(M513="",B513+6/24,IF(AND(M513&lt;&gt;"Scheduled on call",M513&lt;&gt;"Booked on their behalf",M513&lt;&gt;"Not interested/Declined",N513=""),B513+20/24,"")))</f>
        <v/>
      </c>
      <c r="H513" s="19" t="inlineStr">
        <is>
          <t>Chetan</t>
        </is>
      </c>
      <c r="I513" s="19" t="inlineStr">
        <is>
          <t>Google</t>
        </is>
      </c>
      <c r="J513" s="19" t="inlineStr">
        <is>
          <t>Round1</t>
        </is>
      </c>
      <c r="K513" s="22" t="inlineStr">
        <is>
          <t>+91 9920264452</t>
        </is>
      </c>
      <c r="L513" s="19" t="inlineStr">
        <is>
          <t>&lt;calendly_link&gt;</t>
        </is>
      </c>
      <c r="M513" s="19" t="n"/>
      <c r="N513" s="19" t="n"/>
      <c r="O513" s="19">
        <f>IF(OR(M513="Scheduled on call",M513="Booked on their behalf",N513="Scheduled on call",N513="Booked on their behalf"),"SCHEDULED (call)",IF(OR(M513="Not interested/Declined",N513="Not interested/Declined"),"DECLINED",IF(N513="Escalate to AM","ESCALATED TO LEAD",IF(E513="Ram is handling - no action","N/A",IF(M513="","PENDING CALL 1","IN PROGRESS")))))</f>
        <v/>
      </c>
      <c r="P513" s="19">
        <f>IF(OR('Ram - Digital ToDo'!O513="Scheduled",'Ram - Digital ToDo'!Q513="Scheduled"),"Scheduled within SLA (self-serve)",IF(OR(M513="Scheduled on call",M513="Booked on their behalf",N513="Scheduled on call",N513="Booked on their behalf"),"Scheduled within SLA (call)",IF(OR(M513="Not interested/Declined",N513="Not interested/Declined"),"Declined",IF(N513="Escalate to AM","SLA breach - unresolved","In progress"))))</f>
        <v/>
      </c>
      <c r="Q513" s="19" t="n"/>
    </row>
    <row r="514">
      <c r="A514" s="19" t="inlineStr">
        <is>
          <t>REQ-0513</t>
        </is>
      </c>
      <c r="B514" s="20" t="n">
        <v>44867.82708333333</v>
      </c>
      <c r="C514" s="20">
        <f>B514+1</f>
        <v/>
      </c>
      <c r="D514" s="21">
        <f>(C514-NOW())*24</f>
        <v/>
      </c>
      <c r="E514" s="19">
        <f>IF('Ram - Digital ToDo'!Q514="Escalate to call","CALL NOW",IF('Ram - Digital ToDo'!N514="Bad contact","CALL NOW (digital failed)","Ram is handling - no action"))</f>
        <v/>
      </c>
      <c r="F514" s="19">
        <f>IF(E514="Ram is handling - no action","No action needed",IF(M514="","CALL 1: ring candidate, offer to book on call (Playbook C1)",IF(OR(M514="Scheduled on call",M514="Booked on their behalf"),"DONE: scheduled on call",IF(M514="Not interested/Declined","CLOSED: candidate declined (log + tell lead)",IF(N514="","CALL 2: final attempt (Playbook C2)",IF(OR(N514="Scheduled on call",N514="Booked on their behalf"),"DONE: scheduled on call",IF(N514="Escalate to AM","ESCALATED TO LEAD","Review")))))))</f>
        <v/>
      </c>
      <c r="G514" s="20">
        <f>IF(E514="Ram is handling - no action","",IF(M514="",B514+6/24,IF(AND(M514&lt;&gt;"Scheduled on call",M514&lt;&gt;"Booked on their behalf",M514&lt;&gt;"Not interested/Declined",N514=""),B514+20/24,"")))</f>
        <v/>
      </c>
      <c r="H514" s="19" t="inlineStr">
        <is>
          <t>Chetan</t>
        </is>
      </c>
      <c r="I514" s="19" t="inlineStr">
        <is>
          <t>Google</t>
        </is>
      </c>
      <c r="J514" s="19" t="inlineStr">
        <is>
          <t>Round1</t>
        </is>
      </c>
      <c r="K514" s="22" t="inlineStr">
        <is>
          <t>+91 9920264452</t>
        </is>
      </c>
      <c r="L514" s="19" t="inlineStr">
        <is>
          <t>&lt;calendly_link&gt;</t>
        </is>
      </c>
      <c r="M514" s="19" t="n"/>
      <c r="N514" s="19" t="n"/>
      <c r="O514" s="19">
        <f>IF(OR(M514="Scheduled on call",M514="Booked on their behalf",N514="Scheduled on call",N514="Booked on their behalf"),"SCHEDULED (call)",IF(OR(M514="Not interested/Declined",N514="Not interested/Declined"),"DECLINED",IF(N514="Escalate to AM","ESCALATED TO LEAD",IF(E514="Ram is handling - no action","N/A",IF(M514="","PENDING CALL 1","IN PROGRESS")))))</f>
        <v/>
      </c>
      <c r="P514" s="19">
        <f>IF(OR('Ram - Digital ToDo'!O514="Scheduled",'Ram - Digital ToDo'!Q514="Scheduled"),"Scheduled within SLA (self-serve)",IF(OR(M514="Scheduled on call",M514="Booked on their behalf",N514="Scheduled on call",N514="Booked on their behalf"),"Scheduled within SLA (call)",IF(OR(M514="Not interested/Declined",N514="Not interested/Declined"),"Declined",IF(N514="Escalate to AM","SLA breach - unresolved","In progress"))))</f>
        <v/>
      </c>
      <c r="Q514" s="19" t="n"/>
    </row>
    <row r="515">
      <c r="A515" s="19" t="inlineStr">
        <is>
          <t>REQ-0514</t>
        </is>
      </c>
      <c r="B515" s="20" t="n">
        <v>44867.82708333333</v>
      </c>
      <c r="C515" s="20">
        <f>B515+1</f>
        <v/>
      </c>
      <c r="D515" s="21">
        <f>(C515-NOW())*24</f>
        <v/>
      </c>
      <c r="E515" s="19">
        <f>IF('Ram - Digital ToDo'!Q515="Escalate to call","CALL NOW",IF('Ram - Digital ToDo'!N515="Bad contact","CALL NOW (digital failed)","Ram is handling - no action"))</f>
        <v/>
      </c>
      <c r="F515" s="19">
        <f>IF(E515="Ram is handling - no action","No action needed",IF(M515="","CALL 1: ring candidate, offer to book on call (Playbook C1)",IF(OR(M515="Scheduled on call",M515="Booked on their behalf"),"DONE: scheduled on call",IF(M515="Not interested/Declined","CLOSED: candidate declined (log + tell lead)",IF(N515="","CALL 2: final attempt (Playbook C2)",IF(OR(N515="Scheduled on call",N515="Booked on their behalf"),"DONE: scheduled on call",IF(N515="Escalate to AM","ESCALATED TO LEAD","Review")))))))</f>
        <v/>
      </c>
      <c r="G515" s="20">
        <f>IF(E515="Ram is handling - no action","",IF(M515="",B515+6/24,IF(AND(M515&lt;&gt;"Scheduled on call",M515&lt;&gt;"Booked on their behalf",M515&lt;&gt;"Not interested/Declined",N515=""),B515+20/24,"")))</f>
        <v/>
      </c>
      <c r="H515" s="19" t="inlineStr">
        <is>
          <t>Chetan</t>
        </is>
      </c>
      <c r="I515" s="19" t="inlineStr">
        <is>
          <t>Google</t>
        </is>
      </c>
      <c r="J515" s="19" t="inlineStr">
        <is>
          <t>Round1</t>
        </is>
      </c>
      <c r="K515" s="22" t="inlineStr">
        <is>
          <t>+91 9920264452</t>
        </is>
      </c>
      <c r="L515" s="19" t="inlineStr">
        <is>
          <t>&lt;calendly_link&gt;</t>
        </is>
      </c>
      <c r="M515" s="19" t="n"/>
      <c r="N515" s="19" t="n"/>
      <c r="O515" s="19">
        <f>IF(OR(M515="Scheduled on call",M515="Booked on their behalf",N515="Scheduled on call",N515="Booked on their behalf"),"SCHEDULED (call)",IF(OR(M515="Not interested/Declined",N515="Not interested/Declined"),"DECLINED",IF(N515="Escalate to AM","ESCALATED TO LEAD",IF(E515="Ram is handling - no action","N/A",IF(M515="","PENDING CALL 1","IN PROGRESS")))))</f>
        <v/>
      </c>
      <c r="P515" s="19">
        <f>IF(OR('Ram - Digital ToDo'!O515="Scheduled",'Ram - Digital ToDo'!Q515="Scheduled"),"Scheduled within SLA (self-serve)",IF(OR(M515="Scheduled on call",M515="Booked on their behalf",N515="Scheduled on call",N515="Booked on their behalf"),"Scheduled within SLA (call)",IF(OR(M515="Not interested/Declined",N515="Not interested/Declined"),"Declined",IF(N515="Escalate to AM","SLA breach - unresolved","In progress"))))</f>
        <v/>
      </c>
      <c r="Q515" s="19" t="n"/>
    </row>
    <row r="516">
      <c r="A516" s="19" t="inlineStr">
        <is>
          <t>REQ-0515</t>
        </is>
      </c>
      <c r="B516" s="20" t="n">
        <v>44867.82708333333</v>
      </c>
      <c r="C516" s="20">
        <f>B516+1</f>
        <v/>
      </c>
      <c r="D516" s="21">
        <f>(C516-NOW())*24</f>
        <v/>
      </c>
      <c r="E516" s="19">
        <f>IF('Ram - Digital ToDo'!Q516="Escalate to call","CALL NOW",IF('Ram - Digital ToDo'!N516="Bad contact","CALL NOW (digital failed)","Ram is handling - no action"))</f>
        <v/>
      </c>
      <c r="F516" s="19">
        <f>IF(E516="Ram is handling - no action","No action needed",IF(M516="","CALL 1: ring candidate, offer to book on call (Playbook C1)",IF(OR(M516="Scheduled on call",M516="Booked on their behalf"),"DONE: scheduled on call",IF(M516="Not interested/Declined","CLOSED: candidate declined (log + tell lead)",IF(N516="","CALL 2: final attempt (Playbook C2)",IF(OR(N516="Scheduled on call",N516="Booked on their behalf"),"DONE: scheduled on call",IF(N516="Escalate to AM","ESCALATED TO LEAD","Review")))))))</f>
        <v/>
      </c>
      <c r="G516" s="20">
        <f>IF(E516="Ram is handling - no action","",IF(M516="",B516+6/24,IF(AND(M516&lt;&gt;"Scheduled on call",M516&lt;&gt;"Booked on their behalf",M516&lt;&gt;"Not interested/Declined",N516=""),B516+20/24,"")))</f>
        <v/>
      </c>
      <c r="H516" s="19" t="inlineStr">
        <is>
          <t>Chetan</t>
        </is>
      </c>
      <c r="I516" s="19" t="inlineStr">
        <is>
          <t>Google</t>
        </is>
      </c>
      <c r="J516" s="19" t="inlineStr">
        <is>
          <t>Round1</t>
        </is>
      </c>
      <c r="K516" s="22" t="inlineStr">
        <is>
          <t>+91 9920264452</t>
        </is>
      </c>
      <c r="L516" s="19" t="inlineStr">
        <is>
          <t>&lt;calendly_link&gt;</t>
        </is>
      </c>
      <c r="M516" s="19" t="n"/>
      <c r="N516" s="19" t="n"/>
      <c r="O516" s="19">
        <f>IF(OR(M516="Scheduled on call",M516="Booked on their behalf",N516="Scheduled on call",N516="Booked on their behalf"),"SCHEDULED (call)",IF(OR(M516="Not interested/Declined",N516="Not interested/Declined"),"DECLINED",IF(N516="Escalate to AM","ESCALATED TO LEAD",IF(E516="Ram is handling - no action","N/A",IF(M516="","PENDING CALL 1","IN PROGRESS")))))</f>
        <v/>
      </c>
      <c r="P516" s="19">
        <f>IF(OR('Ram - Digital ToDo'!O516="Scheduled",'Ram - Digital ToDo'!Q516="Scheduled"),"Scheduled within SLA (self-serve)",IF(OR(M516="Scheduled on call",M516="Booked on their behalf",N516="Scheduled on call",N516="Booked on their behalf"),"Scheduled within SLA (call)",IF(OR(M516="Not interested/Declined",N516="Not interested/Declined"),"Declined",IF(N516="Escalate to AM","SLA breach - unresolved","In progress"))))</f>
        <v/>
      </c>
      <c r="Q516" s="19" t="n"/>
    </row>
  </sheetData>
  <autoFilter ref="A1:Q516"/>
  <conditionalFormatting sqref="D2:D516">
    <cfRule type="colorScale" priority="1">
      <colorScale>
        <cfvo type="num" val="0"/>
        <cfvo type="num" val="12"/>
        <cfvo type="num" val="24"/>
        <color rgb="00C00000"/>
        <color rgb="00FFD966"/>
        <color rgb="00548235"/>
      </colorScale>
    </cfRule>
  </conditionalFormatting>
  <dataValidations count="2">
    <dataValidation sqref="M2:M516" showDropDown="0" showInputMessage="0" showErrorMessage="0" allowBlank="1" type="list">
      <formula1>"Scheduled on call,Booked on their behalf,No answer,Invalid number,Call later,Not interested/Declined"</formula1>
    </dataValidation>
    <dataValidation sqref="N2:N516" showDropDown="0" showInputMessage="0" showErrorMessage="0" allowBlank="1" type="list">
      <formula1>"Scheduled on call,Booked on their behalf,Still no answer,Not interested/Declined,Escalate to AM"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60" customWidth="1" min="4" max="4"/>
  </cols>
  <sheetData>
    <row r="1">
      <c r="B1" s="1" t="inlineStr">
        <is>
          <t>KPI Dashboard</t>
        </is>
      </c>
    </row>
    <row r="2">
      <c r="B2" s="9" t="inlineStr">
        <is>
          <t>Target: 80% of eligible requests scheduled within 24 hours.</t>
        </is>
      </c>
    </row>
    <row r="4">
      <c r="B4" s="24" t="inlineStr">
        <is>
          <t>Metric</t>
        </is>
      </c>
      <c r="C4" s="24" t="inlineStr">
        <is>
          <t>Value</t>
        </is>
      </c>
      <c r="D4" s="24" t="inlineStr">
        <is>
          <t>Notes</t>
        </is>
      </c>
    </row>
    <row r="5">
      <c r="B5" s="25" t="inlineStr">
        <is>
          <t>Total requests</t>
        </is>
      </c>
      <c r="C5" s="26">
        <f>COUNTA('Shyam - Call ToDo'!$A$2:$A$516)</f>
        <v/>
      </c>
      <c r="D5" s="27" t="inlineStr">
        <is>
          <t>All rows in the queue.</t>
        </is>
      </c>
    </row>
    <row r="6">
      <c r="B6" s="25" t="inlineStr">
        <is>
          <t>Possible duplicates flagged</t>
        </is>
      </c>
      <c r="C6" s="26">
        <f>COUNTIF('Ram - Digital ToDo'!$M$2:$M$516,"Yes")</f>
        <v/>
      </c>
      <c r="D6" s="27" t="inlineStr">
        <is>
          <t>Process the first only.</t>
        </is>
      </c>
    </row>
    <row r="7">
      <c r="B7" s="25" t="inlineStr">
        <is>
          <t>Scheduled - self-serve (Ram)</t>
        </is>
      </c>
      <c r="C7" s="26">
        <f>COUNTIF('Shyam - Call ToDo'!$P$2:$P$516,"Scheduled within SLA (self-serve)")</f>
        <v/>
      </c>
      <c r="D7" s="27" t="inlineStr">
        <is>
          <t>Booked via Calendly after digital outreach.</t>
        </is>
      </c>
    </row>
    <row r="8">
      <c r="B8" s="25" t="inlineStr">
        <is>
          <t>Scheduled - on call (Shyam)</t>
        </is>
      </c>
      <c r="C8" s="26">
        <f>COUNTIF('Shyam - Call ToDo'!$P$2:$P$516,"Scheduled within SLA (call)")</f>
        <v/>
      </c>
      <c r="D8" s="27" t="inlineStr">
        <is>
          <t>Booked during/after a phone call.</t>
        </is>
      </c>
    </row>
    <row r="9">
      <c r="B9" s="28" t="inlineStr">
        <is>
          <t>TOTAL SCHEDULED within 24h</t>
        </is>
      </c>
      <c r="C9" s="29">
        <f>C7+C8</f>
        <v/>
      </c>
      <c r="D9" s="27" t="inlineStr">
        <is>
          <t>Self-serve + on call.</t>
        </is>
      </c>
    </row>
    <row r="10">
      <c r="B10" s="25" t="inlineStr">
        <is>
          <t>Declined / not interested</t>
        </is>
      </c>
      <c r="C10" s="26">
        <f>COUNTIF('Shyam - Call ToDo'!$P$2:$P$516,"Declined")</f>
        <v/>
      </c>
      <c r="D10" s="27" t="inlineStr">
        <is>
          <t>Real drop-offs; excluded from SLA denominator.</t>
        </is>
      </c>
    </row>
    <row r="11">
      <c r="B11" s="30" t="inlineStr">
        <is>
          <t>Unresolved (SLA breach)</t>
        </is>
      </c>
      <c r="C11" s="31">
        <f>COUNTIF('Shyam - Call ToDo'!$P$2:$P$516,"SLA breach - unresolved")</f>
        <v/>
      </c>
      <c r="D11" s="27" t="inlineStr">
        <is>
          <t>Escalated to lead; missed the 24h window.</t>
        </is>
      </c>
    </row>
    <row r="12">
      <c r="B12" s="25" t="inlineStr">
        <is>
          <t>In progress</t>
        </is>
      </c>
      <c r="C12" s="26">
        <f>COUNTIF('Shyam - Call ToDo'!$P$2:$P$516,"In progress")</f>
        <v/>
      </c>
      <c r="D12" s="27" t="inlineStr">
        <is>
          <t>Still inside the cadence.</t>
        </is>
      </c>
    </row>
    <row r="13">
      <c r="B13" s="25" t="inlineStr">
        <is>
          <t>Eligible for SLA (Total - Declined)</t>
        </is>
      </c>
      <c r="C13" s="26">
        <f>C5-C10</f>
        <v/>
      </c>
      <c r="D13" s="27" t="inlineStr">
        <is>
          <t>Denominator for the % metric.</t>
        </is>
      </c>
    </row>
    <row r="14">
      <c r="B14" s="32" t="inlineStr">
        <is>
          <t>% SCHEDULED WITHIN 24h</t>
        </is>
      </c>
      <c r="C14" s="33">
        <f>IFERROR(C9/C13,0)</f>
        <v/>
      </c>
      <c r="D14" s="27" t="inlineStr">
        <is>
          <t>This is the headline number.</t>
        </is>
      </c>
    </row>
    <row r="15">
      <c r="B15" s="25" t="inlineStr">
        <is>
          <t>Status vs 80% target</t>
        </is>
      </c>
      <c r="C15" s="34">
        <f>IF(C14&gt;=0.8,"ON TRACK (&gt;=80%)","BELOW TARGET - push harder")</f>
        <v/>
      </c>
      <c r="D15" s="27" t="inlineStr">
        <is>
          <t>Auto-checks the goal.</t>
        </is>
      </c>
    </row>
    <row r="16">
      <c r="B16" t="inlineStr"/>
      <c r="C16" t="inlineStr"/>
      <c r="D16" t="inlineStr"/>
    </row>
    <row r="17">
      <c r="B17" s="24" t="inlineStr">
        <is>
          <t>WORKLOAD SPLIT</t>
        </is>
      </c>
      <c r="C17" s="24" t="inlineStr"/>
      <c r="D17" s="24" t="inlineStr"/>
    </row>
    <row r="18">
      <c r="B18" s="25" t="inlineStr">
        <is>
          <t>Ram - blasts sent</t>
        </is>
      </c>
      <c r="C18" s="26">
        <f>COUNTIF('Ram - Digital ToDo'!$N$2:$N$516,"Sent")</f>
        <v/>
      </c>
      <c r="D18" s="27" t="inlineStr">
        <is>
          <t>Digital outreach volume.</t>
        </is>
      </c>
    </row>
    <row r="19">
      <c r="B19" s="25" t="inlineStr">
        <is>
          <t>Ram - bad contacts</t>
        </is>
      </c>
      <c r="C19" s="26">
        <f>COUNTIF('Ram - Digital ToDo'!$N$2:$N$516,"Bad contact")</f>
        <v/>
      </c>
      <c r="D19" s="27" t="inlineStr">
        <is>
          <t>Need correct details from company.</t>
        </is>
      </c>
    </row>
    <row r="20">
      <c r="B20" s="25" t="inlineStr">
        <is>
          <t>Escalated from Ram to Shyam</t>
        </is>
      </c>
      <c r="C20" s="26">
        <f>COUNTIF('Ram - Digital ToDo'!$Q$2:$Q$516,"Escalate to call")</f>
        <v/>
      </c>
      <c r="D20" s="27" t="inlineStr">
        <is>
          <t>Hand-off volume.</t>
        </is>
      </c>
    </row>
    <row r="21">
      <c r="B21" s="25" t="inlineStr">
        <is>
          <t>Shyam - calls logged (Call 1)</t>
        </is>
      </c>
      <c r="C21" s="26">
        <f>COUNTA('Shyam - Call ToDo'!$M$2:$M$516)</f>
        <v/>
      </c>
      <c r="D21" s="27" t="inlineStr">
        <is>
          <t>How many first calls Shyam made.</t>
        </is>
      </c>
    </row>
  </sheetData>
  <conditionalFormatting sqref="C14">
    <cfRule type="cellIs" priority="1" operator="greaterThanOrEqual" dxfId="0">
      <formula>0.8</formula>
    </cfRule>
    <cfRule type="cellIs" priority="2" operator="lessThan" dxfId="1">
      <formula>0.8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2" customWidth="1" min="4" max="4"/>
    <col width="14" customWidth="1" min="5" max="5"/>
    <col width="22" customWidth="1" min="6" max="6"/>
    <col width="15" customWidth="1" min="7" max="7"/>
    <col width="9" customWidth="1" min="8" max="8"/>
    <col width="22" customWidth="1" min="9" max="9"/>
    <col width="16" customWidth="1" min="10" max="10"/>
    <col width="6" customWidth="1" min="11" max="11"/>
  </cols>
  <sheetData>
    <row r="1">
      <c r="A1" s="35" t="inlineStr">
        <is>
          <t>Req ID</t>
        </is>
      </c>
      <c r="B1" s="35" t="inlineStr">
        <is>
          <t>Company</t>
        </is>
      </c>
      <c r="C1" s="35" t="inlineStr">
        <is>
          <t>Interviewer</t>
        </is>
      </c>
      <c r="D1" s="35" t="inlineStr">
        <is>
          <t>Interviewer Email</t>
        </is>
      </c>
      <c r="E1" s="35" t="inlineStr">
        <is>
          <t>Candidate</t>
        </is>
      </c>
      <c r="F1" s="35" t="inlineStr">
        <is>
          <t>Candidate Email</t>
        </is>
      </c>
      <c r="G1" s="35" t="inlineStr">
        <is>
          <t>Candidate Phone</t>
        </is>
      </c>
      <c r="H1" s="35" t="inlineStr">
        <is>
          <t>Round</t>
        </is>
      </c>
      <c r="I1" s="35" t="inlineStr">
        <is>
          <t>Calendly (this round)</t>
        </is>
      </c>
      <c r="J1" s="35" t="inlineStr">
        <is>
          <t>Added On</t>
        </is>
      </c>
      <c r="K1" s="35" t="inlineStr">
        <is>
          <t>Dup?</t>
        </is>
      </c>
    </row>
    <row r="2">
      <c r="A2" t="inlineStr">
        <is>
          <t>REQ-0001</t>
        </is>
      </c>
      <c r="B2" t="inlineStr">
        <is>
          <t>FB</t>
        </is>
      </c>
      <c r="C2" t="inlineStr">
        <is>
          <t>Mark</t>
        </is>
      </c>
      <c r="D2" t="inlineStr">
        <is>
          <t>sundar@google.com</t>
        </is>
      </c>
      <c r="E2" t="inlineStr">
        <is>
          <t>Chetan</t>
        </is>
      </c>
      <c r="F2" t="inlineStr">
        <is>
          <t>chetan@weekday.works</t>
        </is>
      </c>
      <c r="G2" s="36" t="inlineStr">
        <is>
          <t>+91 9920264452</t>
        </is>
      </c>
      <c r="H2" t="inlineStr">
        <is>
          <t>Round2</t>
        </is>
      </c>
      <c r="I2" t="inlineStr">
        <is>
          <t>&lt;calendly_link&gt;</t>
        </is>
      </c>
      <c r="J2" s="37" t="n">
        <v>44867.45208333333</v>
      </c>
      <c r="K2" t="inlineStr">
        <is>
          <t>Yes</t>
        </is>
      </c>
    </row>
    <row r="3">
      <c r="A3" t="inlineStr">
        <is>
          <t>REQ-0002</t>
        </is>
      </c>
      <c r="B3" t="inlineStr">
        <is>
          <t>Tesla</t>
        </is>
      </c>
      <c r="C3" t="inlineStr">
        <is>
          <t>Elon</t>
        </is>
      </c>
      <c r="D3" t="inlineStr">
        <is>
          <t>sundar@google.com</t>
        </is>
      </c>
      <c r="E3" t="inlineStr">
        <is>
          <t>Chetan</t>
        </is>
      </c>
      <c r="F3" t="inlineStr">
        <is>
          <t>chetan@weekday.works</t>
        </is>
      </c>
      <c r="G3" s="36" t="inlineStr">
        <is>
          <t>+91 9920264452</t>
        </is>
      </c>
      <c r="H3" t="inlineStr">
        <is>
          <t>Round3</t>
        </is>
      </c>
      <c r="I3" t="inlineStr">
        <is>
          <t>&lt;calendly_link&gt;</t>
        </is>
      </c>
      <c r="J3" s="37" t="n">
        <v>44867.49375</v>
      </c>
      <c r="K3" t="inlineStr"/>
    </row>
    <row r="4">
      <c r="A4" t="inlineStr">
        <is>
          <t>REQ-0003</t>
        </is>
      </c>
      <c r="B4" t="inlineStr">
        <is>
          <t>Google</t>
        </is>
      </c>
      <c r="C4" t="inlineStr">
        <is>
          <t>Eric</t>
        </is>
      </c>
      <c r="D4" t="inlineStr">
        <is>
          <t>sundar@google.com</t>
        </is>
      </c>
      <c r="E4" t="inlineStr">
        <is>
          <t>Chetan</t>
        </is>
      </c>
      <c r="F4" t="inlineStr">
        <is>
          <t>chetan@weekday.works</t>
        </is>
      </c>
      <c r="G4" s="36" t="inlineStr">
        <is>
          <t>+91 9920264452</t>
        </is>
      </c>
      <c r="H4" t="inlineStr">
        <is>
          <t>Round1</t>
        </is>
      </c>
      <c r="I4" t="inlineStr">
        <is>
          <t>&lt;calendly_link&gt;</t>
        </is>
      </c>
      <c r="J4" s="37" t="n">
        <v>44867.61875</v>
      </c>
      <c r="K4" t="inlineStr">
        <is>
          <t>Yes</t>
        </is>
      </c>
    </row>
    <row r="5">
      <c r="A5" t="inlineStr">
        <is>
          <t>REQ-0004</t>
        </is>
      </c>
      <c r="B5" t="inlineStr">
        <is>
          <t>Tesla</t>
        </is>
      </c>
      <c r="C5" t="inlineStr">
        <is>
          <t>Elon</t>
        </is>
      </c>
      <c r="D5" t="inlineStr">
        <is>
          <t>sundar@google.com</t>
        </is>
      </c>
      <c r="E5" t="inlineStr">
        <is>
          <t>Chetan</t>
        </is>
      </c>
      <c r="F5" t="inlineStr">
        <is>
          <t>chetan@weekday.works</t>
        </is>
      </c>
      <c r="G5" s="36" t="inlineStr">
        <is>
          <t>+91 9920264452</t>
        </is>
      </c>
      <c r="H5" t="inlineStr">
        <is>
          <t>Round2</t>
        </is>
      </c>
      <c r="I5" t="inlineStr">
        <is>
          <t>&lt;calendly_link&gt;</t>
        </is>
      </c>
      <c r="J5" s="37" t="n">
        <v>44867.69652777778</v>
      </c>
      <c r="K5" t="inlineStr"/>
    </row>
    <row r="6">
      <c r="A6" t="inlineStr">
        <is>
          <t>REQ-0005</t>
        </is>
      </c>
      <c r="B6" t="inlineStr">
        <is>
          <t>FB</t>
        </is>
      </c>
      <c r="C6" t="inlineStr">
        <is>
          <t>Mark</t>
        </is>
      </c>
      <c r="D6" t="inlineStr">
        <is>
          <t>sundar@google.com</t>
        </is>
      </c>
      <c r="E6" t="inlineStr">
        <is>
          <t>Chetan</t>
        </is>
      </c>
      <c r="F6" t="inlineStr">
        <is>
          <t>chetan@weekday.works</t>
        </is>
      </c>
      <c r="G6" s="36" t="inlineStr">
        <is>
          <t>+91 9920264452</t>
        </is>
      </c>
      <c r="H6" t="inlineStr">
        <is>
          <t>Round1</t>
        </is>
      </c>
      <c r="I6" t="inlineStr">
        <is>
          <t>&lt;calendly_link&gt;</t>
        </is>
      </c>
      <c r="J6" s="37" t="n">
        <v>44867.70208333333</v>
      </c>
      <c r="K6" t="inlineStr"/>
    </row>
    <row r="7">
      <c r="A7" t="inlineStr">
        <is>
          <t>REQ-0006</t>
        </is>
      </c>
      <c r="B7" t="inlineStr">
        <is>
          <t>Google</t>
        </is>
      </c>
      <c r="C7" t="inlineStr">
        <is>
          <t>Sergei</t>
        </is>
      </c>
      <c r="D7" t="inlineStr">
        <is>
          <t>sundar@google.com</t>
        </is>
      </c>
      <c r="E7" t="inlineStr">
        <is>
          <t>Chetan</t>
        </is>
      </c>
      <c r="F7" t="inlineStr">
        <is>
          <t>chetan@weekday.works</t>
        </is>
      </c>
      <c r="G7" s="36" t="inlineStr">
        <is>
          <t>+91 9920264452</t>
        </is>
      </c>
      <c r="H7" t="inlineStr">
        <is>
          <t>Round1</t>
        </is>
      </c>
      <c r="I7" t="inlineStr">
        <is>
          <t>&lt;calendly_link&gt;</t>
        </is>
      </c>
      <c r="J7" s="37" t="n">
        <v>44867.78958333333</v>
      </c>
      <c r="K7" t="inlineStr">
        <is>
          <t>Yes</t>
        </is>
      </c>
    </row>
    <row r="8">
      <c r="A8" t="inlineStr">
        <is>
          <t>REQ-0007</t>
        </is>
      </c>
      <c r="B8" t="inlineStr">
        <is>
          <t>FB</t>
        </is>
      </c>
      <c r="C8" t="inlineStr">
        <is>
          <t>Sheryl</t>
        </is>
      </c>
      <c r="D8" t="inlineStr">
        <is>
          <t>sundar@google.com</t>
        </is>
      </c>
      <c r="E8" t="inlineStr">
        <is>
          <t>Chetan</t>
        </is>
      </c>
      <c r="F8" t="inlineStr">
        <is>
          <t>chetan@weekday.works</t>
        </is>
      </c>
      <c r="G8" s="36" t="inlineStr">
        <is>
          <t>+91 9920264452</t>
        </is>
      </c>
      <c r="H8" t="inlineStr">
        <is>
          <t>Round2</t>
        </is>
      </c>
      <c r="I8" t="inlineStr">
        <is>
          <t>&lt;calendly_link&gt;</t>
        </is>
      </c>
      <c r="J8" s="37" t="n">
        <v>44867.79930555556</v>
      </c>
      <c r="K8" t="inlineStr"/>
    </row>
    <row r="9">
      <c r="A9" t="inlineStr">
        <is>
          <t>REQ-0008</t>
        </is>
      </c>
      <c r="B9" t="inlineStr">
        <is>
          <t>FB</t>
        </is>
      </c>
      <c r="C9" t="inlineStr">
        <is>
          <t>Kevin</t>
        </is>
      </c>
      <c r="D9" t="inlineStr">
        <is>
          <t>sundar@google.com</t>
        </is>
      </c>
      <c r="E9" t="inlineStr">
        <is>
          <t>Chetan</t>
        </is>
      </c>
      <c r="F9" t="inlineStr">
        <is>
          <t>chetan@weekday.works</t>
        </is>
      </c>
      <c r="G9" s="36" t="inlineStr">
        <is>
          <t>+91 9920264452</t>
        </is>
      </c>
      <c r="H9" t="inlineStr">
        <is>
          <t>Round1</t>
        </is>
      </c>
      <c r="I9" t="inlineStr">
        <is>
          <t>&lt;calendly_link&gt;</t>
        </is>
      </c>
      <c r="J9" s="37" t="n">
        <v>44867.80625</v>
      </c>
      <c r="K9" t="inlineStr">
        <is>
          <t>Yes</t>
        </is>
      </c>
    </row>
    <row r="10">
      <c r="A10" t="inlineStr">
        <is>
          <t>REQ-0009</t>
        </is>
      </c>
      <c r="B10" t="inlineStr">
        <is>
          <t>Google</t>
        </is>
      </c>
      <c r="C10" t="inlineStr">
        <is>
          <t>Sundar Pichai</t>
        </is>
      </c>
      <c r="D10" t="inlineStr">
        <is>
          <t>sundar@google.com</t>
        </is>
      </c>
      <c r="E10" t="inlineStr">
        <is>
          <t>Chetan</t>
        </is>
      </c>
      <c r="F10" t="inlineStr">
        <is>
          <t>chetan@weekday.works</t>
        </is>
      </c>
      <c r="G10" s="36" t="inlineStr">
        <is>
          <t>+91 9920264452</t>
        </is>
      </c>
      <c r="H10" t="inlineStr">
        <is>
          <t>Round1</t>
        </is>
      </c>
      <c r="I10" t="inlineStr">
        <is>
          <t>&lt;calendly_link&gt;</t>
        </is>
      </c>
      <c r="J10" s="37" t="n">
        <v>44867.82708333333</v>
      </c>
      <c r="K10" t="inlineStr"/>
    </row>
    <row r="11">
      <c r="A11" t="inlineStr">
        <is>
          <t>REQ-0010</t>
        </is>
      </c>
      <c r="B11" t="inlineStr">
        <is>
          <t>FB</t>
        </is>
      </c>
      <c r="C11" t="inlineStr">
        <is>
          <t>Mark</t>
        </is>
      </c>
      <c r="D11" t="inlineStr">
        <is>
          <t>sundar@google.com</t>
        </is>
      </c>
      <c r="E11" t="inlineStr">
        <is>
          <t>Chetan</t>
        </is>
      </c>
      <c r="F11" t="inlineStr">
        <is>
          <t>chetan@weekday.works</t>
        </is>
      </c>
      <c r="G11" s="36" t="inlineStr">
        <is>
          <t>+91 9920264452</t>
        </is>
      </c>
      <c r="H11" t="inlineStr">
        <is>
          <t>Round2</t>
        </is>
      </c>
      <c r="I11" t="inlineStr">
        <is>
          <t>&lt;calendly_link&gt;</t>
        </is>
      </c>
      <c r="J11" s="37" t="n">
        <v>44867.82708333333</v>
      </c>
      <c r="K11" t="inlineStr">
        <is>
          <t>Yes</t>
        </is>
      </c>
    </row>
    <row r="12">
      <c r="A12" t="inlineStr">
        <is>
          <t>REQ-0011</t>
        </is>
      </c>
      <c r="B12" t="inlineStr">
        <is>
          <t>Tesla</t>
        </is>
      </c>
      <c r="C12" t="inlineStr">
        <is>
          <t>Elon</t>
        </is>
      </c>
      <c r="D12" t="inlineStr">
        <is>
          <t>sundar@google.com</t>
        </is>
      </c>
      <c r="E12" t="inlineStr">
        <is>
          <t>Chetan</t>
        </is>
      </c>
      <c r="F12" t="inlineStr">
        <is>
          <t>chetan@weekday.works</t>
        </is>
      </c>
      <c r="G12" s="36" t="inlineStr">
        <is>
          <t>+91 9920264452</t>
        </is>
      </c>
      <c r="H12" t="inlineStr">
        <is>
          <t>Round1</t>
        </is>
      </c>
      <c r="I12" t="inlineStr">
        <is>
          <t>&lt;calendly_link&gt;</t>
        </is>
      </c>
      <c r="J12" s="37" t="n">
        <v>44867.82708333333</v>
      </c>
      <c r="K12" t="inlineStr"/>
    </row>
    <row r="13">
      <c r="A13" t="inlineStr">
        <is>
          <t>REQ-0012</t>
        </is>
      </c>
      <c r="B13" t="inlineStr">
        <is>
          <t>Tesla</t>
        </is>
      </c>
      <c r="C13" t="inlineStr">
        <is>
          <t>Elon</t>
        </is>
      </c>
      <c r="D13" t="inlineStr">
        <is>
          <t>sundar@google.com</t>
        </is>
      </c>
      <c r="E13" t="inlineStr">
        <is>
          <t>Chetan</t>
        </is>
      </c>
      <c r="F13" t="inlineStr">
        <is>
          <t>chetan@weekday.works</t>
        </is>
      </c>
      <c r="G13" s="36" t="inlineStr">
        <is>
          <t>+91 9920264452</t>
        </is>
      </c>
      <c r="H13" t="inlineStr">
        <is>
          <t>Round1</t>
        </is>
      </c>
      <c r="I13" t="inlineStr">
        <is>
          <t>&lt;calendly_link&gt;</t>
        </is>
      </c>
      <c r="J13" s="37" t="n">
        <v>44867.82708333333</v>
      </c>
      <c r="K13" t="inlineStr">
        <is>
          <t>Yes</t>
        </is>
      </c>
    </row>
    <row r="14">
      <c r="A14" t="inlineStr">
        <is>
          <t>REQ-0013</t>
        </is>
      </c>
      <c r="B14" t="inlineStr">
        <is>
          <t>Tesla</t>
        </is>
      </c>
      <c r="C14" t="inlineStr">
        <is>
          <t>Parag</t>
        </is>
      </c>
      <c r="D14" t="inlineStr">
        <is>
          <t>sundar@google.com</t>
        </is>
      </c>
      <c r="E14" t="inlineStr">
        <is>
          <t>Chetan</t>
        </is>
      </c>
      <c r="F14" t="inlineStr">
        <is>
          <t>chetan@weekday.works</t>
        </is>
      </c>
      <c r="G14" s="36" t="inlineStr">
        <is>
          <t>+91 9920264452</t>
        </is>
      </c>
      <c r="H14" t="inlineStr">
        <is>
          <t>Round2</t>
        </is>
      </c>
      <c r="I14" t="inlineStr">
        <is>
          <t>&lt;calendly_link&gt;</t>
        </is>
      </c>
      <c r="J14" s="37" t="n">
        <v>44867.82708333333</v>
      </c>
      <c r="K14" t="inlineStr">
        <is>
          <t>Yes</t>
        </is>
      </c>
    </row>
    <row r="15">
      <c r="A15" t="inlineStr">
        <is>
          <t>REQ-0014</t>
        </is>
      </c>
      <c r="B15" t="inlineStr">
        <is>
          <t>Tesla</t>
        </is>
      </c>
      <c r="C15" t="inlineStr">
        <is>
          <t>Elon</t>
        </is>
      </c>
      <c r="D15" t="inlineStr">
        <is>
          <t>sundar@google.com</t>
        </is>
      </c>
      <c r="E15" t="inlineStr">
        <is>
          <t>Chetan</t>
        </is>
      </c>
      <c r="F15" t="inlineStr">
        <is>
          <t>chetan@weekday.works</t>
        </is>
      </c>
      <c r="G15" s="36" t="inlineStr">
        <is>
          <t>+91 9920264452</t>
        </is>
      </c>
      <c r="H15" t="inlineStr">
        <is>
          <t>Round1</t>
        </is>
      </c>
      <c r="I15" t="inlineStr">
        <is>
          <t>&lt;calendly_link&gt;</t>
        </is>
      </c>
      <c r="J15" s="37" t="n">
        <v>44867.82708333333</v>
      </c>
      <c r="K15" t="inlineStr">
        <is>
          <t>Yes</t>
        </is>
      </c>
    </row>
    <row r="16">
      <c r="A16" t="inlineStr">
        <is>
          <t>REQ-0015</t>
        </is>
      </c>
      <c r="B16" t="inlineStr">
        <is>
          <t>Tesla</t>
        </is>
      </c>
      <c r="C16" t="inlineStr">
        <is>
          <t>Elon</t>
        </is>
      </c>
      <c r="D16" t="inlineStr">
        <is>
          <t>sundar@google.com</t>
        </is>
      </c>
      <c r="E16" t="inlineStr">
        <is>
          <t>Chetan</t>
        </is>
      </c>
      <c r="F16" t="inlineStr">
        <is>
          <t>chetan@weekday.works</t>
        </is>
      </c>
      <c r="G16" s="36" t="inlineStr">
        <is>
          <t>+91 9920264452</t>
        </is>
      </c>
      <c r="H16" t="inlineStr">
        <is>
          <t>Round1</t>
        </is>
      </c>
      <c r="I16" t="inlineStr">
        <is>
          <t>&lt;calendly_link&gt;</t>
        </is>
      </c>
      <c r="J16" s="37" t="n">
        <v>44867.82708333333</v>
      </c>
      <c r="K16" t="inlineStr">
        <is>
          <t>Yes</t>
        </is>
      </c>
    </row>
    <row r="17">
      <c r="A17" t="inlineStr">
        <is>
          <t>REQ-0016</t>
        </is>
      </c>
      <c r="B17" t="inlineStr">
        <is>
          <t>Google</t>
        </is>
      </c>
      <c r="C17" t="inlineStr">
        <is>
          <t>Sundar Pichai</t>
        </is>
      </c>
      <c r="D17" t="inlineStr">
        <is>
          <t>sundar@google.com</t>
        </is>
      </c>
      <c r="E17" t="inlineStr">
        <is>
          <t>Chetan</t>
        </is>
      </c>
      <c r="F17" t="inlineStr">
        <is>
          <t>chetan@weekday.works</t>
        </is>
      </c>
      <c r="G17" s="36" t="inlineStr">
        <is>
          <t>+91 9920264452</t>
        </is>
      </c>
      <c r="H17" t="inlineStr">
        <is>
          <t>Round1</t>
        </is>
      </c>
      <c r="I17" t="inlineStr">
        <is>
          <t>&lt;calendly_link&gt;</t>
        </is>
      </c>
      <c r="J17" s="37" t="n">
        <v>44867.82708333333</v>
      </c>
      <c r="K17" t="inlineStr">
        <is>
          <t>Yes</t>
        </is>
      </c>
    </row>
    <row r="18">
      <c r="A18" t="inlineStr">
        <is>
          <t>REQ-0017</t>
        </is>
      </c>
      <c r="B18" t="inlineStr">
        <is>
          <t>Google</t>
        </is>
      </c>
      <c r="C18" t="inlineStr">
        <is>
          <t>Sundar Pichai</t>
        </is>
      </c>
      <c r="D18" t="inlineStr">
        <is>
          <t>sundar@google.com</t>
        </is>
      </c>
      <c r="E18" t="inlineStr">
        <is>
          <t>Chetan</t>
        </is>
      </c>
      <c r="F18" t="inlineStr">
        <is>
          <t>chetan@weekday.works</t>
        </is>
      </c>
      <c r="G18" s="36" t="inlineStr">
        <is>
          <t>+91 9920264452</t>
        </is>
      </c>
      <c r="H18" t="inlineStr">
        <is>
          <t>Round3</t>
        </is>
      </c>
      <c r="I18" t="inlineStr">
        <is>
          <t>&lt;calendly_link&gt;</t>
        </is>
      </c>
      <c r="J18" s="37" t="n">
        <v>44867.82708333333</v>
      </c>
      <c r="K18" t="inlineStr"/>
    </row>
    <row r="19">
      <c r="A19" t="inlineStr">
        <is>
          <t>REQ-0018</t>
        </is>
      </c>
      <c r="B19" t="inlineStr">
        <is>
          <t>Google</t>
        </is>
      </c>
      <c r="C19" t="inlineStr">
        <is>
          <t>Sundar Pichai</t>
        </is>
      </c>
      <c r="D19" t="inlineStr">
        <is>
          <t>sundar@google.com</t>
        </is>
      </c>
      <c r="E19" t="inlineStr">
        <is>
          <t>Chetan</t>
        </is>
      </c>
      <c r="F19" t="inlineStr">
        <is>
          <t>chetan@weekday.works</t>
        </is>
      </c>
      <c r="G19" s="36" t="inlineStr">
        <is>
          <t>+91 9920264452</t>
        </is>
      </c>
      <c r="H19" t="inlineStr">
        <is>
          <t>Round2</t>
        </is>
      </c>
      <c r="I19" t="inlineStr">
        <is>
          <t>&lt;calendly_link&gt;</t>
        </is>
      </c>
      <c r="J19" s="37" t="n">
        <v>44867.82708333333</v>
      </c>
      <c r="K19" t="inlineStr"/>
    </row>
    <row r="20">
      <c r="A20" t="inlineStr">
        <is>
          <t>REQ-0019</t>
        </is>
      </c>
      <c r="B20" t="inlineStr">
        <is>
          <t>Google</t>
        </is>
      </c>
      <c r="C20" t="inlineStr">
        <is>
          <t>Sundar Pichai</t>
        </is>
      </c>
      <c r="D20" t="inlineStr">
        <is>
          <t>sundar@google.com</t>
        </is>
      </c>
      <c r="E20" t="inlineStr">
        <is>
          <t>Chetan</t>
        </is>
      </c>
      <c r="F20" t="inlineStr">
        <is>
          <t>chetan@weekday.works</t>
        </is>
      </c>
      <c r="G20" s="36" t="inlineStr">
        <is>
          <t>+91 9920264452</t>
        </is>
      </c>
      <c r="H20" t="inlineStr">
        <is>
          <t>Round1</t>
        </is>
      </c>
      <c r="I20" t="inlineStr">
        <is>
          <t>&lt;calendly_link&gt;</t>
        </is>
      </c>
      <c r="J20" s="37" t="n">
        <v>44867.82708333333</v>
      </c>
      <c r="K20" t="inlineStr">
        <is>
          <t>Yes</t>
        </is>
      </c>
    </row>
    <row r="21">
      <c r="A21" t="inlineStr">
        <is>
          <t>REQ-0020</t>
        </is>
      </c>
      <c r="B21" t="inlineStr">
        <is>
          <t>Reliance</t>
        </is>
      </c>
      <c r="C21" t="inlineStr">
        <is>
          <t>Mukesh</t>
        </is>
      </c>
      <c r="D21" t="inlineStr">
        <is>
          <t>sundar@google.com</t>
        </is>
      </c>
      <c r="E21" t="inlineStr">
        <is>
          <t>Chetan</t>
        </is>
      </c>
      <c r="F21" t="inlineStr">
        <is>
          <t>chetan@weekday.works</t>
        </is>
      </c>
      <c r="G21" s="36" t="inlineStr">
        <is>
          <t>+91 9920264452</t>
        </is>
      </c>
      <c r="H21" t="inlineStr">
        <is>
          <t>Round1</t>
        </is>
      </c>
      <c r="I21" t="inlineStr">
        <is>
          <t>&lt;calendly_link&gt;</t>
        </is>
      </c>
      <c r="J21" s="37" t="n">
        <v>44867.82708333333</v>
      </c>
      <c r="K21" t="inlineStr"/>
    </row>
    <row r="22">
      <c r="A22" t="inlineStr">
        <is>
          <t>REQ-0021</t>
        </is>
      </c>
      <c r="B22" t="inlineStr">
        <is>
          <t>Reliance</t>
        </is>
      </c>
      <c r="C22" t="inlineStr">
        <is>
          <t>Mukesh</t>
        </is>
      </c>
      <c r="D22" t="inlineStr">
        <is>
          <t>sundar@google.com</t>
        </is>
      </c>
      <c r="E22" t="inlineStr">
        <is>
          <t>Chetan</t>
        </is>
      </c>
      <c r="F22" t="inlineStr">
        <is>
          <t>chetan@weekday.works</t>
        </is>
      </c>
      <c r="G22" s="36" t="inlineStr">
        <is>
          <t>+91 9920264452</t>
        </is>
      </c>
      <c r="H22" t="inlineStr">
        <is>
          <t>Round1</t>
        </is>
      </c>
      <c r="I22" t="inlineStr">
        <is>
          <t>&lt;calendly_link&gt;</t>
        </is>
      </c>
      <c r="J22" s="37" t="n">
        <v>44867.82708333333</v>
      </c>
      <c r="K22" t="inlineStr">
        <is>
          <t>Yes</t>
        </is>
      </c>
    </row>
    <row r="23">
      <c r="A23" t="inlineStr">
        <is>
          <t>REQ-0022</t>
        </is>
      </c>
      <c r="B23" t="inlineStr">
        <is>
          <t>Reliance</t>
        </is>
      </c>
      <c r="C23" t="inlineStr">
        <is>
          <t>Mukesh</t>
        </is>
      </c>
      <c r="D23" t="inlineStr">
        <is>
          <t>sundar@google.com</t>
        </is>
      </c>
      <c r="E23" t="inlineStr">
        <is>
          <t>Chetan</t>
        </is>
      </c>
      <c r="F23" t="inlineStr">
        <is>
          <t>chetan@weekday.works</t>
        </is>
      </c>
      <c r="G23" s="36" t="inlineStr">
        <is>
          <t>+91 9920264452</t>
        </is>
      </c>
      <c r="H23" t="inlineStr">
        <is>
          <t>Round2</t>
        </is>
      </c>
      <c r="I23" t="inlineStr">
        <is>
          <t>&lt;calendly_link&gt;</t>
        </is>
      </c>
      <c r="J23" s="37" t="n">
        <v>44867.82708333333</v>
      </c>
      <c r="K23" t="inlineStr"/>
    </row>
    <row r="24">
      <c r="A24" t="inlineStr">
        <is>
          <t>REQ-0023</t>
        </is>
      </c>
      <c r="B24" t="inlineStr">
        <is>
          <t>Reliance</t>
        </is>
      </c>
      <c r="C24" t="inlineStr">
        <is>
          <t>Mukesh</t>
        </is>
      </c>
      <c r="D24" t="inlineStr">
        <is>
          <t>sundar@google.com</t>
        </is>
      </c>
      <c r="E24" t="inlineStr">
        <is>
          <t>Chetan</t>
        </is>
      </c>
      <c r="F24" t="inlineStr">
        <is>
          <t>chetan@weekday.works</t>
        </is>
      </c>
      <c r="G24" s="36" t="inlineStr">
        <is>
          <t>+91 9920264452</t>
        </is>
      </c>
      <c r="H24" t="inlineStr">
        <is>
          <t>Round3</t>
        </is>
      </c>
      <c r="I24" t="inlineStr">
        <is>
          <t>&lt;calendly_link&gt;</t>
        </is>
      </c>
      <c r="J24" s="37" t="n">
        <v>44867.82708333333</v>
      </c>
      <c r="K24" t="inlineStr"/>
    </row>
    <row r="25">
      <c r="A25" t="inlineStr">
        <is>
          <t>REQ-0024</t>
        </is>
      </c>
      <c r="B25" t="inlineStr">
        <is>
          <t>Reliance</t>
        </is>
      </c>
      <c r="C25" t="inlineStr">
        <is>
          <t>Mukesh</t>
        </is>
      </c>
      <c r="D25" t="inlineStr">
        <is>
          <t>sundar@google.com</t>
        </is>
      </c>
      <c r="E25" t="inlineStr">
        <is>
          <t>Chetan</t>
        </is>
      </c>
      <c r="F25" t="inlineStr">
        <is>
          <t>chetan@weekday.works</t>
        </is>
      </c>
      <c r="G25" s="36" t="inlineStr">
        <is>
          <t>+91 9920264452</t>
        </is>
      </c>
      <c r="H25" t="inlineStr">
        <is>
          <t>Round1</t>
        </is>
      </c>
      <c r="I25" t="inlineStr">
        <is>
          <t>&lt;calendly_link&gt;</t>
        </is>
      </c>
      <c r="J25" s="37" t="n">
        <v>44867.82708333333</v>
      </c>
      <c r="K25" t="inlineStr">
        <is>
          <t>Yes</t>
        </is>
      </c>
    </row>
    <row r="26">
      <c r="A26" t="inlineStr">
        <is>
          <t>REQ-0025</t>
        </is>
      </c>
      <c r="B26" t="inlineStr">
        <is>
          <t>Reliance</t>
        </is>
      </c>
      <c r="C26" t="inlineStr">
        <is>
          <t>Mukesh</t>
        </is>
      </c>
      <c r="D26" t="inlineStr">
        <is>
          <t>sundar@google.com</t>
        </is>
      </c>
      <c r="E26" t="inlineStr">
        <is>
          <t>Chetan</t>
        </is>
      </c>
      <c r="F26" t="inlineStr">
        <is>
          <t>chetan@weekday.works</t>
        </is>
      </c>
      <c r="G26" s="36" t="inlineStr">
        <is>
          <t>+91 9920264452</t>
        </is>
      </c>
      <c r="H26" t="inlineStr">
        <is>
          <t>Round1</t>
        </is>
      </c>
      <c r="I26" t="inlineStr">
        <is>
          <t>&lt;calendly_link&gt;</t>
        </is>
      </c>
      <c r="J26" s="37" t="n">
        <v>44867.82708333333</v>
      </c>
      <c r="K26" t="inlineStr">
        <is>
          <t>Yes</t>
        </is>
      </c>
    </row>
    <row r="27">
      <c r="A27" t="inlineStr">
        <is>
          <t>REQ-0026</t>
        </is>
      </c>
      <c r="B27" t="inlineStr">
        <is>
          <t>Reliance</t>
        </is>
      </c>
      <c r="C27" t="inlineStr">
        <is>
          <t>Mukesh</t>
        </is>
      </c>
      <c r="D27" t="inlineStr">
        <is>
          <t>sundar@google.com</t>
        </is>
      </c>
      <c r="E27" t="inlineStr">
        <is>
          <t>Chetan</t>
        </is>
      </c>
      <c r="F27" t="inlineStr">
        <is>
          <t>chetan@weekday.works</t>
        </is>
      </c>
      <c r="G27" s="36" t="inlineStr">
        <is>
          <t>+91 9920264452</t>
        </is>
      </c>
      <c r="H27" t="inlineStr">
        <is>
          <t>Round1</t>
        </is>
      </c>
      <c r="I27" t="inlineStr">
        <is>
          <t>&lt;calendly_link&gt;</t>
        </is>
      </c>
      <c r="J27" s="37" t="n">
        <v>44867.82708333333</v>
      </c>
      <c r="K27" t="inlineStr">
        <is>
          <t>Yes</t>
        </is>
      </c>
    </row>
    <row r="28">
      <c r="A28" t="inlineStr">
        <is>
          <t>REQ-0027</t>
        </is>
      </c>
      <c r="B28" t="inlineStr">
        <is>
          <t>Google</t>
        </is>
      </c>
      <c r="C28" t="inlineStr">
        <is>
          <t>Sundar Pichai</t>
        </is>
      </c>
      <c r="D28" t="inlineStr">
        <is>
          <t>sundar@google.com</t>
        </is>
      </c>
      <c r="E28" t="inlineStr">
        <is>
          <t>Chetan</t>
        </is>
      </c>
      <c r="F28" t="inlineStr">
        <is>
          <t>chetan@weekday.works</t>
        </is>
      </c>
      <c r="G28" s="36" t="inlineStr">
        <is>
          <t>+91 9920264452</t>
        </is>
      </c>
      <c r="H28" t="inlineStr">
        <is>
          <t>Round3</t>
        </is>
      </c>
      <c r="I28" t="inlineStr">
        <is>
          <t>&lt;calendly_link&gt;</t>
        </is>
      </c>
      <c r="J28" s="37" t="n">
        <v>44867.82708333333</v>
      </c>
      <c r="K28" t="inlineStr">
        <is>
          <t>Yes</t>
        </is>
      </c>
    </row>
    <row r="29">
      <c r="A29" t="inlineStr">
        <is>
          <t>REQ-0028</t>
        </is>
      </c>
      <c r="B29" t="inlineStr">
        <is>
          <t>Google</t>
        </is>
      </c>
      <c r="C29" t="inlineStr">
        <is>
          <t>Sundar Pichai</t>
        </is>
      </c>
      <c r="D29" t="inlineStr">
        <is>
          <t>sundar@google.com</t>
        </is>
      </c>
      <c r="E29" t="inlineStr">
        <is>
          <t>Chetan</t>
        </is>
      </c>
      <c r="F29" t="inlineStr">
        <is>
          <t>chetan@weekday.works</t>
        </is>
      </c>
      <c r="G29" s="36" t="inlineStr">
        <is>
          <t>+91 9920264452</t>
        </is>
      </c>
      <c r="H29" t="inlineStr">
        <is>
          <t>Round1</t>
        </is>
      </c>
      <c r="I29" t="inlineStr">
        <is>
          <t>&lt;calendly_link&gt;</t>
        </is>
      </c>
      <c r="J29" s="37" t="n">
        <v>44867.82708333333</v>
      </c>
      <c r="K29" t="inlineStr">
        <is>
          <t>Yes</t>
        </is>
      </c>
    </row>
    <row r="30">
      <c r="A30" t="inlineStr">
        <is>
          <t>REQ-0029</t>
        </is>
      </c>
      <c r="B30" t="inlineStr">
        <is>
          <t>Google</t>
        </is>
      </c>
      <c r="C30" t="inlineStr">
        <is>
          <t>Sundar Pichai</t>
        </is>
      </c>
      <c r="D30" t="inlineStr">
        <is>
          <t>sundar@google.com</t>
        </is>
      </c>
      <c r="E30" t="inlineStr">
        <is>
          <t>Chetan</t>
        </is>
      </c>
      <c r="F30" t="inlineStr">
        <is>
          <t>chetan@weekday.works</t>
        </is>
      </c>
      <c r="G30" s="36" t="inlineStr">
        <is>
          <t>+91 9920264452</t>
        </is>
      </c>
      <c r="H30" t="inlineStr">
        <is>
          <t>Round1</t>
        </is>
      </c>
      <c r="I30" t="inlineStr">
        <is>
          <t>&lt;calendly_link&gt;</t>
        </is>
      </c>
      <c r="J30" s="37" t="n">
        <v>44867.82708333333</v>
      </c>
      <c r="K30" t="inlineStr">
        <is>
          <t>Yes</t>
        </is>
      </c>
    </row>
    <row r="31">
      <c r="A31" t="inlineStr">
        <is>
          <t>REQ-0030</t>
        </is>
      </c>
      <c r="B31" t="inlineStr">
        <is>
          <t>Google</t>
        </is>
      </c>
      <c r="C31" t="inlineStr">
        <is>
          <t>Sundar Pichai</t>
        </is>
      </c>
      <c r="D31" t="inlineStr">
        <is>
          <t>sundar@google.com</t>
        </is>
      </c>
      <c r="E31" t="inlineStr">
        <is>
          <t>Chetan</t>
        </is>
      </c>
      <c r="F31" t="inlineStr">
        <is>
          <t>chetan@weekday.works</t>
        </is>
      </c>
      <c r="G31" s="36" t="inlineStr">
        <is>
          <t>+91 9920264452</t>
        </is>
      </c>
      <c r="H31" t="inlineStr">
        <is>
          <t>Round1</t>
        </is>
      </c>
      <c r="I31" t="inlineStr">
        <is>
          <t>&lt;calendly_link&gt;</t>
        </is>
      </c>
      <c r="J31" s="37" t="n">
        <v>44867.82708333333</v>
      </c>
      <c r="K31" t="inlineStr">
        <is>
          <t>Yes</t>
        </is>
      </c>
    </row>
    <row r="32">
      <c r="A32" t="inlineStr">
        <is>
          <t>REQ-0031</t>
        </is>
      </c>
      <c r="B32" t="inlineStr">
        <is>
          <t>Google</t>
        </is>
      </c>
      <c r="C32" t="inlineStr">
        <is>
          <t>Sundar Pichai</t>
        </is>
      </c>
      <c r="D32" t="inlineStr">
        <is>
          <t>sundar@google.com</t>
        </is>
      </c>
      <c r="E32" t="inlineStr">
        <is>
          <t>Chetan</t>
        </is>
      </c>
      <c r="F32" t="inlineStr">
        <is>
          <t>chetan@weekday.works</t>
        </is>
      </c>
      <c r="G32" s="36" t="inlineStr">
        <is>
          <t>+91 9920264452</t>
        </is>
      </c>
      <c r="H32" t="inlineStr">
        <is>
          <t>Round1</t>
        </is>
      </c>
      <c r="I32" t="inlineStr">
        <is>
          <t>&lt;calendly_link&gt;</t>
        </is>
      </c>
      <c r="J32" s="37" t="n">
        <v>44867.82708333333</v>
      </c>
      <c r="K32" t="inlineStr">
        <is>
          <t>Yes</t>
        </is>
      </c>
    </row>
    <row r="33">
      <c r="A33" t="inlineStr">
        <is>
          <t>REQ-0032</t>
        </is>
      </c>
      <c r="B33" t="inlineStr">
        <is>
          <t>Google</t>
        </is>
      </c>
      <c r="C33" t="inlineStr">
        <is>
          <t>Sundar Pichai</t>
        </is>
      </c>
      <c r="D33" t="inlineStr">
        <is>
          <t>sundar@google.com</t>
        </is>
      </c>
      <c r="E33" t="inlineStr">
        <is>
          <t>Chetan</t>
        </is>
      </c>
      <c r="F33" t="inlineStr">
        <is>
          <t>chetan@weekday.works</t>
        </is>
      </c>
      <c r="G33" s="36" t="inlineStr">
        <is>
          <t>+91 9920264452</t>
        </is>
      </c>
      <c r="H33" t="inlineStr">
        <is>
          <t>Round3</t>
        </is>
      </c>
      <c r="I33" t="inlineStr">
        <is>
          <t>&lt;calendly_link&gt;</t>
        </is>
      </c>
      <c r="J33" s="37" t="n">
        <v>44867.82708333333</v>
      </c>
      <c r="K33" t="inlineStr">
        <is>
          <t>Yes</t>
        </is>
      </c>
    </row>
    <row r="34">
      <c r="A34" t="inlineStr">
        <is>
          <t>REQ-0033</t>
        </is>
      </c>
      <c r="B34" t="inlineStr">
        <is>
          <t>Google</t>
        </is>
      </c>
      <c r="C34" t="inlineStr">
        <is>
          <t>Sundar Pichai</t>
        </is>
      </c>
      <c r="D34" t="inlineStr">
        <is>
          <t>sundar@google.com</t>
        </is>
      </c>
      <c r="E34" t="inlineStr">
        <is>
          <t>Chetan</t>
        </is>
      </c>
      <c r="F34" t="inlineStr">
        <is>
          <t>chetan@weekday.works</t>
        </is>
      </c>
      <c r="G34" s="36" t="inlineStr">
        <is>
          <t>+91 9920264452</t>
        </is>
      </c>
      <c r="H34" t="inlineStr">
        <is>
          <t>Round1</t>
        </is>
      </c>
      <c r="I34" t="inlineStr">
        <is>
          <t>&lt;calendly_link&gt;</t>
        </is>
      </c>
      <c r="J34" s="37" t="n">
        <v>44867.82708333333</v>
      </c>
      <c r="K34" t="inlineStr">
        <is>
          <t>Yes</t>
        </is>
      </c>
    </row>
    <row r="35">
      <c r="A35" t="inlineStr">
        <is>
          <t>REQ-0034</t>
        </is>
      </c>
      <c r="B35" t="inlineStr">
        <is>
          <t>Google</t>
        </is>
      </c>
      <c r="C35" t="inlineStr">
        <is>
          <t>Sundar Pichai</t>
        </is>
      </c>
      <c r="D35" t="inlineStr">
        <is>
          <t>sundar@google.com</t>
        </is>
      </c>
      <c r="E35" t="inlineStr">
        <is>
          <t>Chetan</t>
        </is>
      </c>
      <c r="F35" t="inlineStr">
        <is>
          <t>chetan@weekday.works</t>
        </is>
      </c>
      <c r="G35" s="36" t="inlineStr">
        <is>
          <t>+91 9920264452</t>
        </is>
      </c>
      <c r="H35" t="inlineStr">
        <is>
          <t>Round1</t>
        </is>
      </c>
      <c r="I35" t="inlineStr">
        <is>
          <t>&lt;calendly_link&gt;</t>
        </is>
      </c>
      <c r="J35" s="37" t="n">
        <v>44867.82708333333</v>
      </c>
      <c r="K35" t="inlineStr">
        <is>
          <t>Yes</t>
        </is>
      </c>
    </row>
    <row r="36">
      <c r="A36" t="inlineStr">
        <is>
          <t>REQ-0035</t>
        </is>
      </c>
      <c r="B36" t="inlineStr">
        <is>
          <t>Google</t>
        </is>
      </c>
      <c r="C36" t="inlineStr">
        <is>
          <t>Sundar Pichai</t>
        </is>
      </c>
      <c r="D36" t="inlineStr">
        <is>
          <t>sundar@google.com</t>
        </is>
      </c>
      <c r="E36" t="inlineStr">
        <is>
          <t>Chetan</t>
        </is>
      </c>
      <c r="F36" t="inlineStr">
        <is>
          <t>chetan@weekday.works</t>
        </is>
      </c>
      <c r="G36" s="36" t="inlineStr">
        <is>
          <t>+91 9920264452</t>
        </is>
      </c>
      <c r="H36" t="inlineStr">
        <is>
          <t>Round1</t>
        </is>
      </c>
      <c r="I36" t="inlineStr">
        <is>
          <t>&lt;calendly_link&gt;</t>
        </is>
      </c>
      <c r="J36" s="37" t="n">
        <v>44867.82708333333</v>
      </c>
      <c r="K36" t="inlineStr">
        <is>
          <t>Yes</t>
        </is>
      </c>
    </row>
    <row r="37">
      <c r="A37" t="inlineStr">
        <is>
          <t>REQ-0036</t>
        </is>
      </c>
      <c r="B37" t="inlineStr">
        <is>
          <t>Google</t>
        </is>
      </c>
      <c r="C37" t="inlineStr">
        <is>
          <t>Sundar Pichai</t>
        </is>
      </c>
      <c r="D37" t="inlineStr">
        <is>
          <t>sundar@google.com</t>
        </is>
      </c>
      <c r="E37" t="inlineStr">
        <is>
          <t>Chetan</t>
        </is>
      </c>
      <c r="F37" t="inlineStr">
        <is>
          <t>chetan@weekday.works</t>
        </is>
      </c>
      <c r="G37" s="36" t="inlineStr">
        <is>
          <t>+91 9920264452</t>
        </is>
      </c>
      <c r="H37" t="inlineStr">
        <is>
          <t>Round1</t>
        </is>
      </c>
      <c r="I37" t="inlineStr">
        <is>
          <t>&lt;calendly_link&gt;</t>
        </is>
      </c>
      <c r="J37" s="37" t="n">
        <v>44867.82708333333</v>
      </c>
      <c r="K37" t="inlineStr">
        <is>
          <t>Yes</t>
        </is>
      </c>
    </row>
    <row r="38">
      <c r="A38" t="inlineStr">
        <is>
          <t>REQ-0037</t>
        </is>
      </c>
      <c r="B38" t="inlineStr">
        <is>
          <t>Google</t>
        </is>
      </c>
      <c r="C38" t="inlineStr">
        <is>
          <t>Sundar Pichai</t>
        </is>
      </c>
      <c r="D38" t="inlineStr">
        <is>
          <t>sundar@google.com</t>
        </is>
      </c>
      <c r="E38" t="inlineStr">
        <is>
          <t>Chetan</t>
        </is>
      </c>
      <c r="F38" t="inlineStr">
        <is>
          <t>chetan@weekday.works</t>
        </is>
      </c>
      <c r="G38" s="36" t="inlineStr">
        <is>
          <t>+91 9920264452</t>
        </is>
      </c>
      <c r="H38" t="inlineStr">
        <is>
          <t>Round2</t>
        </is>
      </c>
      <c r="I38" t="inlineStr">
        <is>
          <t>&lt;calendly_link&gt;</t>
        </is>
      </c>
      <c r="J38" s="37" t="n">
        <v>44867.82708333333</v>
      </c>
      <c r="K38" t="inlineStr">
        <is>
          <t>Yes</t>
        </is>
      </c>
    </row>
    <row r="39">
      <c r="A39" t="inlineStr">
        <is>
          <t>REQ-0038</t>
        </is>
      </c>
      <c r="B39" t="inlineStr">
        <is>
          <t>Google</t>
        </is>
      </c>
      <c r="C39" t="inlineStr">
        <is>
          <t>Sundar Pichai</t>
        </is>
      </c>
      <c r="D39" t="inlineStr">
        <is>
          <t>sundar@google.com</t>
        </is>
      </c>
      <c r="E39" t="inlineStr">
        <is>
          <t>Chetan</t>
        </is>
      </c>
      <c r="F39" t="inlineStr">
        <is>
          <t>chetan@weekday.works</t>
        </is>
      </c>
      <c r="G39" s="36" t="inlineStr">
        <is>
          <t>+91 9920264452</t>
        </is>
      </c>
      <c r="H39" t="inlineStr">
        <is>
          <t>Round1</t>
        </is>
      </c>
      <c r="I39" t="inlineStr">
        <is>
          <t>&lt;calendly_link&gt;</t>
        </is>
      </c>
      <c r="J39" s="37" t="n">
        <v>44867.82708333333</v>
      </c>
      <c r="K39" t="inlineStr">
        <is>
          <t>Yes</t>
        </is>
      </c>
    </row>
    <row r="40">
      <c r="A40" t="inlineStr">
        <is>
          <t>REQ-0039</t>
        </is>
      </c>
      <c r="B40" t="inlineStr">
        <is>
          <t>Google</t>
        </is>
      </c>
      <c r="C40" t="inlineStr">
        <is>
          <t>Sundar Pichai</t>
        </is>
      </c>
      <c r="D40" t="inlineStr">
        <is>
          <t>sundar@google.com</t>
        </is>
      </c>
      <c r="E40" t="inlineStr">
        <is>
          <t>Chetan</t>
        </is>
      </c>
      <c r="F40" t="inlineStr">
        <is>
          <t>chetan@weekday.works</t>
        </is>
      </c>
      <c r="G40" s="36" t="inlineStr">
        <is>
          <t>+91 9920264452</t>
        </is>
      </c>
      <c r="H40" t="inlineStr">
        <is>
          <t>Round1</t>
        </is>
      </c>
      <c r="I40" t="inlineStr">
        <is>
          <t>&lt;calendly_link&gt;</t>
        </is>
      </c>
      <c r="J40" s="37" t="n">
        <v>44867.82708333333</v>
      </c>
      <c r="K40" t="inlineStr">
        <is>
          <t>Yes</t>
        </is>
      </c>
    </row>
    <row r="41">
      <c r="A41" t="inlineStr">
        <is>
          <t>REQ-0040</t>
        </is>
      </c>
      <c r="B41" t="inlineStr">
        <is>
          <t>Google</t>
        </is>
      </c>
      <c r="C41" t="inlineStr">
        <is>
          <t>Sundar Pichai</t>
        </is>
      </c>
      <c r="D41" t="inlineStr">
        <is>
          <t>sundar@google.com</t>
        </is>
      </c>
      <c r="E41" t="inlineStr">
        <is>
          <t>Chetan</t>
        </is>
      </c>
      <c r="F41" t="inlineStr">
        <is>
          <t>chetan@weekday.works</t>
        </is>
      </c>
      <c r="G41" s="36" t="inlineStr">
        <is>
          <t>+91 9920264452</t>
        </is>
      </c>
      <c r="H41" t="inlineStr">
        <is>
          <t>Round1</t>
        </is>
      </c>
      <c r="I41" t="inlineStr">
        <is>
          <t>&lt;calendly_link&gt;</t>
        </is>
      </c>
      <c r="J41" s="37" t="n">
        <v>44867.82708333333</v>
      </c>
      <c r="K41" t="inlineStr">
        <is>
          <t>Yes</t>
        </is>
      </c>
    </row>
    <row r="42">
      <c r="A42" t="inlineStr">
        <is>
          <t>REQ-0041</t>
        </is>
      </c>
      <c r="B42" t="inlineStr">
        <is>
          <t>Google</t>
        </is>
      </c>
      <c r="C42" t="inlineStr">
        <is>
          <t>Sundar Pichai</t>
        </is>
      </c>
      <c r="D42" t="inlineStr">
        <is>
          <t>sundar@google.com</t>
        </is>
      </c>
      <c r="E42" t="inlineStr">
        <is>
          <t>Chetan</t>
        </is>
      </c>
      <c r="F42" t="inlineStr">
        <is>
          <t>chetan@weekday.works</t>
        </is>
      </c>
      <c r="G42" s="36" t="inlineStr">
        <is>
          <t>+91 9920264452</t>
        </is>
      </c>
      <c r="H42" t="inlineStr">
        <is>
          <t>Round1</t>
        </is>
      </c>
      <c r="I42" t="inlineStr">
        <is>
          <t>&lt;calendly_link&gt;</t>
        </is>
      </c>
      <c r="J42" s="37" t="n">
        <v>44867.82708333333</v>
      </c>
      <c r="K42" t="inlineStr">
        <is>
          <t>Yes</t>
        </is>
      </c>
    </row>
    <row r="43">
      <c r="A43" t="inlineStr">
        <is>
          <t>REQ-0042</t>
        </is>
      </c>
      <c r="B43" t="inlineStr">
        <is>
          <t>Google</t>
        </is>
      </c>
      <c r="C43" t="inlineStr">
        <is>
          <t>Sundar Pichai</t>
        </is>
      </c>
      <c r="D43" t="inlineStr">
        <is>
          <t>sundar@google.com</t>
        </is>
      </c>
      <c r="E43" t="inlineStr">
        <is>
          <t>Chetan</t>
        </is>
      </c>
      <c r="F43" t="inlineStr">
        <is>
          <t>chetan@weekday.works</t>
        </is>
      </c>
      <c r="G43" s="36" t="inlineStr">
        <is>
          <t>+91 9920264452</t>
        </is>
      </c>
      <c r="H43" t="inlineStr">
        <is>
          <t>Round1</t>
        </is>
      </c>
      <c r="I43" t="inlineStr">
        <is>
          <t>&lt;calendly_link&gt;</t>
        </is>
      </c>
      <c r="J43" s="37" t="n">
        <v>44867.82708333333</v>
      </c>
      <c r="K43" t="inlineStr">
        <is>
          <t>Yes</t>
        </is>
      </c>
    </row>
    <row r="44">
      <c r="A44" t="inlineStr">
        <is>
          <t>REQ-0043</t>
        </is>
      </c>
      <c r="B44" t="inlineStr">
        <is>
          <t>Google</t>
        </is>
      </c>
      <c r="C44" t="inlineStr">
        <is>
          <t>Sundar Pichai</t>
        </is>
      </c>
      <c r="D44" t="inlineStr">
        <is>
          <t>sundar@google.com</t>
        </is>
      </c>
      <c r="E44" t="inlineStr">
        <is>
          <t>Chetan</t>
        </is>
      </c>
      <c r="F44" t="inlineStr">
        <is>
          <t>chetan@weekday.works</t>
        </is>
      </c>
      <c r="G44" s="36" t="inlineStr">
        <is>
          <t>+91 9920264452</t>
        </is>
      </c>
      <c r="H44" t="inlineStr">
        <is>
          <t>Round1</t>
        </is>
      </c>
      <c r="I44" t="inlineStr">
        <is>
          <t>&lt;calendly_link&gt;</t>
        </is>
      </c>
      <c r="J44" s="37" t="n">
        <v>44867.82708333333</v>
      </c>
      <c r="K44" t="inlineStr">
        <is>
          <t>Yes</t>
        </is>
      </c>
    </row>
    <row r="45">
      <c r="A45" t="inlineStr">
        <is>
          <t>REQ-0044</t>
        </is>
      </c>
      <c r="B45" t="inlineStr">
        <is>
          <t>Google</t>
        </is>
      </c>
      <c r="C45" t="inlineStr">
        <is>
          <t>Sundar Pichai</t>
        </is>
      </c>
      <c r="D45" t="inlineStr">
        <is>
          <t>sundar@google.com</t>
        </is>
      </c>
      <c r="E45" t="inlineStr">
        <is>
          <t>Chetan</t>
        </is>
      </c>
      <c r="F45" t="inlineStr">
        <is>
          <t>chetan@weekday.works</t>
        </is>
      </c>
      <c r="G45" s="36" t="inlineStr">
        <is>
          <t>+91 9920264452</t>
        </is>
      </c>
      <c r="H45" t="inlineStr">
        <is>
          <t>Round1</t>
        </is>
      </c>
      <c r="I45" t="inlineStr">
        <is>
          <t>&lt;calendly_link&gt;</t>
        </is>
      </c>
      <c r="J45" s="37" t="n">
        <v>44867.82708333333</v>
      </c>
      <c r="K45" t="inlineStr">
        <is>
          <t>Yes</t>
        </is>
      </c>
    </row>
    <row r="46">
      <c r="A46" t="inlineStr">
        <is>
          <t>REQ-0045</t>
        </is>
      </c>
      <c r="B46" t="inlineStr">
        <is>
          <t>Google</t>
        </is>
      </c>
      <c r="C46" t="inlineStr">
        <is>
          <t>Sundar Pichai</t>
        </is>
      </c>
      <c r="D46" t="inlineStr">
        <is>
          <t>sundar@google.com</t>
        </is>
      </c>
      <c r="E46" t="inlineStr">
        <is>
          <t>Chetan</t>
        </is>
      </c>
      <c r="F46" t="inlineStr">
        <is>
          <t>chetan@weekday.works</t>
        </is>
      </c>
      <c r="G46" s="36" t="inlineStr">
        <is>
          <t>+91 9920264452</t>
        </is>
      </c>
      <c r="H46" t="inlineStr">
        <is>
          <t>Round1</t>
        </is>
      </c>
      <c r="I46" t="inlineStr">
        <is>
          <t>&lt;calendly_link&gt;</t>
        </is>
      </c>
      <c r="J46" s="37" t="n">
        <v>44867.82708333333</v>
      </c>
      <c r="K46" t="inlineStr">
        <is>
          <t>Yes</t>
        </is>
      </c>
    </row>
    <row r="47">
      <c r="A47" t="inlineStr">
        <is>
          <t>REQ-0046</t>
        </is>
      </c>
      <c r="B47" t="inlineStr">
        <is>
          <t>Google</t>
        </is>
      </c>
      <c r="C47" t="inlineStr">
        <is>
          <t>Sundar Pichai</t>
        </is>
      </c>
      <c r="D47" t="inlineStr">
        <is>
          <t>sundar@google.com</t>
        </is>
      </c>
      <c r="E47" t="inlineStr">
        <is>
          <t>Chetan</t>
        </is>
      </c>
      <c r="F47" t="inlineStr">
        <is>
          <t>chetan@weekday.works</t>
        </is>
      </c>
      <c r="G47" s="36" t="inlineStr">
        <is>
          <t>+91 9920264452</t>
        </is>
      </c>
      <c r="H47" t="inlineStr">
        <is>
          <t>Round1</t>
        </is>
      </c>
      <c r="I47" t="inlineStr">
        <is>
          <t>&lt;calendly_link&gt;</t>
        </is>
      </c>
      <c r="J47" s="37" t="n">
        <v>44867.82708333333</v>
      </c>
      <c r="K47" t="inlineStr">
        <is>
          <t>Yes</t>
        </is>
      </c>
    </row>
    <row r="48">
      <c r="A48" t="inlineStr">
        <is>
          <t>REQ-0047</t>
        </is>
      </c>
      <c r="B48" t="inlineStr">
        <is>
          <t>Google</t>
        </is>
      </c>
      <c r="C48" t="inlineStr">
        <is>
          <t>Sundar Pichai</t>
        </is>
      </c>
      <c r="D48" t="inlineStr">
        <is>
          <t>sundar@google.com</t>
        </is>
      </c>
      <c r="E48" t="inlineStr">
        <is>
          <t>Chetan</t>
        </is>
      </c>
      <c r="F48" t="inlineStr">
        <is>
          <t>chetan@weekday.works</t>
        </is>
      </c>
      <c r="G48" s="36" t="inlineStr">
        <is>
          <t>+91 9920264452</t>
        </is>
      </c>
      <c r="H48" t="inlineStr">
        <is>
          <t>Round1</t>
        </is>
      </c>
      <c r="I48" t="inlineStr">
        <is>
          <t>&lt;calendly_link&gt;</t>
        </is>
      </c>
      <c r="J48" s="37" t="n">
        <v>44867.82708333333</v>
      </c>
      <c r="K48" t="inlineStr">
        <is>
          <t>Yes</t>
        </is>
      </c>
    </row>
    <row r="49">
      <c r="A49" t="inlineStr">
        <is>
          <t>REQ-0048</t>
        </is>
      </c>
      <c r="B49" t="inlineStr">
        <is>
          <t>Google</t>
        </is>
      </c>
      <c r="C49" t="inlineStr">
        <is>
          <t>Sundar Pichai</t>
        </is>
      </c>
      <c r="D49" t="inlineStr">
        <is>
          <t>sundar@google.com</t>
        </is>
      </c>
      <c r="E49" t="inlineStr">
        <is>
          <t>Chetan</t>
        </is>
      </c>
      <c r="F49" t="inlineStr">
        <is>
          <t>chetan@weekday.works</t>
        </is>
      </c>
      <c r="G49" s="36" t="inlineStr">
        <is>
          <t>+91 9920264452</t>
        </is>
      </c>
      <c r="H49" t="inlineStr">
        <is>
          <t>Round1</t>
        </is>
      </c>
      <c r="I49" t="inlineStr">
        <is>
          <t>&lt;calendly_link&gt;</t>
        </is>
      </c>
      <c r="J49" s="37" t="n">
        <v>44867.82708333333</v>
      </c>
      <c r="K49" t="inlineStr">
        <is>
          <t>Yes</t>
        </is>
      </c>
    </row>
    <row r="50">
      <c r="A50" t="inlineStr">
        <is>
          <t>REQ-0049</t>
        </is>
      </c>
      <c r="B50" t="inlineStr">
        <is>
          <t>Google</t>
        </is>
      </c>
      <c r="C50" t="inlineStr">
        <is>
          <t>Sundar Pichai</t>
        </is>
      </c>
      <c r="D50" t="inlineStr">
        <is>
          <t>sundar@google.com</t>
        </is>
      </c>
      <c r="E50" t="inlineStr">
        <is>
          <t>Chetan</t>
        </is>
      </c>
      <c r="F50" t="inlineStr">
        <is>
          <t>chetan@weekday.works</t>
        </is>
      </c>
      <c r="G50" s="36" t="inlineStr">
        <is>
          <t>+91 9920264452</t>
        </is>
      </c>
      <c r="H50" t="inlineStr">
        <is>
          <t>Round1</t>
        </is>
      </c>
      <c r="I50" t="inlineStr">
        <is>
          <t>&lt;calendly_link&gt;</t>
        </is>
      </c>
      <c r="J50" s="37" t="n">
        <v>44867.82708333333</v>
      </c>
      <c r="K50" t="inlineStr">
        <is>
          <t>Yes</t>
        </is>
      </c>
    </row>
    <row r="51">
      <c r="A51" t="inlineStr">
        <is>
          <t>REQ-0050</t>
        </is>
      </c>
      <c r="B51" t="inlineStr">
        <is>
          <t>Google</t>
        </is>
      </c>
      <c r="C51" t="inlineStr">
        <is>
          <t>Sundar Pichai</t>
        </is>
      </c>
      <c r="D51" t="inlineStr">
        <is>
          <t>sundar@google.com</t>
        </is>
      </c>
      <c r="E51" t="inlineStr">
        <is>
          <t>Chetan</t>
        </is>
      </c>
      <c r="F51" t="inlineStr">
        <is>
          <t>chetan@weekday.works</t>
        </is>
      </c>
      <c r="G51" s="36" t="inlineStr">
        <is>
          <t>+91 9920264452</t>
        </is>
      </c>
      <c r="H51" t="inlineStr">
        <is>
          <t>Round1</t>
        </is>
      </c>
      <c r="I51" t="inlineStr">
        <is>
          <t>&lt;calendly_link&gt;</t>
        </is>
      </c>
      <c r="J51" s="37" t="n">
        <v>44867.82708333333</v>
      </c>
      <c r="K51" t="inlineStr">
        <is>
          <t>Yes</t>
        </is>
      </c>
    </row>
    <row r="52">
      <c r="A52" t="inlineStr">
        <is>
          <t>REQ-0051</t>
        </is>
      </c>
      <c r="B52" t="inlineStr">
        <is>
          <t>Google</t>
        </is>
      </c>
      <c r="C52" t="inlineStr">
        <is>
          <t>Sundar Pichai</t>
        </is>
      </c>
      <c r="D52" t="inlineStr">
        <is>
          <t>sundar@google.com</t>
        </is>
      </c>
      <c r="E52" t="inlineStr">
        <is>
          <t>Chetan</t>
        </is>
      </c>
      <c r="F52" t="inlineStr">
        <is>
          <t>chetan@weekday.works</t>
        </is>
      </c>
      <c r="G52" s="36" t="inlineStr">
        <is>
          <t>+91 9920264452</t>
        </is>
      </c>
      <c r="H52" t="inlineStr">
        <is>
          <t>Round1</t>
        </is>
      </c>
      <c r="I52" t="inlineStr">
        <is>
          <t>&lt;calendly_link&gt;</t>
        </is>
      </c>
      <c r="J52" s="37" t="n">
        <v>44867.82708333333</v>
      </c>
      <c r="K52" t="inlineStr">
        <is>
          <t>Yes</t>
        </is>
      </c>
    </row>
    <row r="53">
      <c r="A53" t="inlineStr">
        <is>
          <t>REQ-0052</t>
        </is>
      </c>
      <c r="B53" t="inlineStr">
        <is>
          <t>Google</t>
        </is>
      </c>
      <c r="C53" t="inlineStr">
        <is>
          <t>Sundar Pichai</t>
        </is>
      </c>
      <c r="D53" t="inlineStr">
        <is>
          <t>sundar@google.com</t>
        </is>
      </c>
      <c r="E53" t="inlineStr">
        <is>
          <t>Chetan</t>
        </is>
      </c>
      <c r="F53" t="inlineStr">
        <is>
          <t>chetan@weekday.works</t>
        </is>
      </c>
      <c r="G53" s="36" t="inlineStr">
        <is>
          <t>+91 9920264452</t>
        </is>
      </c>
      <c r="H53" t="inlineStr">
        <is>
          <t>Round1</t>
        </is>
      </c>
      <c r="I53" t="inlineStr">
        <is>
          <t>&lt;calendly_link&gt;</t>
        </is>
      </c>
      <c r="J53" s="37" t="n">
        <v>44867.82708333333</v>
      </c>
      <c r="K53" t="inlineStr">
        <is>
          <t>Yes</t>
        </is>
      </c>
    </row>
    <row r="54">
      <c r="A54" t="inlineStr">
        <is>
          <t>REQ-0053</t>
        </is>
      </c>
      <c r="B54" t="inlineStr">
        <is>
          <t>Google</t>
        </is>
      </c>
      <c r="C54" t="inlineStr">
        <is>
          <t>Sundar Pichai</t>
        </is>
      </c>
      <c r="D54" t="inlineStr">
        <is>
          <t>sundar@google.com</t>
        </is>
      </c>
      <c r="E54" t="inlineStr">
        <is>
          <t>Chetan</t>
        </is>
      </c>
      <c r="F54" t="inlineStr">
        <is>
          <t>chetan@weekday.works</t>
        </is>
      </c>
      <c r="G54" s="36" t="inlineStr">
        <is>
          <t>+91 9920264452</t>
        </is>
      </c>
      <c r="H54" t="inlineStr">
        <is>
          <t>Round1</t>
        </is>
      </c>
      <c r="I54" t="inlineStr">
        <is>
          <t>&lt;calendly_link&gt;</t>
        </is>
      </c>
      <c r="J54" s="37" t="n">
        <v>44867.82708333333</v>
      </c>
      <c r="K54" t="inlineStr">
        <is>
          <t>Yes</t>
        </is>
      </c>
    </row>
    <row r="55">
      <c r="A55" t="inlineStr">
        <is>
          <t>REQ-0054</t>
        </is>
      </c>
      <c r="B55" t="inlineStr">
        <is>
          <t>Google</t>
        </is>
      </c>
      <c r="C55" t="inlineStr">
        <is>
          <t>Sundar Pichai</t>
        </is>
      </c>
      <c r="D55" t="inlineStr">
        <is>
          <t>sundar@google.com</t>
        </is>
      </c>
      <c r="E55" t="inlineStr">
        <is>
          <t>Chetan</t>
        </is>
      </c>
      <c r="F55" t="inlineStr">
        <is>
          <t>chetan@weekday.works</t>
        </is>
      </c>
      <c r="G55" s="36" t="inlineStr">
        <is>
          <t>+91 9920264452</t>
        </is>
      </c>
      <c r="H55" t="inlineStr">
        <is>
          <t>Round1</t>
        </is>
      </c>
      <c r="I55" t="inlineStr">
        <is>
          <t>&lt;calendly_link&gt;</t>
        </is>
      </c>
      <c r="J55" s="37" t="n">
        <v>44867.82708333333</v>
      </c>
      <c r="K55" t="inlineStr">
        <is>
          <t>Yes</t>
        </is>
      </c>
    </row>
    <row r="56">
      <c r="A56" t="inlineStr">
        <is>
          <t>REQ-0055</t>
        </is>
      </c>
      <c r="B56" t="inlineStr">
        <is>
          <t>Google</t>
        </is>
      </c>
      <c r="C56" t="inlineStr">
        <is>
          <t>Sundar Pichai</t>
        </is>
      </c>
      <c r="D56" t="inlineStr">
        <is>
          <t>sundar@google.com</t>
        </is>
      </c>
      <c r="E56" t="inlineStr">
        <is>
          <t>Chetan</t>
        </is>
      </c>
      <c r="F56" t="inlineStr">
        <is>
          <t>chetan@weekday.works</t>
        </is>
      </c>
      <c r="G56" s="36" t="inlineStr">
        <is>
          <t>+91 9920264452</t>
        </is>
      </c>
      <c r="H56" t="inlineStr">
        <is>
          <t>Round1</t>
        </is>
      </c>
      <c r="I56" t="inlineStr">
        <is>
          <t>&lt;calendly_link&gt;</t>
        </is>
      </c>
      <c r="J56" s="37" t="n">
        <v>44867.82708333333</v>
      </c>
      <c r="K56" t="inlineStr">
        <is>
          <t>Yes</t>
        </is>
      </c>
    </row>
    <row r="57">
      <c r="A57" t="inlineStr">
        <is>
          <t>REQ-0056</t>
        </is>
      </c>
      <c r="B57" t="inlineStr">
        <is>
          <t>Google</t>
        </is>
      </c>
      <c r="C57" t="inlineStr">
        <is>
          <t>Sundar Pichai</t>
        </is>
      </c>
      <c r="D57" t="inlineStr">
        <is>
          <t>sundar@google.com</t>
        </is>
      </c>
      <c r="E57" t="inlineStr">
        <is>
          <t>Chetan</t>
        </is>
      </c>
      <c r="F57" t="inlineStr">
        <is>
          <t>chetan@weekday.works</t>
        </is>
      </c>
      <c r="G57" s="36" t="inlineStr">
        <is>
          <t>+91 9920264452</t>
        </is>
      </c>
      <c r="H57" t="inlineStr">
        <is>
          <t>Round1</t>
        </is>
      </c>
      <c r="I57" t="inlineStr">
        <is>
          <t>&lt;calendly_link&gt;</t>
        </is>
      </c>
      <c r="J57" s="37" t="n">
        <v>44867.82708333333</v>
      </c>
      <c r="K57" t="inlineStr">
        <is>
          <t>Yes</t>
        </is>
      </c>
    </row>
    <row r="58">
      <c r="A58" t="inlineStr">
        <is>
          <t>REQ-0057</t>
        </is>
      </c>
      <c r="B58" t="inlineStr">
        <is>
          <t>Google</t>
        </is>
      </c>
      <c r="C58" t="inlineStr">
        <is>
          <t>Sundar Pichai</t>
        </is>
      </c>
      <c r="D58" t="inlineStr">
        <is>
          <t>sundar@google.com</t>
        </is>
      </c>
      <c r="E58" t="inlineStr">
        <is>
          <t>Chetan</t>
        </is>
      </c>
      <c r="F58" t="inlineStr">
        <is>
          <t>chetan@weekday.works</t>
        </is>
      </c>
      <c r="G58" s="36" t="inlineStr">
        <is>
          <t>+91 9920264452</t>
        </is>
      </c>
      <c r="H58" t="inlineStr">
        <is>
          <t>Round1</t>
        </is>
      </c>
      <c r="I58" t="inlineStr">
        <is>
          <t>&lt;calendly_link&gt;</t>
        </is>
      </c>
      <c r="J58" s="37" t="n">
        <v>44867.82708333333</v>
      </c>
      <c r="K58" t="inlineStr">
        <is>
          <t>Yes</t>
        </is>
      </c>
    </row>
    <row r="59">
      <c r="A59" t="inlineStr">
        <is>
          <t>REQ-0058</t>
        </is>
      </c>
      <c r="B59" t="inlineStr">
        <is>
          <t>Google</t>
        </is>
      </c>
      <c r="C59" t="inlineStr">
        <is>
          <t>Sundar Pichai</t>
        </is>
      </c>
      <c r="D59" t="inlineStr">
        <is>
          <t>sundar@google.com</t>
        </is>
      </c>
      <c r="E59" t="inlineStr">
        <is>
          <t>Chetan</t>
        </is>
      </c>
      <c r="F59" t="inlineStr">
        <is>
          <t>chetan@weekday.works</t>
        </is>
      </c>
      <c r="G59" s="36" t="inlineStr">
        <is>
          <t>+91 9920264452</t>
        </is>
      </c>
      <c r="H59" t="inlineStr">
        <is>
          <t>Round1</t>
        </is>
      </c>
      <c r="I59" t="inlineStr">
        <is>
          <t>&lt;calendly_link&gt;</t>
        </is>
      </c>
      <c r="J59" s="37" t="n">
        <v>44867.82708333333</v>
      </c>
      <c r="K59" t="inlineStr">
        <is>
          <t>Yes</t>
        </is>
      </c>
    </row>
    <row r="60">
      <c r="A60" t="inlineStr">
        <is>
          <t>REQ-0059</t>
        </is>
      </c>
      <c r="B60" t="inlineStr">
        <is>
          <t>Google</t>
        </is>
      </c>
      <c r="C60" t="inlineStr">
        <is>
          <t>Sundar Pichai</t>
        </is>
      </c>
      <c r="D60" t="inlineStr">
        <is>
          <t>sundar@google.com</t>
        </is>
      </c>
      <c r="E60" t="inlineStr">
        <is>
          <t>Chetan</t>
        </is>
      </c>
      <c r="F60" t="inlineStr">
        <is>
          <t>chetan@weekday.works</t>
        </is>
      </c>
      <c r="G60" s="36" t="inlineStr">
        <is>
          <t>+91 9920264452</t>
        </is>
      </c>
      <c r="H60" t="inlineStr">
        <is>
          <t>Round1</t>
        </is>
      </c>
      <c r="I60" t="inlineStr">
        <is>
          <t>&lt;calendly_link&gt;</t>
        </is>
      </c>
      <c r="J60" s="37" t="n">
        <v>44867.82708333333</v>
      </c>
      <c r="K60" t="inlineStr">
        <is>
          <t>Yes</t>
        </is>
      </c>
    </row>
    <row r="61">
      <c r="A61" t="inlineStr">
        <is>
          <t>REQ-0060</t>
        </is>
      </c>
      <c r="B61" t="inlineStr">
        <is>
          <t>Google</t>
        </is>
      </c>
      <c r="C61" t="inlineStr">
        <is>
          <t>Sundar Pichai</t>
        </is>
      </c>
      <c r="D61" t="inlineStr">
        <is>
          <t>sundar@google.com</t>
        </is>
      </c>
      <c r="E61" t="inlineStr">
        <is>
          <t>Chetan</t>
        </is>
      </c>
      <c r="F61" t="inlineStr">
        <is>
          <t>chetan@weekday.works</t>
        </is>
      </c>
      <c r="G61" s="36" t="inlineStr">
        <is>
          <t>+91 9920264452</t>
        </is>
      </c>
      <c r="H61" t="inlineStr">
        <is>
          <t>Round1</t>
        </is>
      </c>
      <c r="I61" t="inlineStr">
        <is>
          <t>&lt;calendly_link&gt;</t>
        </is>
      </c>
      <c r="J61" s="37" t="n">
        <v>44867.82708333333</v>
      </c>
      <c r="K61" t="inlineStr">
        <is>
          <t>Yes</t>
        </is>
      </c>
    </row>
    <row r="62">
      <c r="A62" t="inlineStr">
        <is>
          <t>REQ-0061</t>
        </is>
      </c>
      <c r="B62" t="inlineStr">
        <is>
          <t>Google</t>
        </is>
      </c>
      <c r="C62" t="inlineStr">
        <is>
          <t>Sundar Pichai</t>
        </is>
      </c>
      <c r="D62" t="inlineStr">
        <is>
          <t>sundar@google.com</t>
        </is>
      </c>
      <c r="E62" t="inlineStr">
        <is>
          <t>Chetan</t>
        </is>
      </c>
      <c r="F62" t="inlineStr">
        <is>
          <t>chetan@weekday.works</t>
        </is>
      </c>
      <c r="G62" s="36" t="inlineStr">
        <is>
          <t>+91 9920264452</t>
        </is>
      </c>
      <c r="H62" t="inlineStr">
        <is>
          <t>Round1</t>
        </is>
      </c>
      <c r="I62" t="inlineStr">
        <is>
          <t>&lt;calendly_link&gt;</t>
        </is>
      </c>
      <c r="J62" s="37" t="n">
        <v>44867.82708333333</v>
      </c>
      <c r="K62" t="inlineStr">
        <is>
          <t>Yes</t>
        </is>
      </c>
    </row>
    <row r="63">
      <c r="A63" t="inlineStr">
        <is>
          <t>REQ-0062</t>
        </is>
      </c>
      <c r="B63" t="inlineStr">
        <is>
          <t>Google</t>
        </is>
      </c>
      <c r="C63" t="inlineStr">
        <is>
          <t>Sundar Pichai</t>
        </is>
      </c>
      <c r="D63" t="inlineStr">
        <is>
          <t>sundar@google.com</t>
        </is>
      </c>
      <c r="E63" t="inlineStr">
        <is>
          <t>Chetan</t>
        </is>
      </c>
      <c r="F63" t="inlineStr">
        <is>
          <t>chetan@weekday.works</t>
        </is>
      </c>
      <c r="G63" s="36" t="inlineStr">
        <is>
          <t>+91 9920264452</t>
        </is>
      </c>
      <c r="H63" t="inlineStr">
        <is>
          <t>Round1</t>
        </is>
      </c>
      <c r="I63" t="inlineStr">
        <is>
          <t>&lt;calendly_link&gt;</t>
        </is>
      </c>
      <c r="J63" s="37" t="n">
        <v>44867.82708333333</v>
      </c>
      <c r="K63" t="inlineStr">
        <is>
          <t>Yes</t>
        </is>
      </c>
    </row>
    <row r="64">
      <c r="A64" t="inlineStr">
        <is>
          <t>REQ-0063</t>
        </is>
      </c>
      <c r="B64" t="inlineStr">
        <is>
          <t>Google</t>
        </is>
      </c>
      <c r="C64" t="inlineStr">
        <is>
          <t>Sundar Pichai</t>
        </is>
      </c>
      <c r="D64" t="inlineStr">
        <is>
          <t>sundar@google.com</t>
        </is>
      </c>
      <c r="E64" t="inlineStr">
        <is>
          <t>Chetan</t>
        </is>
      </c>
      <c r="F64" t="inlineStr">
        <is>
          <t>chetan@weekday.works</t>
        </is>
      </c>
      <c r="G64" s="36" t="inlineStr">
        <is>
          <t>+91 9920264452</t>
        </is>
      </c>
      <c r="H64" t="inlineStr">
        <is>
          <t>Round1</t>
        </is>
      </c>
      <c r="I64" t="inlineStr">
        <is>
          <t>&lt;calendly_link&gt;</t>
        </is>
      </c>
      <c r="J64" s="37" t="n">
        <v>44867.82708333333</v>
      </c>
      <c r="K64" t="inlineStr">
        <is>
          <t>Yes</t>
        </is>
      </c>
    </row>
    <row r="65">
      <c r="A65" t="inlineStr">
        <is>
          <t>REQ-0064</t>
        </is>
      </c>
      <c r="B65" t="inlineStr">
        <is>
          <t>Google</t>
        </is>
      </c>
      <c r="C65" t="inlineStr">
        <is>
          <t>Sundar Pichai</t>
        </is>
      </c>
      <c r="D65" t="inlineStr">
        <is>
          <t>sundar@google.com</t>
        </is>
      </c>
      <c r="E65" t="inlineStr">
        <is>
          <t>Chetan</t>
        </is>
      </c>
      <c r="F65" t="inlineStr">
        <is>
          <t>chetan@weekday.works</t>
        </is>
      </c>
      <c r="G65" s="36" t="inlineStr">
        <is>
          <t>+91 9920264452</t>
        </is>
      </c>
      <c r="H65" t="inlineStr">
        <is>
          <t>Round1</t>
        </is>
      </c>
      <c r="I65" t="inlineStr">
        <is>
          <t>&lt;calendly_link&gt;</t>
        </is>
      </c>
      <c r="J65" s="37" t="n">
        <v>44867.82708333333</v>
      </c>
      <c r="K65" t="inlineStr">
        <is>
          <t>Yes</t>
        </is>
      </c>
    </row>
    <row r="66">
      <c r="A66" t="inlineStr">
        <is>
          <t>REQ-0065</t>
        </is>
      </c>
      <c r="B66" t="inlineStr">
        <is>
          <t>Google</t>
        </is>
      </c>
      <c r="C66" t="inlineStr">
        <is>
          <t>Sundar Pichai</t>
        </is>
      </c>
      <c r="D66" t="inlineStr">
        <is>
          <t>sundar@google.com</t>
        </is>
      </c>
      <c r="E66" t="inlineStr">
        <is>
          <t>Chetan</t>
        </is>
      </c>
      <c r="F66" t="inlineStr">
        <is>
          <t>chetan@weekday.works</t>
        </is>
      </c>
      <c r="G66" s="36" t="inlineStr">
        <is>
          <t>+91 9920264452</t>
        </is>
      </c>
      <c r="H66" t="inlineStr">
        <is>
          <t>Round1</t>
        </is>
      </c>
      <c r="I66" t="inlineStr">
        <is>
          <t>&lt;calendly_link&gt;</t>
        </is>
      </c>
      <c r="J66" s="37" t="n">
        <v>44867.82708333333</v>
      </c>
      <c r="K66" t="inlineStr">
        <is>
          <t>Yes</t>
        </is>
      </c>
    </row>
    <row r="67">
      <c r="A67" t="inlineStr">
        <is>
          <t>REQ-0066</t>
        </is>
      </c>
      <c r="B67" t="inlineStr">
        <is>
          <t>Google</t>
        </is>
      </c>
      <c r="C67" t="inlineStr">
        <is>
          <t>Sundar Pichai</t>
        </is>
      </c>
      <c r="D67" t="inlineStr">
        <is>
          <t>sundar@google.com</t>
        </is>
      </c>
      <c r="E67" t="inlineStr">
        <is>
          <t>Chetan</t>
        </is>
      </c>
      <c r="F67" t="inlineStr">
        <is>
          <t>chetan@weekday.works</t>
        </is>
      </c>
      <c r="G67" s="36" t="inlineStr">
        <is>
          <t>+91 9920264452</t>
        </is>
      </c>
      <c r="H67" t="inlineStr">
        <is>
          <t>Round1</t>
        </is>
      </c>
      <c r="I67" t="inlineStr">
        <is>
          <t>&lt;calendly_link&gt;</t>
        </is>
      </c>
      <c r="J67" s="37" t="n">
        <v>44867.82708333333</v>
      </c>
      <c r="K67" t="inlineStr">
        <is>
          <t>Yes</t>
        </is>
      </c>
    </row>
    <row r="68">
      <c r="A68" t="inlineStr">
        <is>
          <t>REQ-0067</t>
        </is>
      </c>
      <c r="B68" t="inlineStr">
        <is>
          <t>Google</t>
        </is>
      </c>
      <c r="C68" t="inlineStr">
        <is>
          <t>Sundar Pichai</t>
        </is>
      </c>
      <c r="D68" t="inlineStr">
        <is>
          <t>sundar@google.com</t>
        </is>
      </c>
      <c r="E68" t="inlineStr">
        <is>
          <t>Chetan</t>
        </is>
      </c>
      <c r="F68" t="inlineStr">
        <is>
          <t>chetan@weekday.works</t>
        </is>
      </c>
      <c r="G68" s="36" t="inlineStr">
        <is>
          <t>+91 9920264452</t>
        </is>
      </c>
      <c r="H68" t="inlineStr">
        <is>
          <t>Round1</t>
        </is>
      </c>
      <c r="I68" t="inlineStr">
        <is>
          <t>&lt;calendly_link&gt;</t>
        </is>
      </c>
      <c r="J68" s="37" t="n">
        <v>44867.82708333333</v>
      </c>
      <c r="K68" t="inlineStr">
        <is>
          <t>Yes</t>
        </is>
      </c>
    </row>
    <row r="69">
      <c r="A69" t="inlineStr">
        <is>
          <t>REQ-0068</t>
        </is>
      </c>
      <c r="B69" t="inlineStr">
        <is>
          <t>Google</t>
        </is>
      </c>
      <c r="C69" t="inlineStr">
        <is>
          <t>Sundar Pichai</t>
        </is>
      </c>
      <c r="D69" t="inlineStr">
        <is>
          <t>sundar@google.com</t>
        </is>
      </c>
      <c r="E69" t="inlineStr">
        <is>
          <t>Chetan</t>
        </is>
      </c>
      <c r="F69" t="inlineStr">
        <is>
          <t>chetan@weekday.works</t>
        </is>
      </c>
      <c r="G69" s="36" t="inlineStr">
        <is>
          <t>+91 9920264452</t>
        </is>
      </c>
      <c r="H69" t="inlineStr">
        <is>
          <t>Round1</t>
        </is>
      </c>
      <c r="I69" t="inlineStr">
        <is>
          <t>&lt;calendly_link&gt;</t>
        </is>
      </c>
      <c r="J69" s="37" t="n">
        <v>44867.82708333333</v>
      </c>
      <c r="K69" t="inlineStr">
        <is>
          <t>Yes</t>
        </is>
      </c>
    </row>
    <row r="70">
      <c r="A70" t="inlineStr">
        <is>
          <t>REQ-0069</t>
        </is>
      </c>
      <c r="B70" t="inlineStr">
        <is>
          <t>Google</t>
        </is>
      </c>
      <c r="C70" t="inlineStr">
        <is>
          <t>Sundar Pichai</t>
        </is>
      </c>
      <c r="D70" t="inlineStr">
        <is>
          <t>sundar@google.com</t>
        </is>
      </c>
      <c r="E70" t="inlineStr">
        <is>
          <t>Chetan</t>
        </is>
      </c>
      <c r="F70" t="inlineStr">
        <is>
          <t>chetan@weekday.works</t>
        </is>
      </c>
      <c r="G70" s="36" t="inlineStr">
        <is>
          <t>+91 9920264452</t>
        </is>
      </c>
      <c r="H70" t="inlineStr">
        <is>
          <t>Round1</t>
        </is>
      </c>
      <c r="I70" t="inlineStr">
        <is>
          <t>&lt;calendly_link&gt;</t>
        </is>
      </c>
      <c r="J70" s="37" t="n">
        <v>44867.82708333333</v>
      </c>
      <c r="K70" t="inlineStr">
        <is>
          <t>Yes</t>
        </is>
      </c>
    </row>
    <row r="71">
      <c r="A71" t="inlineStr">
        <is>
          <t>REQ-0070</t>
        </is>
      </c>
      <c r="B71" t="inlineStr">
        <is>
          <t>Google</t>
        </is>
      </c>
      <c r="C71" t="inlineStr">
        <is>
          <t>Sundar Pichai</t>
        </is>
      </c>
      <c r="D71" t="inlineStr">
        <is>
          <t>sundar@google.com</t>
        </is>
      </c>
      <c r="E71" t="inlineStr">
        <is>
          <t>Chetan</t>
        </is>
      </c>
      <c r="F71" t="inlineStr">
        <is>
          <t>chetan@weekday.works</t>
        </is>
      </c>
      <c r="G71" s="36" t="inlineStr">
        <is>
          <t>+91 9920264452</t>
        </is>
      </c>
      <c r="H71" t="inlineStr">
        <is>
          <t>Round1</t>
        </is>
      </c>
      <c r="I71" t="inlineStr">
        <is>
          <t>&lt;calendly_link&gt;</t>
        </is>
      </c>
      <c r="J71" s="37" t="n">
        <v>44867.82708333333</v>
      </c>
      <c r="K71" t="inlineStr">
        <is>
          <t>Yes</t>
        </is>
      </c>
    </row>
    <row r="72">
      <c r="A72" t="inlineStr">
        <is>
          <t>REQ-0071</t>
        </is>
      </c>
      <c r="B72" t="inlineStr">
        <is>
          <t>Google</t>
        </is>
      </c>
      <c r="C72" t="inlineStr">
        <is>
          <t>Sundar Pichai</t>
        </is>
      </c>
      <c r="D72" t="inlineStr">
        <is>
          <t>sundar@google.com</t>
        </is>
      </c>
      <c r="E72" t="inlineStr">
        <is>
          <t>Chetan</t>
        </is>
      </c>
      <c r="F72" t="inlineStr">
        <is>
          <t>chetan@weekday.works</t>
        </is>
      </c>
      <c r="G72" s="36" t="inlineStr">
        <is>
          <t>+91 9920264452</t>
        </is>
      </c>
      <c r="H72" t="inlineStr">
        <is>
          <t>Round1</t>
        </is>
      </c>
      <c r="I72" t="inlineStr">
        <is>
          <t>&lt;calendly_link&gt;</t>
        </is>
      </c>
      <c r="J72" s="37" t="n">
        <v>44867.82708333333</v>
      </c>
      <c r="K72" t="inlineStr">
        <is>
          <t>Yes</t>
        </is>
      </c>
    </row>
    <row r="73">
      <c r="A73" t="inlineStr">
        <is>
          <t>REQ-0072</t>
        </is>
      </c>
      <c r="B73" t="inlineStr">
        <is>
          <t>Google</t>
        </is>
      </c>
      <c r="C73" t="inlineStr">
        <is>
          <t>Sundar Pichai</t>
        </is>
      </c>
      <c r="D73" t="inlineStr">
        <is>
          <t>sundar@google.com</t>
        </is>
      </c>
      <c r="E73" t="inlineStr">
        <is>
          <t>Chetan</t>
        </is>
      </c>
      <c r="F73" t="inlineStr">
        <is>
          <t>chetan@weekday.works</t>
        </is>
      </c>
      <c r="G73" s="36" t="inlineStr">
        <is>
          <t>+91 9920264452</t>
        </is>
      </c>
      <c r="H73" t="inlineStr">
        <is>
          <t>Round1</t>
        </is>
      </c>
      <c r="I73" t="inlineStr">
        <is>
          <t>&lt;calendly_link&gt;</t>
        </is>
      </c>
      <c r="J73" s="37" t="n">
        <v>44867.82708333333</v>
      </c>
      <c r="K73" t="inlineStr">
        <is>
          <t>Yes</t>
        </is>
      </c>
    </row>
    <row r="74">
      <c r="A74" t="inlineStr">
        <is>
          <t>REQ-0073</t>
        </is>
      </c>
      <c r="B74" t="inlineStr">
        <is>
          <t>Google</t>
        </is>
      </c>
      <c r="C74" t="inlineStr">
        <is>
          <t>Sundar Pichai</t>
        </is>
      </c>
      <c r="D74" t="inlineStr">
        <is>
          <t>sundar@google.com</t>
        </is>
      </c>
      <c r="E74" t="inlineStr">
        <is>
          <t>Chetan</t>
        </is>
      </c>
      <c r="F74" t="inlineStr">
        <is>
          <t>chetan@weekday.works</t>
        </is>
      </c>
      <c r="G74" s="36" t="inlineStr">
        <is>
          <t>+91 9920264452</t>
        </is>
      </c>
      <c r="H74" t="inlineStr">
        <is>
          <t>Round1</t>
        </is>
      </c>
      <c r="I74" t="inlineStr">
        <is>
          <t>&lt;calendly_link&gt;</t>
        </is>
      </c>
      <c r="J74" s="37" t="n">
        <v>44867.82708333333</v>
      </c>
      <c r="K74" t="inlineStr">
        <is>
          <t>Yes</t>
        </is>
      </c>
    </row>
    <row r="75">
      <c r="A75" t="inlineStr">
        <is>
          <t>REQ-0074</t>
        </is>
      </c>
      <c r="B75" t="inlineStr">
        <is>
          <t>Google</t>
        </is>
      </c>
      <c r="C75" t="inlineStr">
        <is>
          <t>Sundar Pichai</t>
        </is>
      </c>
      <c r="D75" t="inlineStr">
        <is>
          <t>sundar@google.com</t>
        </is>
      </c>
      <c r="E75" t="inlineStr">
        <is>
          <t>Chetan</t>
        </is>
      </c>
      <c r="F75" t="inlineStr">
        <is>
          <t>chetan@weekday.works</t>
        </is>
      </c>
      <c r="G75" s="36" t="inlineStr">
        <is>
          <t>+91 9920264452</t>
        </is>
      </c>
      <c r="H75" t="inlineStr">
        <is>
          <t>Round1</t>
        </is>
      </c>
      <c r="I75" t="inlineStr">
        <is>
          <t>&lt;calendly_link&gt;</t>
        </is>
      </c>
      <c r="J75" s="37" t="n">
        <v>44867.82708333333</v>
      </c>
      <c r="K75" t="inlineStr">
        <is>
          <t>Yes</t>
        </is>
      </c>
    </row>
    <row r="76">
      <c r="A76" t="inlineStr">
        <is>
          <t>REQ-0075</t>
        </is>
      </c>
      <c r="B76" t="inlineStr">
        <is>
          <t>Google</t>
        </is>
      </c>
      <c r="C76" t="inlineStr">
        <is>
          <t>Sundar Pichai</t>
        </is>
      </c>
      <c r="D76" t="inlineStr">
        <is>
          <t>sundar@google.com</t>
        </is>
      </c>
      <c r="E76" t="inlineStr">
        <is>
          <t>Chetan</t>
        </is>
      </c>
      <c r="F76" t="inlineStr">
        <is>
          <t>chetan@weekday.works</t>
        </is>
      </c>
      <c r="G76" s="36" t="inlineStr">
        <is>
          <t>+91 9920264452</t>
        </is>
      </c>
      <c r="H76" t="inlineStr">
        <is>
          <t>Round1</t>
        </is>
      </c>
      <c r="I76" t="inlineStr">
        <is>
          <t>&lt;calendly_link&gt;</t>
        </is>
      </c>
      <c r="J76" s="37" t="n">
        <v>44867.82708333333</v>
      </c>
      <c r="K76" t="inlineStr">
        <is>
          <t>Yes</t>
        </is>
      </c>
    </row>
    <row r="77">
      <c r="A77" t="inlineStr">
        <is>
          <t>REQ-0076</t>
        </is>
      </c>
      <c r="B77" t="inlineStr">
        <is>
          <t>Google</t>
        </is>
      </c>
      <c r="C77" t="inlineStr">
        <is>
          <t>Sundar Pichai</t>
        </is>
      </c>
      <c r="D77" t="inlineStr">
        <is>
          <t>sundar@google.com</t>
        </is>
      </c>
      <c r="E77" t="inlineStr">
        <is>
          <t>Chetan</t>
        </is>
      </c>
      <c r="F77" t="inlineStr">
        <is>
          <t>chetan@weekday.works</t>
        </is>
      </c>
      <c r="G77" s="36" t="inlineStr">
        <is>
          <t>+91 9920264452</t>
        </is>
      </c>
      <c r="H77" t="inlineStr">
        <is>
          <t>Round1</t>
        </is>
      </c>
      <c r="I77" t="inlineStr">
        <is>
          <t>&lt;calendly_link&gt;</t>
        </is>
      </c>
      <c r="J77" s="37" t="n">
        <v>44867.82708333333</v>
      </c>
      <c r="K77" t="inlineStr">
        <is>
          <t>Yes</t>
        </is>
      </c>
    </row>
    <row r="78">
      <c r="A78" t="inlineStr">
        <is>
          <t>REQ-0077</t>
        </is>
      </c>
      <c r="B78" t="inlineStr">
        <is>
          <t>Google</t>
        </is>
      </c>
      <c r="C78" t="inlineStr">
        <is>
          <t>Sundar Pichai</t>
        </is>
      </c>
      <c r="D78" t="inlineStr">
        <is>
          <t>sundar@google.com</t>
        </is>
      </c>
      <c r="E78" t="inlineStr">
        <is>
          <t>Chetan</t>
        </is>
      </c>
      <c r="F78" t="inlineStr">
        <is>
          <t>chetan@weekday.works</t>
        </is>
      </c>
      <c r="G78" s="36" t="inlineStr">
        <is>
          <t>+91 9920264452</t>
        </is>
      </c>
      <c r="H78" t="inlineStr">
        <is>
          <t>Round1</t>
        </is>
      </c>
      <c r="I78" t="inlineStr">
        <is>
          <t>&lt;calendly_link&gt;</t>
        </is>
      </c>
      <c r="J78" s="37" t="n">
        <v>44867.82708333333</v>
      </c>
      <c r="K78" t="inlineStr">
        <is>
          <t>Yes</t>
        </is>
      </c>
    </row>
    <row r="79">
      <c r="A79" t="inlineStr">
        <is>
          <t>REQ-0078</t>
        </is>
      </c>
      <c r="B79" t="inlineStr">
        <is>
          <t>Google</t>
        </is>
      </c>
      <c r="C79" t="inlineStr">
        <is>
          <t>Sundar Pichai</t>
        </is>
      </c>
      <c r="D79" t="inlineStr">
        <is>
          <t>sundar@google.com</t>
        </is>
      </c>
      <c r="E79" t="inlineStr">
        <is>
          <t>Chetan</t>
        </is>
      </c>
      <c r="F79" t="inlineStr">
        <is>
          <t>chetan@weekday.works</t>
        </is>
      </c>
      <c r="G79" s="36" t="inlineStr">
        <is>
          <t>+91 9920264452</t>
        </is>
      </c>
      <c r="H79" t="inlineStr">
        <is>
          <t>Round1</t>
        </is>
      </c>
      <c r="I79" t="inlineStr">
        <is>
          <t>&lt;calendly_link&gt;</t>
        </is>
      </c>
      <c r="J79" s="37" t="n">
        <v>44867.82708333333</v>
      </c>
      <c r="K79" t="inlineStr">
        <is>
          <t>Yes</t>
        </is>
      </c>
    </row>
    <row r="80">
      <c r="A80" t="inlineStr">
        <is>
          <t>REQ-0079</t>
        </is>
      </c>
      <c r="B80" t="inlineStr">
        <is>
          <t>Google</t>
        </is>
      </c>
      <c r="C80" t="inlineStr">
        <is>
          <t>Sundar Pichai</t>
        </is>
      </c>
      <c r="D80" t="inlineStr">
        <is>
          <t>sundar@google.com</t>
        </is>
      </c>
      <c r="E80" t="inlineStr">
        <is>
          <t>Chetan</t>
        </is>
      </c>
      <c r="F80" t="inlineStr">
        <is>
          <t>chetan@weekday.works</t>
        </is>
      </c>
      <c r="G80" s="36" t="inlineStr">
        <is>
          <t>+91 9920264452</t>
        </is>
      </c>
      <c r="H80" t="inlineStr">
        <is>
          <t>Round1</t>
        </is>
      </c>
      <c r="I80" t="inlineStr">
        <is>
          <t>&lt;calendly_link&gt;</t>
        </is>
      </c>
      <c r="J80" s="37" t="n">
        <v>44867.82708333333</v>
      </c>
      <c r="K80" t="inlineStr">
        <is>
          <t>Yes</t>
        </is>
      </c>
    </row>
    <row r="81">
      <c r="A81" t="inlineStr">
        <is>
          <t>REQ-0080</t>
        </is>
      </c>
      <c r="B81" t="inlineStr">
        <is>
          <t>Google</t>
        </is>
      </c>
      <c r="C81" t="inlineStr">
        <is>
          <t>Sundar Pichai</t>
        </is>
      </c>
      <c r="D81" t="inlineStr">
        <is>
          <t>sundar@google.com</t>
        </is>
      </c>
      <c r="E81" t="inlineStr">
        <is>
          <t>Chetan</t>
        </is>
      </c>
      <c r="F81" t="inlineStr">
        <is>
          <t>chetan@weekday.works</t>
        </is>
      </c>
      <c r="G81" s="36" t="inlineStr">
        <is>
          <t>+91 9920264452</t>
        </is>
      </c>
      <c r="H81" t="inlineStr">
        <is>
          <t>Round1</t>
        </is>
      </c>
      <c r="I81" t="inlineStr">
        <is>
          <t>&lt;calendly_link&gt;</t>
        </is>
      </c>
      <c r="J81" s="37" t="n">
        <v>44867.82708333333</v>
      </c>
      <c r="K81" t="inlineStr">
        <is>
          <t>Yes</t>
        </is>
      </c>
    </row>
    <row r="82">
      <c r="A82" t="inlineStr">
        <is>
          <t>REQ-0081</t>
        </is>
      </c>
      <c r="B82" t="inlineStr">
        <is>
          <t>Google</t>
        </is>
      </c>
      <c r="C82" t="inlineStr">
        <is>
          <t>Sundar Pichai</t>
        </is>
      </c>
      <c r="D82" t="inlineStr">
        <is>
          <t>sundar@google.com</t>
        </is>
      </c>
      <c r="E82" t="inlineStr">
        <is>
          <t>Chetan</t>
        </is>
      </c>
      <c r="F82" t="inlineStr">
        <is>
          <t>chetan@weekday.works</t>
        </is>
      </c>
      <c r="G82" s="36" t="inlineStr">
        <is>
          <t>+91 9920264452</t>
        </is>
      </c>
      <c r="H82" t="inlineStr">
        <is>
          <t>Round1</t>
        </is>
      </c>
      <c r="I82" t="inlineStr">
        <is>
          <t>&lt;calendly_link&gt;</t>
        </is>
      </c>
      <c r="J82" s="37" t="n">
        <v>44867.82708333333</v>
      </c>
      <c r="K82" t="inlineStr">
        <is>
          <t>Yes</t>
        </is>
      </c>
    </row>
    <row r="83">
      <c r="A83" t="inlineStr">
        <is>
          <t>REQ-0082</t>
        </is>
      </c>
      <c r="B83" t="inlineStr">
        <is>
          <t>Google</t>
        </is>
      </c>
      <c r="C83" t="inlineStr">
        <is>
          <t>Sundar Pichai</t>
        </is>
      </c>
      <c r="D83" t="inlineStr">
        <is>
          <t>sundar@google.com</t>
        </is>
      </c>
      <c r="E83" t="inlineStr">
        <is>
          <t>Chetan</t>
        </is>
      </c>
      <c r="F83" t="inlineStr">
        <is>
          <t>chetan@weekday.works</t>
        </is>
      </c>
      <c r="G83" s="36" t="inlineStr">
        <is>
          <t>+91 9920264452</t>
        </is>
      </c>
      <c r="H83" t="inlineStr">
        <is>
          <t>Round1</t>
        </is>
      </c>
      <c r="I83" t="inlineStr">
        <is>
          <t>&lt;calendly_link&gt;</t>
        </is>
      </c>
      <c r="J83" s="37" t="n">
        <v>44867.82708333333</v>
      </c>
      <c r="K83" t="inlineStr">
        <is>
          <t>Yes</t>
        </is>
      </c>
    </row>
    <row r="84">
      <c r="A84" t="inlineStr">
        <is>
          <t>REQ-0083</t>
        </is>
      </c>
      <c r="B84" t="inlineStr">
        <is>
          <t>Google</t>
        </is>
      </c>
      <c r="C84" t="inlineStr">
        <is>
          <t>Sundar Pichai</t>
        </is>
      </c>
      <c r="D84" t="inlineStr">
        <is>
          <t>sundar@google.com</t>
        </is>
      </c>
      <c r="E84" t="inlineStr">
        <is>
          <t>Chetan</t>
        </is>
      </c>
      <c r="F84" t="inlineStr">
        <is>
          <t>chetan@weekday.works</t>
        </is>
      </c>
      <c r="G84" s="36" t="inlineStr">
        <is>
          <t>+91 9920264452</t>
        </is>
      </c>
      <c r="H84" t="inlineStr">
        <is>
          <t>Round1</t>
        </is>
      </c>
      <c r="I84" t="inlineStr">
        <is>
          <t>&lt;calendly_link&gt;</t>
        </is>
      </c>
      <c r="J84" s="37" t="n">
        <v>44867.82708333333</v>
      </c>
      <c r="K84" t="inlineStr">
        <is>
          <t>Yes</t>
        </is>
      </c>
    </row>
    <row r="85">
      <c r="A85" t="inlineStr">
        <is>
          <t>REQ-0084</t>
        </is>
      </c>
      <c r="B85" t="inlineStr">
        <is>
          <t>Google</t>
        </is>
      </c>
      <c r="C85" t="inlineStr">
        <is>
          <t>Sundar Pichai</t>
        </is>
      </c>
      <c r="D85" t="inlineStr">
        <is>
          <t>sundar@google.com</t>
        </is>
      </c>
      <c r="E85" t="inlineStr">
        <is>
          <t>Chetan</t>
        </is>
      </c>
      <c r="F85" t="inlineStr">
        <is>
          <t>chetan@weekday.works</t>
        </is>
      </c>
      <c r="G85" s="36" t="inlineStr">
        <is>
          <t>+91 9920264452</t>
        </is>
      </c>
      <c r="H85" t="inlineStr">
        <is>
          <t>Round1</t>
        </is>
      </c>
      <c r="I85" t="inlineStr">
        <is>
          <t>&lt;calendly_link&gt;</t>
        </is>
      </c>
      <c r="J85" s="37" t="n">
        <v>44867.82708333333</v>
      </c>
      <c r="K85" t="inlineStr">
        <is>
          <t>Yes</t>
        </is>
      </c>
    </row>
    <row r="86">
      <c r="A86" t="inlineStr">
        <is>
          <t>REQ-0085</t>
        </is>
      </c>
      <c r="B86" t="inlineStr">
        <is>
          <t>Google</t>
        </is>
      </c>
      <c r="C86" t="inlineStr">
        <is>
          <t>Sundar Pichai</t>
        </is>
      </c>
      <c r="D86" t="inlineStr">
        <is>
          <t>sundar@google.com</t>
        </is>
      </c>
      <c r="E86" t="inlineStr">
        <is>
          <t>Chetan</t>
        </is>
      </c>
      <c r="F86" t="inlineStr">
        <is>
          <t>chetan@weekday.works</t>
        </is>
      </c>
      <c r="G86" s="36" t="inlineStr">
        <is>
          <t>+91 9920264452</t>
        </is>
      </c>
      <c r="H86" t="inlineStr">
        <is>
          <t>Round1</t>
        </is>
      </c>
      <c r="I86" t="inlineStr">
        <is>
          <t>&lt;calendly_link&gt;</t>
        </is>
      </c>
      <c r="J86" s="37" t="n">
        <v>44867.82708333333</v>
      </c>
      <c r="K86" t="inlineStr">
        <is>
          <t>Yes</t>
        </is>
      </c>
    </row>
    <row r="87">
      <c r="A87" t="inlineStr">
        <is>
          <t>REQ-0086</t>
        </is>
      </c>
      <c r="B87" t="inlineStr">
        <is>
          <t>Google</t>
        </is>
      </c>
      <c r="C87" t="inlineStr">
        <is>
          <t>Sundar Pichai</t>
        </is>
      </c>
      <c r="D87" t="inlineStr">
        <is>
          <t>sundar@google.com</t>
        </is>
      </c>
      <c r="E87" t="inlineStr">
        <is>
          <t>Chetan</t>
        </is>
      </c>
      <c r="F87" t="inlineStr">
        <is>
          <t>chetan@weekday.works</t>
        </is>
      </c>
      <c r="G87" s="36" t="inlineStr">
        <is>
          <t>+91 9920264452</t>
        </is>
      </c>
      <c r="H87" t="inlineStr">
        <is>
          <t>Round1</t>
        </is>
      </c>
      <c r="I87" t="inlineStr">
        <is>
          <t>&lt;calendly_link&gt;</t>
        </is>
      </c>
      <c r="J87" s="37" t="n">
        <v>44867.82708333333</v>
      </c>
      <c r="K87" t="inlineStr">
        <is>
          <t>Yes</t>
        </is>
      </c>
    </row>
    <row r="88">
      <c r="A88" t="inlineStr">
        <is>
          <t>REQ-0087</t>
        </is>
      </c>
      <c r="B88" t="inlineStr">
        <is>
          <t>Google</t>
        </is>
      </c>
      <c r="C88" t="inlineStr">
        <is>
          <t>Sundar Pichai</t>
        </is>
      </c>
      <c r="D88" t="inlineStr">
        <is>
          <t>sundar@google.com</t>
        </is>
      </c>
      <c r="E88" t="inlineStr">
        <is>
          <t>Chetan</t>
        </is>
      </c>
      <c r="F88" t="inlineStr">
        <is>
          <t>chetan@weekday.works</t>
        </is>
      </c>
      <c r="G88" s="36" t="inlineStr">
        <is>
          <t>+91 9920264452</t>
        </is>
      </c>
      <c r="H88" t="inlineStr">
        <is>
          <t>Round1</t>
        </is>
      </c>
      <c r="I88" t="inlineStr">
        <is>
          <t>&lt;calendly_link&gt;</t>
        </is>
      </c>
      <c r="J88" s="37" t="n">
        <v>44867.82708333333</v>
      </c>
      <c r="K88" t="inlineStr">
        <is>
          <t>Yes</t>
        </is>
      </c>
    </row>
    <row r="89">
      <c r="A89" t="inlineStr">
        <is>
          <t>REQ-0088</t>
        </is>
      </c>
      <c r="B89" t="inlineStr">
        <is>
          <t>Google</t>
        </is>
      </c>
      <c r="C89" t="inlineStr">
        <is>
          <t>Sundar Pichai</t>
        </is>
      </c>
      <c r="D89" t="inlineStr">
        <is>
          <t>sundar@google.com</t>
        </is>
      </c>
      <c r="E89" t="inlineStr">
        <is>
          <t>Chetan</t>
        </is>
      </c>
      <c r="F89" t="inlineStr">
        <is>
          <t>chetan@weekday.works</t>
        </is>
      </c>
      <c r="G89" s="36" t="inlineStr">
        <is>
          <t>+91 9920264452</t>
        </is>
      </c>
      <c r="H89" t="inlineStr">
        <is>
          <t>Round1</t>
        </is>
      </c>
      <c r="I89" t="inlineStr">
        <is>
          <t>&lt;calendly_link&gt;</t>
        </is>
      </c>
      <c r="J89" s="37" t="n">
        <v>44867.82708333333</v>
      </c>
      <c r="K89" t="inlineStr">
        <is>
          <t>Yes</t>
        </is>
      </c>
    </row>
    <row r="90">
      <c r="A90" t="inlineStr">
        <is>
          <t>REQ-0089</t>
        </is>
      </c>
      <c r="B90" t="inlineStr">
        <is>
          <t>Google</t>
        </is>
      </c>
      <c r="C90" t="inlineStr">
        <is>
          <t>Sundar Pichai</t>
        </is>
      </c>
      <c r="D90" t="inlineStr">
        <is>
          <t>sundar@google.com</t>
        </is>
      </c>
      <c r="E90" t="inlineStr">
        <is>
          <t>Chetan</t>
        </is>
      </c>
      <c r="F90" t="inlineStr">
        <is>
          <t>chetan@weekday.works</t>
        </is>
      </c>
      <c r="G90" s="36" t="inlineStr">
        <is>
          <t>+91 9920264452</t>
        </is>
      </c>
      <c r="H90" t="inlineStr">
        <is>
          <t>Round1</t>
        </is>
      </c>
      <c r="I90" t="inlineStr">
        <is>
          <t>&lt;calendly_link&gt;</t>
        </is>
      </c>
      <c r="J90" s="37" t="n">
        <v>44867.82708333333</v>
      </c>
      <c r="K90" t="inlineStr">
        <is>
          <t>Yes</t>
        </is>
      </c>
    </row>
    <row r="91">
      <c r="A91" t="inlineStr">
        <is>
          <t>REQ-0090</t>
        </is>
      </c>
      <c r="B91" t="inlineStr">
        <is>
          <t>Google</t>
        </is>
      </c>
      <c r="C91" t="inlineStr">
        <is>
          <t>Sundar Pichai</t>
        </is>
      </c>
      <c r="D91" t="inlineStr">
        <is>
          <t>sundar@google.com</t>
        </is>
      </c>
      <c r="E91" t="inlineStr">
        <is>
          <t>Chetan</t>
        </is>
      </c>
      <c r="F91" t="inlineStr">
        <is>
          <t>chetan@weekday.works</t>
        </is>
      </c>
      <c r="G91" s="36" t="inlineStr">
        <is>
          <t>+91 9920264452</t>
        </is>
      </c>
      <c r="H91" t="inlineStr">
        <is>
          <t>Round1</t>
        </is>
      </c>
      <c r="I91" t="inlineStr">
        <is>
          <t>&lt;calendly_link&gt;</t>
        </is>
      </c>
      <c r="J91" s="37" t="n">
        <v>44867.82708333333</v>
      </c>
      <c r="K91" t="inlineStr">
        <is>
          <t>Yes</t>
        </is>
      </c>
    </row>
    <row r="92">
      <c r="A92" t="inlineStr">
        <is>
          <t>REQ-0091</t>
        </is>
      </c>
      <c r="B92" t="inlineStr">
        <is>
          <t>Google</t>
        </is>
      </c>
      <c r="C92" t="inlineStr">
        <is>
          <t>Sundar Pichai</t>
        </is>
      </c>
      <c r="D92" t="inlineStr">
        <is>
          <t>sundar@google.com</t>
        </is>
      </c>
      <c r="E92" t="inlineStr">
        <is>
          <t>Chetan</t>
        </is>
      </c>
      <c r="F92" t="inlineStr">
        <is>
          <t>chetan@weekday.works</t>
        </is>
      </c>
      <c r="G92" s="36" t="inlineStr">
        <is>
          <t>+91 9920264452</t>
        </is>
      </c>
      <c r="H92" t="inlineStr">
        <is>
          <t>Round1</t>
        </is>
      </c>
      <c r="I92" t="inlineStr">
        <is>
          <t>&lt;calendly_link&gt;</t>
        </is>
      </c>
      <c r="J92" s="37" t="n">
        <v>44867.82708333333</v>
      </c>
      <c r="K92" t="inlineStr">
        <is>
          <t>Yes</t>
        </is>
      </c>
    </row>
    <row r="93">
      <c r="A93" t="inlineStr">
        <is>
          <t>REQ-0092</t>
        </is>
      </c>
      <c r="B93" t="inlineStr">
        <is>
          <t>Google</t>
        </is>
      </c>
      <c r="C93" t="inlineStr">
        <is>
          <t>Sundar Pichai</t>
        </is>
      </c>
      <c r="D93" t="inlineStr">
        <is>
          <t>sundar@google.com</t>
        </is>
      </c>
      <c r="E93" t="inlineStr">
        <is>
          <t>Chetan</t>
        </is>
      </c>
      <c r="F93" t="inlineStr">
        <is>
          <t>chetan@weekday.works</t>
        </is>
      </c>
      <c r="G93" s="36" t="inlineStr">
        <is>
          <t>+91 9920264452</t>
        </is>
      </c>
      <c r="H93" t="inlineStr">
        <is>
          <t>Round1</t>
        </is>
      </c>
      <c r="I93" t="inlineStr">
        <is>
          <t>&lt;calendly_link&gt;</t>
        </is>
      </c>
      <c r="J93" s="37" t="n">
        <v>44867.82708333333</v>
      </c>
      <c r="K93" t="inlineStr">
        <is>
          <t>Yes</t>
        </is>
      </c>
    </row>
    <row r="94">
      <c r="A94" t="inlineStr">
        <is>
          <t>REQ-0093</t>
        </is>
      </c>
      <c r="B94" t="inlineStr">
        <is>
          <t>Google</t>
        </is>
      </c>
      <c r="C94" t="inlineStr">
        <is>
          <t>Sundar Pichai</t>
        </is>
      </c>
      <c r="D94" t="inlineStr">
        <is>
          <t>sundar@google.com</t>
        </is>
      </c>
      <c r="E94" t="inlineStr">
        <is>
          <t>Chetan</t>
        </is>
      </c>
      <c r="F94" t="inlineStr">
        <is>
          <t>chetan@weekday.works</t>
        </is>
      </c>
      <c r="G94" s="36" t="inlineStr">
        <is>
          <t>+91 9920264452</t>
        </is>
      </c>
      <c r="H94" t="inlineStr">
        <is>
          <t>Round1</t>
        </is>
      </c>
      <c r="I94" t="inlineStr">
        <is>
          <t>&lt;calendly_link&gt;</t>
        </is>
      </c>
      <c r="J94" s="37" t="n">
        <v>44867.82708333333</v>
      </c>
      <c r="K94" t="inlineStr">
        <is>
          <t>Yes</t>
        </is>
      </c>
    </row>
    <row r="95">
      <c r="A95" t="inlineStr">
        <is>
          <t>REQ-0094</t>
        </is>
      </c>
      <c r="B95" t="inlineStr">
        <is>
          <t>Google</t>
        </is>
      </c>
      <c r="C95" t="inlineStr">
        <is>
          <t>Sundar Pichai</t>
        </is>
      </c>
      <c r="D95" t="inlineStr">
        <is>
          <t>sundar@google.com</t>
        </is>
      </c>
      <c r="E95" t="inlineStr">
        <is>
          <t>Chetan</t>
        </is>
      </c>
      <c r="F95" t="inlineStr">
        <is>
          <t>chetan@weekday.works</t>
        </is>
      </c>
      <c r="G95" s="36" t="inlineStr">
        <is>
          <t>+91 9920264452</t>
        </is>
      </c>
      <c r="H95" t="inlineStr">
        <is>
          <t>Round1</t>
        </is>
      </c>
      <c r="I95" t="inlineStr">
        <is>
          <t>&lt;calendly_link&gt;</t>
        </is>
      </c>
      <c r="J95" s="37" t="n">
        <v>44867.82708333333</v>
      </c>
      <c r="K95" t="inlineStr">
        <is>
          <t>Yes</t>
        </is>
      </c>
    </row>
    <row r="96">
      <c r="A96" t="inlineStr">
        <is>
          <t>REQ-0095</t>
        </is>
      </c>
      <c r="B96" t="inlineStr">
        <is>
          <t>Google</t>
        </is>
      </c>
      <c r="C96" t="inlineStr">
        <is>
          <t>Sundar Pichai</t>
        </is>
      </c>
      <c r="D96" t="inlineStr">
        <is>
          <t>sundar@google.com</t>
        </is>
      </c>
      <c r="E96" t="inlineStr">
        <is>
          <t>Chetan</t>
        </is>
      </c>
      <c r="F96" t="inlineStr">
        <is>
          <t>chetan@weekday.works</t>
        </is>
      </c>
      <c r="G96" s="36" t="inlineStr">
        <is>
          <t>+91 9920264452</t>
        </is>
      </c>
      <c r="H96" t="inlineStr">
        <is>
          <t>Round1</t>
        </is>
      </c>
      <c r="I96" t="inlineStr">
        <is>
          <t>&lt;calendly_link&gt;</t>
        </is>
      </c>
      <c r="J96" s="37" t="n">
        <v>44867.82708333333</v>
      </c>
      <c r="K96" t="inlineStr">
        <is>
          <t>Yes</t>
        </is>
      </c>
    </row>
    <row r="97">
      <c r="A97" t="inlineStr">
        <is>
          <t>REQ-0096</t>
        </is>
      </c>
      <c r="B97" t="inlineStr">
        <is>
          <t>Google</t>
        </is>
      </c>
      <c r="C97" t="inlineStr">
        <is>
          <t>Sundar Pichai</t>
        </is>
      </c>
      <c r="D97" t="inlineStr">
        <is>
          <t>sundar@google.com</t>
        </is>
      </c>
      <c r="E97" t="inlineStr">
        <is>
          <t>Chetan</t>
        </is>
      </c>
      <c r="F97" t="inlineStr">
        <is>
          <t>chetan@weekday.works</t>
        </is>
      </c>
      <c r="G97" s="36" t="inlineStr">
        <is>
          <t>+91 9920264452</t>
        </is>
      </c>
      <c r="H97" t="inlineStr">
        <is>
          <t>Round1</t>
        </is>
      </c>
      <c r="I97" t="inlineStr">
        <is>
          <t>&lt;calendly_link&gt;</t>
        </is>
      </c>
      <c r="J97" s="37" t="n">
        <v>44867.82708333333</v>
      </c>
      <c r="K97" t="inlineStr">
        <is>
          <t>Yes</t>
        </is>
      </c>
    </row>
    <row r="98">
      <c r="A98" t="inlineStr">
        <is>
          <t>REQ-0097</t>
        </is>
      </c>
      <c r="B98" t="inlineStr">
        <is>
          <t>Google</t>
        </is>
      </c>
      <c r="C98" t="inlineStr">
        <is>
          <t>Sundar Pichai</t>
        </is>
      </c>
      <c r="D98" t="inlineStr">
        <is>
          <t>sundar@google.com</t>
        </is>
      </c>
      <c r="E98" t="inlineStr">
        <is>
          <t>Chetan</t>
        </is>
      </c>
      <c r="F98" t="inlineStr">
        <is>
          <t>chetan@weekday.works</t>
        </is>
      </c>
      <c r="G98" s="36" t="inlineStr">
        <is>
          <t>+91 9920264452</t>
        </is>
      </c>
      <c r="H98" t="inlineStr">
        <is>
          <t>Round1</t>
        </is>
      </c>
      <c r="I98" t="inlineStr">
        <is>
          <t>&lt;calendly_link&gt;</t>
        </is>
      </c>
      <c r="J98" s="37" t="n">
        <v>44867.82708333333</v>
      </c>
      <c r="K98" t="inlineStr">
        <is>
          <t>Yes</t>
        </is>
      </c>
    </row>
    <row r="99">
      <c r="A99" t="inlineStr">
        <is>
          <t>REQ-0098</t>
        </is>
      </c>
      <c r="B99" t="inlineStr">
        <is>
          <t>Google</t>
        </is>
      </c>
      <c r="C99" t="inlineStr">
        <is>
          <t>Sundar Pichai</t>
        </is>
      </c>
      <c r="D99" t="inlineStr">
        <is>
          <t>sundar@google.com</t>
        </is>
      </c>
      <c r="E99" t="inlineStr">
        <is>
          <t>Chetan</t>
        </is>
      </c>
      <c r="F99" t="inlineStr">
        <is>
          <t>chetan@weekday.works</t>
        </is>
      </c>
      <c r="G99" s="36" t="inlineStr">
        <is>
          <t>+91 9920264452</t>
        </is>
      </c>
      <c r="H99" t="inlineStr">
        <is>
          <t>Round1</t>
        </is>
      </c>
      <c r="I99" t="inlineStr">
        <is>
          <t>&lt;calendly_link&gt;</t>
        </is>
      </c>
      <c r="J99" s="37" t="n">
        <v>44867.82708333333</v>
      </c>
      <c r="K99" t="inlineStr">
        <is>
          <t>Yes</t>
        </is>
      </c>
    </row>
    <row r="100">
      <c r="A100" t="inlineStr">
        <is>
          <t>REQ-0099</t>
        </is>
      </c>
      <c r="B100" t="inlineStr">
        <is>
          <t>Google</t>
        </is>
      </c>
      <c r="C100" t="inlineStr">
        <is>
          <t>Sundar Pichai</t>
        </is>
      </c>
      <c r="D100" t="inlineStr">
        <is>
          <t>sundar@google.com</t>
        </is>
      </c>
      <c r="E100" t="inlineStr">
        <is>
          <t>Chetan</t>
        </is>
      </c>
      <c r="F100" t="inlineStr">
        <is>
          <t>chetan@weekday.works</t>
        </is>
      </c>
      <c r="G100" s="36" t="inlineStr">
        <is>
          <t>+91 9920264452</t>
        </is>
      </c>
      <c r="H100" t="inlineStr">
        <is>
          <t>Round1</t>
        </is>
      </c>
      <c r="I100" t="inlineStr">
        <is>
          <t>&lt;calendly_link&gt;</t>
        </is>
      </c>
      <c r="J100" s="37" t="n">
        <v>44867.82708333333</v>
      </c>
      <c r="K100" t="inlineStr">
        <is>
          <t>Yes</t>
        </is>
      </c>
    </row>
    <row r="101">
      <c r="A101" t="inlineStr">
        <is>
          <t>REQ-0100</t>
        </is>
      </c>
      <c r="B101" t="inlineStr">
        <is>
          <t>Google</t>
        </is>
      </c>
      <c r="C101" t="inlineStr">
        <is>
          <t>Sundar Pichai</t>
        </is>
      </c>
      <c r="D101" t="inlineStr">
        <is>
          <t>sundar@google.com</t>
        </is>
      </c>
      <c r="E101" t="inlineStr">
        <is>
          <t>Chetan</t>
        </is>
      </c>
      <c r="F101" t="inlineStr">
        <is>
          <t>chetan@weekday.works</t>
        </is>
      </c>
      <c r="G101" s="36" t="inlineStr">
        <is>
          <t>+91 9920264452</t>
        </is>
      </c>
      <c r="H101" t="inlineStr">
        <is>
          <t>Round1</t>
        </is>
      </c>
      <c r="I101" t="inlineStr">
        <is>
          <t>&lt;calendly_link&gt;</t>
        </is>
      </c>
      <c r="J101" s="37" t="n">
        <v>44867.82708333333</v>
      </c>
      <c r="K101" t="inlineStr">
        <is>
          <t>Yes</t>
        </is>
      </c>
    </row>
    <row r="102">
      <c r="A102" t="inlineStr">
        <is>
          <t>REQ-0101</t>
        </is>
      </c>
      <c r="B102" t="inlineStr">
        <is>
          <t>Google</t>
        </is>
      </c>
      <c r="C102" t="inlineStr">
        <is>
          <t>Sundar Pichai</t>
        </is>
      </c>
      <c r="D102" t="inlineStr">
        <is>
          <t>sundar@google.com</t>
        </is>
      </c>
      <c r="E102" t="inlineStr">
        <is>
          <t>Chetan</t>
        </is>
      </c>
      <c r="F102" t="inlineStr">
        <is>
          <t>chetan@weekday.works</t>
        </is>
      </c>
      <c r="G102" s="36" t="inlineStr">
        <is>
          <t>+91 9920264452</t>
        </is>
      </c>
      <c r="H102" t="inlineStr">
        <is>
          <t>Round1</t>
        </is>
      </c>
      <c r="I102" t="inlineStr">
        <is>
          <t>&lt;calendly_link&gt;</t>
        </is>
      </c>
      <c r="J102" s="37" t="n">
        <v>44867.82708333333</v>
      </c>
      <c r="K102" t="inlineStr">
        <is>
          <t>Yes</t>
        </is>
      </c>
    </row>
    <row r="103">
      <c r="A103" t="inlineStr">
        <is>
          <t>REQ-0102</t>
        </is>
      </c>
      <c r="B103" t="inlineStr">
        <is>
          <t>Google</t>
        </is>
      </c>
      <c r="C103" t="inlineStr">
        <is>
          <t>Sundar Pichai</t>
        </is>
      </c>
      <c r="D103" t="inlineStr">
        <is>
          <t>sundar@google.com</t>
        </is>
      </c>
      <c r="E103" t="inlineStr">
        <is>
          <t>Chetan</t>
        </is>
      </c>
      <c r="F103" t="inlineStr">
        <is>
          <t>chetan@weekday.works</t>
        </is>
      </c>
      <c r="G103" s="36" t="inlineStr">
        <is>
          <t>+91 9920264452</t>
        </is>
      </c>
      <c r="H103" t="inlineStr">
        <is>
          <t>Round1</t>
        </is>
      </c>
      <c r="I103" t="inlineStr">
        <is>
          <t>&lt;calendly_link&gt;</t>
        </is>
      </c>
      <c r="J103" s="37" t="n">
        <v>44867.82708333333</v>
      </c>
      <c r="K103" t="inlineStr">
        <is>
          <t>Yes</t>
        </is>
      </c>
    </row>
    <row r="104">
      <c r="A104" t="inlineStr">
        <is>
          <t>REQ-0103</t>
        </is>
      </c>
      <c r="B104" t="inlineStr">
        <is>
          <t>Google</t>
        </is>
      </c>
      <c r="C104" t="inlineStr">
        <is>
          <t>Sundar Pichai</t>
        </is>
      </c>
      <c r="D104" t="inlineStr">
        <is>
          <t>sundar@google.com</t>
        </is>
      </c>
      <c r="E104" t="inlineStr">
        <is>
          <t>Chetan</t>
        </is>
      </c>
      <c r="F104" t="inlineStr">
        <is>
          <t>chetan@weekday.works</t>
        </is>
      </c>
      <c r="G104" s="36" t="inlineStr">
        <is>
          <t>+91 9920264452</t>
        </is>
      </c>
      <c r="H104" t="inlineStr">
        <is>
          <t>Round1</t>
        </is>
      </c>
      <c r="I104" t="inlineStr">
        <is>
          <t>&lt;calendly_link&gt;</t>
        </is>
      </c>
      <c r="J104" s="37" t="n">
        <v>44867.82708333333</v>
      </c>
      <c r="K104" t="inlineStr">
        <is>
          <t>Yes</t>
        </is>
      </c>
    </row>
    <row r="105">
      <c r="A105" t="inlineStr">
        <is>
          <t>REQ-0104</t>
        </is>
      </c>
      <c r="B105" t="inlineStr">
        <is>
          <t>Google</t>
        </is>
      </c>
      <c r="C105" t="inlineStr">
        <is>
          <t>Sundar Pichai</t>
        </is>
      </c>
      <c r="D105" t="inlineStr">
        <is>
          <t>sundar@google.com</t>
        </is>
      </c>
      <c r="E105" t="inlineStr">
        <is>
          <t>Chetan</t>
        </is>
      </c>
      <c r="F105" t="inlineStr">
        <is>
          <t>chetan@weekday.works</t>
        </is>
      </c>
      <c r="G105" s="36" t="inlineStr">
        <is>
          <t>+91 9920264452</t>
        </is>
      </c>
      <c r="H105" t="inlineStr">
        <is>
          <t>Round1</t>
        </is>
      </c>
      <c r="I105" t="inlineStr">
        <is>
          <t>&lt;calendly_link&gt;</t>
        </is>
      </c>
      <c r="J105" s="37" t="n">
        <v>44867.82708333333</v>
      </c>
      <c r="K105" t="inlineStr">
        <is>
          <t>Yes</t>
        </is>
      </c>
    </row>
    <row r="106">
      <c r="A106" t="inlineStr">
        <is>
          <t>REQ-0105</t>
        </is>
      </c>
      <c r="B106" t="inlineStr">
        <is>
          <t>Google</t>
        </is>
      </c>
      <c r="C106" t="inlineStr">
        <is>
          <t>Sundar Pichai</t>
        </is>
      </c>
      <c r="D106" t="inlineStr">
        <is>
          <t>sundar@google.com</t>
        </is>
      </c>
      <c r="E106" t="inlineStr">
        <is>
          <t>Chetan</t>
        </is>
      </c>
      <c r="F106" t="inlineStr">
        <is>
          <t>chetan@weekday.works</t>
        </is>
      </c>
      <c r="G106" s="36" t="inlineStr">
        <is>
          <t>+91 9920264452</t>
        </is>
      </c>
      <c r="H106" t="inlineStr">
        <is>
          <t>Round1</t>
        </is>
      </c>
      <c r="I106" t="inlineStr">
        <is>
          <t>&lt;calendly_link&gt;</t>
        </is>
      </c>
      <c r="J106" s="37" t="n">
        <v>44867.82708333333</v>
      </c>
      <c r="K106" t="inlineStr">
        <is>
          <t>Yes</t>
        </is>
      </c>
    </row>
    <row r="107">
      <c r="A107" t="inlineStr">
        <is>
          <t>REQ-0106</t>
        </is>
      </c>
      <c r="B107" t="inlineStr">
        <is>
          <t>Google</t>
        </is>
      </c>
      <c r="C107" t="inlineStr">
        <is>
          <t>Sundar Pichai</t>
        </is>
      </c>
      <c r="D107" t="inlineStr">
        <is>
          <t>sundar@google.com</t>
        </is>
      </c>
      <c r="E107" t="inlineStr">
        <is>
          <t>Chetan</t>
        </is>
      </c>
      <c r="F107" t="inlineStr">
        <is>
          <t>chetan@weekday.works</t>
        </is>
      </c>
      <c r="G107" s="36" t="inlineStr">
        <is>
          <t>+91 9920264452</t>
        </is>
      </c>
      <c r="H107" t="inlineStr">
        <is>
          <t>Round1</t>
        </is>
      </c>
      <c r="I107" t="inlineStr">
        <is>
          <t>&lt;calendly_link&gt;</t>
        </is>
      </c>
      <c r="J107" s="37" t="n">
        <v>44867.82708333333</v>
      </c>
      <c r="K107" t="inlineStr">
        <is>
          <t>Yes</t>
        </is>
      </c>
    </row>
    <row r="108">
      <c r="A108" t="inlineStr">
        <is>
          <t>REQ-0107</t>
        </is>
      </c>
      <c r="B108" t="inlineStr">
        <is>
          <t>Google</t>
        </is>
      </c>
      <c r="C108" t="inlineStr">
        <is>
          <t>Sundar Pichai</t>
        </is>
      </c>
      <c r="D108" t="inlineStr">
        <is>
          <t>sundar@google.com</t>
        </is>
      </c>
      <c r="E108" t="inlineStr">
        <is>
          <t>Chetan</t>
        </is>
      </c>
      <c r="F108" t="inlineStr">
        <is>
          <t>chetan@weekday.works</t>
        </is>
      </c>
      <c r="G108" s="36" t="inlineStr">
        <is>
          <t>+91 9920264452</t>
        </is>
      </c>
      <c r="H108" t="inlineStr">
        <is>
          <t>Round1</t>
        </is>
      </c>
      <c r="I108" t="inlineStr">
        <is>
          <t>&lt;calendly_link&gt;</t>
        </is>
      </c>
      <c r="J108" s="37" t="n">
        <v>44867.82708333333</v>
      </c>
      <c r="K108" t="inlineStr">
        <is>
          <t>Yes</t>
        </is>
      </c>
    </row>
    <row r="109">
      <c r="A109" t="inlineStr">
        <is>
          <t>REQ-0108</t>
        </is>
      </c>
      <c r="B109" t="inlineStr">
        <is>
          <t>Google</t>
        </is>
      </c>
      <c r="C109" t="inlineStr">
        <is>
          <t>Sundar Pichai</t>
        </is>
      </c>
      <c r="D109" t="inlineStr">
        <is>
          <t>sundar@google.com</t>
        </is>
      </c>
      <c r="E109" t="inlineStr">
        <is>
          <t>Chetan</t>
        </is>
      </c>
      <c r="F109" t="inlineStr">
        <is>
          <t>chetan@weekday.works</t>
        </is>
      </c>
      <c r="G109" s="36" t="inlineStr">
        <is>
          <t>+91 9920264452</t>
        </is>
      </c>
      <c r="H109" t="inlineStr">
        <is>
          <t>Round1</t>
        </is>
      </c>
      <c r="I109" t="inlineStr">
        <is>
          <t>&lt;calendly_link&gt;</t>
        </is>
      </c>
      <c r="J109" s="37" t="n">
        <v>44867.82708333333</v>
      </c>
      <c r="K109" t="inlineStr">
        <is>
          <t>Yes</t>
        </is>
      </c>
    </row>
    <row r="110">
      <c r="A110" t="inlineStr">
        <is>
          <t>REQ-0109</t>
        </is>
      </c>
      <c r="B110" t="inlineStr">
        <is>
          <t>Google</t>
        </is>
      </c>
      <c r="C110" t="inlineStr">
        <is>
          <t>Sundar Pichai</t>
        </is>
      </c>
      <c r="D110" t="inlineStr">
        <is>
          <t>sundar@google.com</t>
        </is>
      </c>
      <c r="E110" t="inlineStr">
        <is>
          <t>Chetan</t>
        </is>
      </c>
      <c r="F110" t="inlineStr">
        <is>
          <t>chetan@weekday.works</t>
        </is>
      </c>
      <c r="G110" s="36" t="inlineStr">
        <is>
          <t>+91 9920264452</t>
        </is>
      </c>
      <c r="H110" t="inlineStr">
        <is>
          <t>Round1</t>
        </is>
      </c>
      <c r="I110" t="inlineStr">
        <is>
          <t>&lt;calendly_link&gt;</t>
        </is>
      </c>
      <c r="J110" s="37" t="n">
        <v>44867.82708333333</v>
      </c>
      <c r="K110" t="inlineStr">
        <is>
          <t>Yes</t>
        </is>
      </c>
    </row>
    <row r="111">
      <c r="A111" t="inlineStr">
        <is>
          <t>REQ-0110</t>
        </is>
      </c>
      <c r="B111" t="inlineStr">
        <is>
          <t>Google</t>
        </is>
      </c>
      <c r="C111" t="inlineStr">
        <is>
          <t>Sundar Pichai</t>
        </is>
      </c>
      <c r="D111" t="inlineStr">
        <is>
          <t>sundar@google.com</t>
        </is>
      </c>
      <c r="E111" t="inlineStr">
        <is>
          <t>Chetan</t>
        </is>
      </c>
      <c r="F111" t="inlineStr">
        <is>
          <t>chetan@weekday.works</t>
        </is>
      </c>
      <c r="G111" s="36" t="inlineStr">
        <is>
          <t>+91 9920264452</t>
        </is>
      </c>
      <c r="H111" t="inlineStr">
        <is>
          <t>Round1</t>
        </is>
      </c>
      <c r="I111" t="inlineStr">
        <is>
          <t>&lt;calendly_link&gt;</t>
        </is>
      </c>
      <c r="J111" s="37" t="n">
        <v>44867.82708333333</v>
      </c>
      <c r="K111" t="inlineStr">
        <is>
          <t>Yes</t>
        </is>
      </c>
    </row>
    <row r="112">
      <c r="A112" t="inlineStr">
        <is>
          <t>REQ-0111</t>
        </is>
      </c>
      <c r="B112" t="inlineStr">
        <is>
          <t>Google</t>
        </is>
      </c>
      <c r="C112" t="inlineStr">
        <is>
          <t>Sundar Pichai</t>
        </is>
      </c>
      <c r="D112" t="inlineStr">
        <is>
          <t>sundar@google.com</t>
        </is>
      </c>
      <c r="E112" t="inlineStr">
        <is>
          <t>Chetan</t>
        </is>
      </c>
      <c r="F112" t="inlineStr">
        <is>
          <t>chetan@weekday.works</t>
        </is>
      </c>
      <c r="G112" s="36" t="inlineStr">
        <is>
          <t>+91 9920264452</t>
        </is>
      </c>
      <c r="H112" t="inlineStr">
        <is>
          <t>Round1</t>
        </is>
      </c>
      <c r="I112" t="inlineStr">
        <is>
          <t>&lt;calendly_link&gt;</t>
        </is>
      </c>
      <c r="J112" s="37" t="n">
        <v>44867.82708333333</v>
      </c>
      <c r="K112" t="inlineStr">
        <is>
          <t>Yes</t>
        </is>
      </c>
    </row>
    <row r="113">
      <c r="A113" t="inlineStr">
        <is>
          <t>REQ-0112</t>
        </is>
      </c>
      <c r="B113" t="inlineStr">
        <is>
          <t>Google</t>
        </is>
      </c>
      <c r="C113" t="inlineStr">
        <is>
          <t>Sundar Pichai</t>
        </is>
      </c>
      <c r="D113" t="inlineStr">
        <is>
          <t>sundar@google.com</t>
        </is>
      </c>
      <c r="E113" t="inlineStr">
        <is>
          <t>Chetan</t>
        </is>
      </c>
      <c r="F113" t="inlineStr">
        <is>
          <t>chetan@weekday.works</t>
        </is>
      </c>
      <c r="G113" s="36" t="inlineStr">
        <is>
          <t>+91 9920264452</t>
        </is>
      </c>
      <c r="H113" t="inlineStr">
        <is>
          <t>Round1</t>
        </is>
      </c>
      <c r="I113" t="inlineStr">
        <is>
          <t>&lt;calendly_link&gt;</t>
        </is>
      </c>
      <c r="J113" s="37" t="n">
        <v>44867.82708333333</v>
      </c>
      <c r="K113" t="inlineStr">
        <is>
          <t>Yes</t>
        </is>
      </c>
    </row>
    <row r="114">
      <c r="A114" t="inlineStr">
        <is>
          <t>REQ-0113</t>
        </is>
      </c>
      <c r="B114" t="inlineStr">
        <is>
          <t>Google</t>
        </is>
      </c>
      <c r="C114" t="inlineStr">
        <is>
          <t>Sundar Pichai</t>
        </is>
      </c>
      <c r="D114" t="inlineStr">
        <is>
          <t>sundar@google.com</t>
        </is>
      </c>
      <c r="E114" t="inlineStr">
        <is>
          <t>Chetan</t>
        </is>
      </c>
      <c r="F114" t="inlineStr">
        <is>
          <t>chetan@weekday.works</t>
        </is>
      </c>
      <c r="G114" s="36" t="inlineStr">
        <is>
          <t>+91 9920264452</t>
        </is>
      </c>
      <c r="H114" t="inlineStr">
        <is>
          <t>Round1</t>
        </is>
      </c>
      <c r="I114" t="inlineStr">
        <is>
          <t>&lt;calendly_link&gt;</t>
        </is>
      </c>
      <c r="J114" s="37" t="n">
        <v>44867.82708333333</v>
      </c>
      <c r="K114" t="inlineStr">
        <is>
          <t>Yes</t>
        </is>
      </c>
    </row>
    <row r="115">
      <c r="A115" t="inlineStr">
        <is>
          <t>REQ-0114</t>
        </is>
      </c>
      <c r="B115" t="inlineStr">
        <is>
          <t>Google</t>
        </is>
      </c>
      <c r="C115" t="inlineStr">
        <is>
          <t>Sundar Pichai</t>
        </is>
      </c>
      <c r="D115" t="inlineStr">
        <is>
          <t>sundar@google.com</t>
        </is>
      </c>
      <c r="E115" t="inlineStr">
        <is>
          <t>Chetan</t>
        </is>
      </c>
      <c r="F115" t="inlineStr">
        <is>
          <t>chetan@weekday.works</t>
        </is>
      </c>
      <c r="G115" s="36" t="inlineStr">
        <is>
          <t>+91 9920264452</t>
        </is>
      </c>
      <c r="H115" t="inlineStr">
        <is>
          <t>Round1</t>
        </is>
      </c>
      <c r="I115" t="inlineStr">
        <is>
          <t>&lt;calendly_link&gt;</t>
        </is>
      </c>
      <c r="J115" s="37" t="n">
        <v>44867.82708333333</v>
      </c>
      <c r="K115" t="inlineStr">
        <is>
          <t>Yes</t>
        </is>
      </c>
    </row>
    <row r="116">
      <c r="A116" t="inlineStr">
        <is>
          <t>REQ-0115</t>
        </is>
      </c>
      <c r="B116" t="inlineStr">
        <is>
          <t>Google</t>
        </is>
      </c>
      <c r="C116" t="inlineStr">
        <is>
          <t>Sundar Pichai</t>
        </is>
      </c>
      <c r="D116" t="inlineStr">
        <is>
          <t>sundar@google.com</t>
        </is>
      </c>
      <c r="E116" t="inlineStr">
        <is>
          <t>Chetan</t>
        </is>
      </c>
      <c r="F116" t="inlineStr">
        <is>
          <t>chetan@weekday.works</t>
        </is>
      </c>
      <c r="G116" s="36" t="inlineStr">
        <is>
          <t>+91 9920264452</t>
        </is>
      </c>
      <c r="H116" t="inlineStr">
        <is>
          <t>Round1</t>
        </is>
      </c>
      <c r="I116" t="inlineStr">
        <is>
          <t>&lt;calendly_link&gt;</t>
        </is>
      </c>
      <c r="J116" s="37" t="n">
        <v>44867.82708333333</v>
      </c>
      <c r="K116" t="inlineStr">
        <is>
          <t>Yes</t>
        </is>
      </c>
    </row>
    <row r="117">
      <c r="A117" t="inlineStr">
        <is>
          <t>REQ-0116</t>
        </is>
      </c>
      <c r="B117" t="inlineStr">
        <is>
          <t>Google</t>
        </is>
      </c>
      <c r="C117" t="inlineStr">
        <is>
          <t>Sundar Pichai</t>
        </is>
      </c>
      <c r="D117" t="inlineStr">
        <is>
          <t>sundar@google.com</t>
        </is>
      </c>
      <c r="E117" t="inlineStr">
        <is>
          <t>Chetan</t>
        </is>
      </c>
      <c r="F117" t="inlineStr">
        <is>
          <t>chetan@weekday.works</t>
        </is>
      </c>
      <c r="G117" s="36" t="inlineStr">
        <is>
          <t>+91 9920264452</t>
        </is>
      </c>
      <c r="H117" t="inlineStr">
        <is>
          <t>Round1</t>
        </is>
      </c>
      <c r="I117" t="inlineStr">
        <is>
          <t>&lt;calendly_link&gt;</t>
        </is>
      </c>
      <c r="J117" s="37" t="n">
        <v>44867.82708333333</v>
      </c>
      <c r="K117" t="inlineStr">
        <is>
          <t>Yes</t>
        </is>
      </c>
    </row>
    <row r="118">
      <c r="A118" t="inlineStr">
        <is>
          <t>REQ-0117</t>
        </is>
      </c>
      <c r="B118" t="inlineStr">
        <is>
          <t>Google</t>
        </is>
      </c>
      <c r="C118" t="inlineStr">
        <is>
          <t>Sundar Pichai</t>
        </is>
      </c>
      <c r="D118" t="inlineStr">
        <is>
          <t>sundar@google.com</t>
        </is>
      </c>
      <c r="E118" t="inlineStr">
        <is>
          <t>Chetan</t>
        </is>
      </c>
      <c r="F118" t="inlineStr">
        <is>
          <t>chetan@weekday.works</t>
        </is>
      </c>
      <c r="G118" s="36" t="inlineStr">
        <is>
          <t>+91 9920264452</t>
        </is>
      </c>
      <c r="H118" t="inlineStr">
        <is>
          <t>Round1</t>
        </is>
      </c>
      <c r="I118" t="inlineStr">
        <is>
          <t>&lt;calendly_link&gt;</t>
        </is>
      </c>
      <c r="J118" s="37" t="n">
        <v>44867.82708333333</v>
      </c>
      <c r="K118" t="inlineStr">
        <is>
          <t>Yes</t>
        </is>
      </c>
    </row>
    <row r="119">
      <c r="A119" t="inlineStr">
        <is>
          <t>REQ-0118</t>
        </is>
      </c>
      <c r="B119" t="inlineStr">
        <is>
          <t>Google</t>
        </is>
      </c>
      <c r="C119" t="inlineStr">
        <is>
          <t>Sundar Pichai</t>
        </is>
      </c>
      <c r="D119" t="inlineStr">
        <is>
          <t>sundar@google.com</t>
        </is>
      </c>
      <c r="E119" t="inlineStr">
        <is>
          <t>Chetan</t>
        </is>
      </c>
      <c r="F119" t="inlineStr">
        <is>
          <t>chetan@weekday.works</t>
        </is>
      </c>
      <c r="G119" s="36" t="inlineStr">
        <is>
          <t>+91 9920264452</t>
        </is>
      </c>
      <c r="H119" t="inlineStr">
        <is>
          <t>Round1</t>
        </is>
      </c>
      <c r="I119" t="inlineStr">
        <is>
          <t>&lt;calendly_link&gt;</t>
        </is>
      </c>
      <c r="J119" s="37" t="n">
        <v>44867.82708333333</v>
      </c>
      <c r="K119" t="inlineStr">
        <is>
          <t>Yes</t>
        </is>
      </c>
    </row>
    <row r="120">
      <c r="A120" t="inlineStr">
        <is>
          <t>REQ-0119</t>
        </is>
      </c>
      <c r="B120" t="inlineStr">
        <is>
          <t>Google</t>
        </is>
      </c>
      <c r="C120" t="inlineStr">
        <is>
          <t>Sundar Pichai</t>
        </is>
      </c>
      <c r="D120" t="inlineStr">
        <is>
          <t>sundar@google.com</t>
        </is>
      </c>
      <c r="E120" t="inlineStr">
        <is>
          <t>Chetan</t>
        </is>
      </c>
      <c r="F120" t="inlineStr">
        <is>
          <t>chetan@weekday.works</t>
        </is>
      </c>
      <c r="G120" s="36" t="inlineStr">
        <is>
          <t>+91 9920264452</t>
        </is>
      </c>
      <c r="H120" t="inlineStr">
        <is>
          <t>Round1</t>
        </is>
      </c>
      <c r="I120" t="inlineStr">
        <is>
          <t>&lt;calendly_link&gt;</t>
        </is>
      </c>
      <c r="J120" s="37" t="n">
        <v>44867.82708333333</v>
      </c>
      <c r="K120" t="inlineStr">
        <is>
          <t>Yes</t>
        </is>
      </c>
    </row>
    <row r="121">
      <c r="A121" t="inlineStr">
        <is>
          <t>REQ-0120</t>
        </is>
      </c>
      <c r="B121" t="inlineStr">
        <is>
          <t>Google</t>
        </is>
      </c>
      <c r="C121" t="inlineStr">
        <is>
          <t>Sundar Pichai</t>
        </is>
      </c>
      <c r="D121" t="inlineStr">
        <is>
          <t>sundar@google.com</t>
        </is>
      </c>
      <c r="E121" t="inlineStr">
        <is>
          <t>Chetan</t>
        </is>
      </c>
      <c r="F121" t="inlineStr">
        <is>
          <t>chetan@weekday.works</t>
        </is>
      </c>
      <c r="G121" s="36" t="inlineStr">
        <is>
          <t>+91 9920264452</t>
        </is>
      </c>
      <c r="H121" t="inlineStr">
        <is>
          <t>Round1</t>
        </is>
      </c>
      <c r="I121" t="inlineStr">
        <is>
          <t>&lt;calendly_link&gt;</t>
        </is>
      </c>
      <c r="J121" s="37" t="n">
        <v>44867.82708333333</v>
      </c>
      <c r="K121" t="inlineStr">
        <is>
          <t>Yes</t>
        </is>
      </c>
    </row>
    <row r="122">
      <c r="A122" t="inlineStr">
        <is>
          <t>REQ-0121</t>
        </is>
      </c>
      <c r="B122" t="inlineStr">
        <is>
          <t>Google</t>
        </is>
      </c>
      <c r="C122" t="inlineStr">
        <is>
          <t>Sundar Pichai</t>
        </is>
      </c>
      <c r="D122" t="inlineStr">
        <is>
          <t>sundar@google.com</t>
        </is>
      </c>
      <c r="E122" t="inlineStr">
        <is>
          <t>Chetan</t>
        </is>
      </c>
      <c r="F122" t="inlineStr">
        <is>
          <t>chetan@weekday.works</t>
        </is>
      </c>
      <c r="G122" s="36" t="inlineStr">
        <is>
          <t>+91 9920264452</t>
        </is>
      </c>
      <c r="H122" t="inlineStr">
        <is>
          <t>Round1</t>
        </is>
      </c>
      <c r="I122" t="inlineStr">
        <is>
          <t>&lt;calendly_link&gt;</t>
        </is>
      </c>
      <c r="J122" s="37" t="n">
        <v>44867.82708333333</v>
      </c>
      <c r="K122" t="inlineStr">
        <is>
          <t>Yes</t>
        </is>
      </c>
    </row>
    <row r="123">
      <c r="A123" t="inlineStr">
        <is>
          <t>REQ-0122</t>
        </is>
      </c>
      <c r="B123" t="inlineStr">
        <is>
          <t>Google</t>
        </is>
      </c>
      <c r="C123" t="inlineStr">
        <is>
          <t>Sundar Pichai</t>
        </is>
      </c>
      <c r="D123" t="inlineStr">
        <is>
          <t>sundar@google.com</t>
        </is>
      </c>
      <c r="E123" t="inlineStr">
        <is>
          <t>Chetan</t>
        </is>
      </c>
      <c r="F123" t="inlineStr">
        <is>
          <t>chetan@weekday.works</t>
        </is>
      </c>
      <c r="G123" s="36" t="inlineStr">
        <is>
          <t>+91 9920264452</t>
        </is>
      </c>
      <c r="H123" t="inlineStr">
        <is>
          <t>Round1</t>
        </is>
      </c>
      <c r="I123" t="inlineStr">
        <is>
          <t>&lt;calendly_link&gt;</t>
        </is>
      </c>
      <c r="J123" s="37" t="n">
        <v>44867.82708333333</v>
      </c>
      <c r="K123" t="inlineStr">
        <is>
          <t>Yes</t>
        </is>
      </c>
    </row>
    <row r="124">
      <c r="A124" t="inlineStr">
        <is>
          <t>REQ-0123</t>
        </is>
      </c>
      <c r="B124" t="inlineStr">
        <is>
          <t>Google</t>
        </is>
      </c>
      <c r="C124" t="inlineStr">
        <is>
          <t>Sundar Pichai</t>
        </is>
      </c>
      <c r="D124" t="inlineStr">
        <is>
          <t>sundar@google.com</t>
        </is>
      </c>
      <c r="E124" t="inlineStr">
        <is>
          <t>Chetan</t>
        </is>
      </c>
      <c r="F124" t="inlineStr">
        <is>
          <t>chetan@weekday.works</t>
        </is>
      </c>
      <c r="G124" s="36" t="inlineStr">
        <is>
          <t>+91 9920264452</t>
        </is>
      </c>
      <c r="H124" t="inlineStr">
        <is>
          <t>Round1</t>
        </is>
      </c>
      <c r="I124" t="inlineStr">
        <is>
          <t>&lt;calendly_link&gt;</t>
        </is>
      </c>
      <c r="J124" s="37" t="n">
        <v>44867.82708333333</v>
      </c>
      <c r="K124" t="inlineStr">
        <is>
          <t>Yes</t>
        </is>
      </c>
    </row>
    <row r="125">
      <c r="A125" t="inlineStr">
        <is>
          <t>REQ-0124</t>
        </is>
      </c>
      <c r="B125" t="inlineStr">
        <is>
          <t>Google</t>
        </is>
      </c>
      <c r="C125" t="inlineStr">
        <is>
          <t>Sundar Pichai</t>
        </is>
      </c>
      <c r="D125" t="inlineStr">
        <is>
          <t>sundar@google.com</t>
        </is>
      </c>
      <c r="E125" t="inlineStr">
        <is>
          <t>Chetan</t>
        </is>
      </c>
      <c r="F125" t="inlineStr">
        <is>
          <t>chetan@weekday.works</t>
        </is>
      </c>
      <c r="G125" s="36" t="inlineStr">
        <is>
          <t>+91 9920264452</t>
        </is>
      </c>
      <c r="H125" t="inlineStr">
        <is>
          <t>Round1</t>
        </is>
      </c>
      <c r="I125" t="inlineStr">
        <is>
          <t>&lt;calendly_link&gt;</t>
        </is>
      </c>
      <c r="J125" s="37" t="n">
        <v>44867.82708333333</v>
      </c>
      <c r="K125" t="inlineStr">
        <is>
          <t>Yes</t>
        </is>
      </c>
    </row>
    <row r="126">
      <c r="A126" t="inlineStr">
        <is>
          <t>REQ-0125</t>
        </is>
      </c>
      <c r="B126" t="inlineStr">
        <is>
          <t>Google</t>
        </is>
      </c>
      <c r="C126" t="inlineStr">
        <is>
          <t>Sundar Pichai</t>
        </is>
      </c>
      <c r="D126" t="inlineStr">
        <is>
          <t>sundar@google.com</t>
        </is>
      </c>
      <c r="E126" t="inlineStr">
        <is>
          <t>Chetan</t>
        </is>
      </c>
      <c r="F126" t="inlineStr">
        <is>
          <t>chetan@weekday.works</t>
        </is>
      </c>
      <c r="G126" s="36" t="inlineStr">
        <is>
          <t>+91 9920264452</t>
        </is>
      </c>
      <c r="H126" t="inlineStr">
        <is>
          <t>Round1</t>
        </is>
      </c>
      <c r="I126" t="inlineStr">
        <is>
          <t>&lt;calendly_link&gt;</t>
        </is>
      </c>
      <c r="J126" s="37" t="n">
        <v>44867.82708333333</v>
      </c>
      <c r="K126" t="inlineStr">
        <is>
          <t>Yes</t>
        </is>
      </c>
    </row>
    <row r="127">
      <c r="A127" t="inlineStr">
        <is>
          <t>REQ-0126</t>
        </is>
      </c>
      <c r="B127" t="inlineStr">
        <is>
          <t>Google</t>
        </is>
      </c>
      <c r="C127" t="inlineStr">
        <is>
          <t>Sundar Pichai</t>
        </is>
      </c>
      <c r="D127" t="inlineStr">
        <is>
          <t>sundar@google.com</t>
        </is>
      </c>
      <c r="E127" t="inlineStr">
        <is>
          <t>Chetan</t>
        </is>
      </c>
      <c r="F127" t="inlineStr">
        <is>
          <t>chetan@weekday.works</t>
        </is>
      </c>
      <c r="G127" s="36" t="inlineStr">
        <is>
          <t>+91 9920264452</t>
        </is>
      </c>
      <c r="H127" t="inlineStr">
        <is>
          <t>Round1</t>
        </is>
      </c>
      <c r="I127" t="inlineStr">
        <is>
          <t>&lt;calendly_link&gt;</t>
        </is>
      </c>
      <c r="J127" s="37" t="n">
        <v>44867.82708333333</v>
      </c>
      <c r="K127" t="inlineStr">
        <is>
          <t>Yes</t>
        </is>
      </c>
    </row>
    <row r="128">
      <c r="A128" t="inlineStr">
        <is>
          <t>REQ-0127</t>
        </is>
      </c>
      <c r="B128" t="inlineStr">
        <is>
          <t>Google</t>
        </is>
      </c>
      <c r="C128" t="inlineStr">
        <is>
          <t>Sundar Pichai</t>
        </is>
      </c>
      <c r="D128" t="inlineStr">
        <is>
          <t>sundar@google.com</t>
        </is>
      </c>
      <c r="E128" t="inlineStr">
        <is>
          <t>Chetan</t>
        </is>
      </c>
      <c r="F128" t="inlineStr">
        <is>
          <t>chetan@weekday.works</t>
        </is>
      </c>
      <c r="G128" s="36" t="inlineStr">
        <is>
          <t>+91 9920264452</t>
        </is>
      </c>
      <c r="H128" t="inlineStr">
        <is>
          <t>Round1</t>
        </is>
      </c>
      <c r="I128" t="inlineStr">
        <is>
          <t>&lt;calendly_link&gt;</t>
        </is>
      </c>
      <c r="J128" s="37" t="n">
        <v>44867.82708333333</v>
      </c>
      <c r="K128" t="inlineStr">
        <is>
          <t>Yes</t>
        </is>
      </c>
    </row>
    <row r="129">
      <c r="A129" t="inlineStr">
        <is>
          <t>REQ-0128</t>
        </is>
      </c>
      <c r="B129" t="inlineStr">
        <is>
          <t>Google</t>
        </is>
      </c>
      <c r="C129" t="inlineStr">
        <is>
          <t>Sundar Pichai</t>
        </is>
      </c>
      <c r="D129" t="inlineStr">
        <is>
          <t>sundar@google.com</t>
        </is>
      </c>
      <c r="E129" t="inlineStr">
        <is>
          <t>Chetan</t>
        </is>
      </c>
      <c r="F129" t="inlineStr">
        <is>
          <t>chetan@weekday.works</t>
        </is>
      </c>
      <c r="G129" s="36" t="inlineStr">
        <is>
          <t>+91 9920264452</t>
        </is>
      </c>
      <c r="H129" t="inlineStr">
        <is>
          <t>Round1</t>
        </is>
      </c>
      <c r="I129" t="inlineStr">
        <is>
          <t>&lt;calendly_link&gt;</t>
        </is>
      </c>
      <c r="J129" s="37" t="n">
        <v>44867.82708333333</v>
      </c>
      <c r="K129" t="inlineStr">
        <is>
          <t>Yes</t>
        </is>
      </c>
    </row>
    <row r="130">
      <c r="A130" t="inlineStr">
        <is>
          <t>REQ-0129</t>
        </is>
      </c>
      <c r="B130" t="inlineStr">
        <is>
          <t>Google</t>
        </is>
      </c>
      <c r="C130" t="inlineStr">
        <is>
          <t>Sundar Pichai</t>
        </is>
      </c>
      <c r="D130" t="inlineStr">
        <is>
          <t>sundar@google.com</t>
        </is>
      </c>
      <c r="E130" t="inlineStr">
        <is>
          <t>Chetan</t>
        </is>
      </c>
      <c r="F130" t="inlineStr">
        <is>
          <t>chetan@weekday.works</t>
        </is>
      </c>
      <c r="G130" s="36" t="inlineStr">
        <is>
          <t>+91 9920264452</t>
        </is>
      </c>
      <c r="H130" t="inlineStr">
        <is>
          <t>Round1</t>
        </is>
      </c>
      <c r="I130" t="inlineStr">
        <is>
          <t>&lt;calendly_link&gt;</t>
        </is>
      </c>
      <c r="J130" s="37" t="n">
        <v>44867.82708333333</v>
      </c>
      <c r="K130" t="inlineStr">
        <is>
          <t>Yes</t>
        </is>
      </c>
    </row>
    <row r="131">
      <c r="A131" t="inlineStr">
        <is>
          <t>REQ-0130</t>
        </is>
      </c>
      <c r="B131" t="inlineStr">
        <is>
          <t>Google</t>
        </is>
      </c>
      <c r="C131" t="inlineStr">
        <is>
          <t>Sundar Pichai</t>
        </is>
      </c>
      <c r="D131" t="inlineStr">
        <is>
          <t>sundar@google.com</t>
        </is>
      </c>
      <c r="E131" t="inlineStr">
        <is>
          <t>Chetan</t>
        </is>
      </c>
      <c r="F131" t="inlineStr">
        <is>
          <t>chetan@weekday.works</t>
        </is>
      </c>
      <c r="G131" s="36" t="inlineStr">
        <is>
          <t>+91 9920264452</t>
        </is>
      </c>
      <c r="H131" t="inlineStr">
        <is>
          <t>Round1</t>
        </is>
      </c>
      <c r="I131" t="inlineStr">
        <is>
          <t>&lt;calendly_link&gt;</t>
        </is>
      </c>
      <c r="J131" s="37" t="n">
        <v>44867.82708333333</v>
      </c>
      <c r="K131" t="inlineStr">
        <is>
          <t>Yes</t>
        </is>
      </c>
    </row>
    <row r="132">
      <c r="A132" t="inlineStr">
        <is>
          <t>REQ-0131</t>
        </is>
      </c>
      <c r="B132" t="inlineStr">
        <is>
          <t>Google</t>
        </is>
      </c>
      <c r="C132" t="inlineStr">
        <is>
          <t>Sundar Pichai</t>
        </is>
      </c>
      <c r="D132" t="inlineStr">
        <is>
          <t>sundar@google.com</t>
        </is>
      </c>
      <c r="E132" t="inlineStr">
        <is>
          <t>Chetan</t>
        </is>
      </c>
      <c r="F132" t="inlineStr">
        <is>
          <t>chetan@weekday.works</t>
        </is>
      </c>
      <c r="G132" s="36" t="inlineStr">
        <is>
          <t>+91 9920264452</t>
        </is>
      </c>
      <c r="H132" t="inlineStr">
        <is>
          <t>Round1</t>
        </is>
      </c>
      <c r="I132" t="inlineStr">
        <is>
          <t>&lt;calendly_link&gt;</t>
        </is>
      </c>
      <c r="J132" s="37" t="n">
        <v>44867.82708333333</v>
      </c>
      <c r="K132" t="inlineStr">
        <is>
          <t>Yes</t>
        </is>
      </c>
    </row>
    <row r="133">
      <c r="A133" t="inlineStr">
        <is>
          <t>REQ-0132</t>
        </is>
      </c>
      <c r="B133" t="inlineStr">
        <is>
          <t>Google</t>
        </is>
      </c>
      <c r="C133" t="inlineStr">
        <is>
          <t>Sundar Pichai</t>
        </is>
      </c>
      <c r="D133" t="inlineStr">
        <is>
          <t>sundar@google.com</t>
        </is>
      </c>
      <c r="E133" t="inlineStr">
        <is>
          <t>Chetan</t>
        </is>
      </c>
      <c r="F133" t="inlineStr">
        <is>
          <t>chetan@weekday.works</t>
        </is>
      </c>
      <c r="G133" s="36" t="inlineStr">
        <is>
          <t>+91 9920264452</t>
        </is>
      </c>
      <c r="H133" t="inlineStr">
        <is>
          <t>Round1</t>
        </is>
      </c>
      <c r="I133" t="inlineStr">
        <is>
          <t>&lt;calendly_link&gt;</t>
        </is>
      </c>
      <c r="J133" s="37" t="n">
        <v>44867.82708333333</v>
      </c>
      <c r="K133" t="inlineStr">
        <is>
          <t>Yes</t>
        </is>
      </c>
    </row>
    <row r="134">
      <c r="A134" t="inlineStr">
        <is>
          <t>REQ-0133</t>
        </is>
      </c>
      <c r="B134" t="inlineStr">
        <is>
          <t>Google</t>
        </is>
      </c>
      <c r="C134" t="inlineStr">
        <is>
          <t>Sundar Pichai</t>
        </is>
      </c>
      <c r="D134" t="inlineStr">
        <is>
          <t>sundar@google.com</t>
        </is>
      </c>
      <c r="E134" t="inlineStr">
        <is>
          <t>Chetan</t>
        </is>
      </c>
      <c r="F134" t="inlineStr">
        <is>
          <t>chetan@weekday.works</t>
        </is>
      </c>
      <c r="G134" s="36" t="inlineStr">
        <is>
          <t>+91 9920264452</t>
        </is>
      </c>
      <c r="H134" t="inlineStr">
        <is>
          <t>Round1</t>
        </is>
      </c>
      <c r="I134" t="inlineStr">
        <is>
          <t>&lt;calendly_link&gt;</t>
        </is>
      </c>
      <c r="J134" s="37" t="n">
        <v>44867.82708333333</v>
      </c>
      <c r="K134" t="inlineStr">
        <is>
          <t>Yes</t>
        </is>
      </c>
    </row>
    <row r="135">
      <c r="A135" t="inlineStr">
        <is>
          <t>REQ-0134</t>
        </is>
      </c>
      <c r="B135" t="inlineStr">
        <is>
          <t>Google</t>
        </is>
      </c>
      <c r="C135" t="inlineStr">
        <is>
          <t>Sundar Pichai</t>
        </is>
      </c>
      <c r="D135" t="inlineStr">
        <is>
          <t>sundar@google.com</t>
        </is>
      </c>
      <c r="E135" t="inlineStr">
        <is>
          <t>Chetan</t>
        </is>
      </c>
      <c r="F135" t="inlineStr">
        <is>
          <t>chetan@weekday.works</t>
        </is>
      </c>
      <c r="G135" s="36" t="inlineStr">
        <is>
          <t>+91 9920264452</t>
        </is>
      </c>
      <c r="H135" t="inlineStr">
        <is>
          <t>Round1</t>
        </is>
      </c>
      <c r="I135" t="inlineStr">
        <is>
          <t>&lt;calendly_link&gt;</t>
        </is>
      </c>
      <c r="J135" s="37" t="n">
        <v>44867.82708333333</v>
      </c>
      <c r="K135" t="inlineStr">
        <is>
          <t>Yes</t>
        </is>
      </c>
    </row>
    <row r="136">
      <c r="A136" t="inlineStr">
        <is>
          <t>REQ-0135</t>
        </is>
      </c>
      <c r="B136" t="inlineStr">
        <is>
          <t>Google</t>
        </is>
      </c>
      <c r="C136" t="inlineStr">
        <is>
          <t>Sundar Pichai</t>
        </is>
      </c>
      <c r="D136" t="inlineStr">
        <is>
          <t>sundar@google.com</t>
        </is>
      </c>
      <c r="E136" t="inlineStr">
        <is>
          <t>Chetan</t>
        </is>
      </c>
      <c r="F136" t="inlineStr">
        <is>
          <t>chetan@weekday.works</t>
        </is>
      </c>
      <c r="G136" s="36" t="inlineStr">
        <is>
          <t>+91 9920264452</t>
        </is>
      </c>
      <c r="H136" t="inlineStr">
        <is>
          <t>Round1</t>
        </is>
      </c>
      <c r="I136" t="inlineStr">
        <is>
          <t>&lt;calendly_link&gt;</t>
        </is>
      </c>
      <c r="J136" s="37" t="n">
        <v>44867.82708333333</v>
      </c>
      <c r="K136" t="inlineStr">
        <is>
          <t>Yes</t>
        </is>
      </c>
    </row>
    <row r="137">
      <c r="A137" t="inlineStr">
        <is>
          <t>REQ-0136</t>
        </is>
      </c>
      <c r="B137" t="inlineStr">
        <is>
          <t>Google</t>
        </is>
      </c>
      <c r="C137" t="inlineStr">
        <is>
          <t>Sundar Pichai</t>
        </is>
      </c>
      <c r="D137" t="inlineStr">
        <is>
          <t>sundar@google.com</t>
        </is>
      </c>
      <c r="E137" t="inlineStr">
        <is>
          <t>Chetan</t>
        </is>
      </c>
      <c r="F137" t="inlineStr">
        <is>
          <t>chetan@weekday.works</t>
        </is>
      </c>
      <c r="G137" s="36" t="inlineStr">
        <is>
          <t>+91 9920264452</t>
        </is>
      </c>
      <c r="H137" t="inlineStr">
        <is>
          <t>Round1</t>
        </is>
      </c>
      <c r="I137" t="inlineStr">
        <is>
          <t>&lt;calendly_link&gt;</t>
        </is>
      </c>
      <c r="J137" s="37" t="n">
        <v>44867.82708333333</v>
      </c>
      <c r="K137" t="inlineStr">
        <is>
          <t>Yes</t>
        </is>
      </c>
    </row>
    <row r="138">
      <c r="A138" t="inlineStr">
        <is>
          <t>REQ-0137</t>
        </is>
      </c>
      <c r="B138" t="inlineStr">
        <is>
          <t>Google</t>
        </is>
      </c>
      <c r="C138" t="inlineStr">
        <is>
          <t>Sundar Pichai</t>
        </is>
      </c>
      <c r="D138" t="inlineStr">
        <is>
          <t>sundar@google.com</t>
        </is>
      </c>
      <c r="E138" t="inlineStr">
        <is>
          <t>Chetan</t>
        </is>
      </c>
      <c r="F138" t="inlineStr">
        <is>
          <t>chetan@weekday.works</t>
        </is>
      </c>
      <c r="G138" s="36" t="inlineStr">
        <is>
          <t>+91 9920264452</t>
        </is>
      </c>
      <c r="H138" t="inlineStr">
        <is>
          <t>Round1</t>
        </is>
      </c>
      <c r="I138" t="inlineStr">
        <is>
          <t>&lt;calendly_link&gt;</t>
        </is>
      </c>
      <c r="J138" s="37" t="n">
        <v>44867.82708333333</v>
      </c>
      <c r="K138" t="inlineStr">
        <is>
          <t>Yes</t>
        </is>
      </c>
    </row>
    <row r="139">
      <c r="A139" t="inlineStr">
        <is>
          <t>REQ-0138</t>
        </is>
      </c>
      <c r="B139" t="inlineStr">
        <is>
          <t>Google</t>
        </is>
      </c>
      <c r="C139" t="inlineStr">
        <is>
          <t>Sundar Pichai</t>
        </is>
      </c>
      <c r="D139" t="inlineStr">
        <is>
          <t>sundar@google.com</t>
        </is>
      </c>
      <c r="E139" t="inlineStr">
        <is>
          <t>Chetan</t>
        </is>
      </c>
      <c r="F139" t="inlineStr">
        <is>
          <t>chetan@weekday.works</t>
        </is>
      </c>
      <c r="G139" s="36" t="inlineStr">
        <is>
          <t>+91 9920264452</t>
        </is>
      </c>
      <c r="H139" t="inlineStr">
        <is>
          <t>Round1</t>
        </is>
      </c>
      <c r="I139" t="inlineStr">
        <is>
          <t>&lt;calendly_link&gt;</t>
        </is>
      </c>
      <c r="J139" s="37" t="n">
        <v>44867.82708333333</v>
      </c>
      <c r="K139" t="inlineStr">
        <is>
          <t>Yes</t>
        </is>
      </c>
    </row>
    <row r="140">
      <c r="A140" t="inlineStr">
        <is>
          <t>REQ-0139</t>
        </is>
      </c>
      <c r="B140" t="inlineStr">
        <is>
          <t>Google</t>
        </is>
      </c>
      <c r="C140" t="inlineStr">
        <is>
          <t>Sundar Pichai</t>
        </is>
      </c>
      <c r="D140" t="inlineStr">
        <is>
          <t>sundar@google.com</t>
        </is>
      </c>
      <c r="E140" t="inlineStr">
        <is>
          <t>Chetan</t>
        </is>
      </c>
      <c r="F140" t="inlineStr">
        <is>
          <t>chetan@weekday.works</t>
        </is>
      </c>
      <c r="G140" s="36" t="inlineStr">
        <is>
          <t>+91 9920264452</t>
        </is>
      </c>
      <c r="H140" t="inlineStr">
        <is>
          <t>Round1</t>
        </is>
      </c>
      <c r="I140" t="inlineStr">
        <is>
          <t>&lt;calendly_link&gt;</t>
        </is>
      </c>
      <c r="J140" s="37" t="n">
        <v>44867.82708333333</v>
      </c>
      <c r="K140" t="inlineStr">
        <is>
          <t>Yes</t>
        </is>
      </c>
    </row>
    <row r="141">
      <c r="A141" t="inlineStr">
        <is>
          <t>REQ-0140</t>
        </is>
      </c>
      <c r="B141" t="inlineStr">
        <is>
          <t>Google</t>
        </is>
      </c>
      <c r="C141" t="inlineStr">
        <is>
          <t>Sundar Pichai</t>
        </is>
      </c>
      <c r="D141" t="inlineStr">
        <is>
          <t>sundar@google.com</t>
        </is>
      </c>
      <c r="E141" t="inlineStr">
        <is>
          <t>Chetan</t>
        </is>
      </c>
      <c r="F141" t="inlineStr">
        <is>
          <t>chetan@weekday.works</t>
        </is>
      </c>
      <c r="G141" s="36" t="inlineStr">
        <is>
          <t>+91 9920264452</t>
        </is>
      </c>
      <c r="H141" t="inlineStr">
        <is>
          <t>Round1</t>
        </is>
      </c>
      <c r="I141" t="inlineStr">
        <is>
          <t>&lt;calendly_link&gt;</t>
        </is>
      </c>
      <c r="J141" s="37" t="n">
        <v>44867.82708333333</v>
      </c>
      <c r="K141" t="inlineStr">
        <is>
          <t>Yes</t>
        </is>
      </c>
    </row>
    <row r="142">
      <c r="A142" t="inlineStr">
        <is>
          <t>REQ-0141</t>
        </is>
      </c>
      <c r="B142" t="inlineStr">
        <is>
          <t>Google</t>
        </is>
      </c>
      <c r="C142" t="inlineStr">
        <is>
          <t>Sundar Pichai</t>
        </is>
      </c>
      <c r="D142" t="inlineStr">
        <is>
          <t>sundar@google.com</t>
        </is>
      </c>
      <c r="E142" t="inlineStr">
        <is>
          <t>Chetan</t>
        </is>
      </c>
      <c r="F142" t="inlineStr">
        <is>
          <t>chetan@weekday.works</t>
        </is>
      </c>
      <c r="G142" s="36" t="inlineStr">
        <is>
          <t>+91 9920264452</t>
        </is>
      </c>
      <c r="H142" t="inlineStr">
        <is>
          <t>Round1</t>
        </is>
      </c>
      <c r="I142" t="inlineStr">
        <is>
          <t>&lt;calendly_link&gt;</t>
        </is>
      </c>
      <c r="J142" s="37" t="n">
        <v>44867.82708333333</v>
      </c>
      <c r="K142" t="inlineStr">
        <is>
          <t>Yes</t>
        </is>
      </c>
    </row>
    <row r="143">
      <c r="A143" t="inlineStr">
        <is>
          <t>REQ-0142</t>
        </is>
      </c>
      <c r="B143" t="inlineStr">
        <is>
          <t>Google</t>
        </is>
      </c>
      <c r="C143" t="inlineStr">
        <is>
          <t>Sundar Pichai</t>
        </is>
      </c>
      <c r="D143" t="inlineStr">
        <is>
          <t>sundar@google.com</t>
        </is>
      </c>
      <c r="E143" t="inlineStr">
        <is>
          <t>Chetan</t>
        </is>
      </c>
      <c r="F143" t="inlineStr">
        <is>
          <t>chetan@weekday.works</t>
        </is>
      </c>
      <c r="G143" s="36" t="inlineStr">
        <is>
          <t>+91 9920264452</t>
        </is>
      </c>
      <c r="H143" t="inlineStr">
        <is>
          <t>Round1</t>
        </is>
      </c>
      <c r="I143" t="inlineStr">
        <is>
          <t>&lt;calendly_link&gt;</t>
        </is>
      </c>
      <c r="J143" s="37" t="n">
        <v>44867.82708333333</v>
      </c>
      <c r="K143" t="inlineStr">
        <is>
          <t>Yes</t>
        </is>
      </c>
    </row>
    <row r="144">
      <c r="A144" t="inlineStr">
        <is>
          <t>REQ-0143</t>
        </is>
      </c>
      <c r="B144" t="inlineStr">
        <is>
          <t>Google</t>
        </is>
      </c>
      <c r="C144" t="inlineStr">
        <is>
          <t>Sundar Pichai</t>
        </is>
      </c>
      <c r="D144" t="inlineStr">
        <is>
          <t>sundar@google.com</t>
        </is>
      </c>
      <c r="E144" t="inlineStr">
        <is>
          <t>Chetan</t>
        </is>
      </c>
      <c r="F144" t="inlineStr">
        <is>
          <t>chetan@weekday.works</t>
        </is>
      </c>
      <c r="G144" s="36" t="inlineStr">
        <is>
          <t>+91 9920264452</t>
        </is>
      </c>
      <c r="H144" t="inlineStr">
        <is>
          <t>Round1</t>
        </is>
      </c>
      <c r="I144" t="inlineStr">
        <is>
          <t>&lt;calendly_link&gt;</t>
        </is>
      </c>
      <c r="J144" s="37" t="n">
        <v>44867.82708333333</v>
      </c>
      <c r="K144" t="inlineStr">
        <is>
          <t>Yes</t>
        </is>
      </c>
    </row>
    <row r="145">
      <c r="A145" t="inlineStr">
        <is>
          <t>REQ-0144</t>
        </is>
      </c>
      <c r="B145" t="inlineStr">
        <is>
          <t>Google</t>
        </is>
      </c>
      <c r="C145" t="inlineStr">
        <is>
          <t>Sundar Pichai</t>
        </is>
      </c>
      <c r="D145" t="inlineStr">
        <is>
          <t>sundar@google.com</t>
        </is>
      </c>
      <c r="E145" t="inlineStr">
        <is>
          <t>Chetan</t>
        </is>
      </c>
      <c r="F145" t="inlineStr">
        <is>
          <t>chetan@weekday.works</t>
        </is>
      </c>
      <c r="G145" s="36" t="inlineStr">
        <is>
          <t>+91 9920264452</t>
        </is>
      </c>
      <c r="H145" t="inlineStr">
        <is>
          <t>Round1</t>
        </is>
      </c>
      <c r="I145" t="inlineStr">
        <is>
          <t>&lt;calendly_link&gt;</t>
        </is>
      </c>
      <c r="J145" s="37" t="n">
        <v>44867.82708333333</v>
      </c>
      <c r="K145" t="inlineStr">
        <is>
          <t>Yes</t>
        </is>
      </c>
    </row>
    <row r="146">
      <c r="A146" t="inlineStr">
        <is>
          <t>REQ-0145</t>
        </is>
      </c>
      <c r="B146" t="inlineStr">
        <is>
          <t>Google</t>
        </is>
      </c>
      <c r="C146" t="inlineStr">
        <is>
          <t>Sundar Pichai</t>
        </is>
      </c>
      <c r="D146" t="inlineStr">
        <is>
          <t>sundar@google.com</t>
        </is>
      </c>
      <c r="E146" t="inlineStr">
        <is>
          <t>Chetan</t>
        </is>
      </c>
      <c r="F146" t="inlineStr">
        <is>
          <t>chetan@weekday.works</t>
        </is>
      </c>
      <c r="G146" s="36" t="inlineStr">
        <is>
          <t>+91 9920264452</t>
        </is>
      </c>
      <c r="H146" t="inlineStr">
        <is>
          <t>Round1</t>
        </is>
      </c>
      <c r="I146" t="inlineStr">
        <is>
          <t>&lt;calendly_link&gt;</t>
        </is>
      </c>
      <c r="J146" s="37" t="n">
        <v>44867.82708333333</v>
      </c>
      <c r="K146" t="inlineStr">
        <is>
          <t>Yes</t>
        </is>
      </c>
    </row>
    <row r="147">
      <c r="A147" t="inlineStr">
        <is>
          <t>REQ-0146</t>
        </is>
      </c>
      <c r="B147" t="inlineStr">
        <is>
          <t>Google</t>
        </is>
      </c>
      <c r="C147" t="inlineStr">
        <is>
          <t>Sundar Pichai</t>
        </is>
      </c>
      <c r="D147" t="inlineStr">
        <is>
          <t>sundar@google.com</t>
        </is>
      </c>
      <c r="E147" t="inlineStr">
        <is>
          <t>Chetan</t>
        </is>
      </c>
      <c r="F147" t="inlineStr">
        <is>
          <t>chetan@weekday.works</t>
        </is>
      </c>
      <c r="G147" s="36" t="inlineStr">
        <is>
          <t>+91 9920264452</t>
        </is>
      </c>
      <c r="H147" t="inlineStr">
        <is>
          <t>Round1</t>
        </is>
      </c>
      <c r="I147" t="inlineStr">
        <is>
          <t>&lt;calendly_link&gt;</t>
        </is>
      </c>
      <c r="J147" s="37" t="n">
        <v>44867.82708333333</v>
      </c>
      <c r="K147" t="inlineStr">
        <is>
          <t>Yes</t>
        </is>
      </c>
    </row>
    <row r="148">
      <c r="A148" t="inlineStr">
        <is>
          <t>REQ-0147</t>
        </is>
      </c>
      <c r="B148" t="inlineStr">
        <is>
          <t>Google</t>
        </is>
      </c>
      <c r="C148" t="inlineStr">
        <is>
          <t>Sundar Pichai</t>
        </is>
      </c>
      <c r="D148" t="inlineStr">
        <is>
          <t>sundar@google.com</t>
        </is>
      </c>
      <c r="E148" t="inlineStr">
        <is>
          <t>Chetan</t>
        </is>
      </c>
      <c r="F148" t="inlineStr">
        <is>
          <t>chetan@weekday.works</t>
        </is>
      </c>
      <c r="G148" s="36" t="inlineStr">
        <is>
          <t>+91 9920264452</t>
        </is>
      </c>
      <c r="H148" t="inlineStr">
        <is>
          <t>Round1</t>
        </is>
      </c>
      <c r="I148" t="inlineStr">
        <is>
          <t>&lt;calendly_link&gt;</t>
        </is>
      </c>
      <c r="J148" s="37" t="n">
        <v>44867.82708333333</v>
      </c>
      <c r="K148" t="inlineStr">
        <is>
          <t>Yes</t>
        </is>
      </c>
    </row>
    <row r="149">
      <c r="A149" t="inlineStr">
        <is>
          <t>REQ-0148</t>
        </is>
      </c>
      <c r="B149" t="inlineStr">
        <is>
          <t>Google</t>
        </is>
      </c>
      <c r="C149" t="inlineStr">
        <is>
          <t>Sundar Pichai</t>
        </is>
      </c>
      <c r="D149" t="inlineStr">
        <is>
          <t>sundar@google.com</t>
        </is>
      </c>
      <c r="E149" t="inlineStr">
        <is>
          <t>Chetan</t>
        </is>
      </c>
      <c r="F149" t="inlineStr">
        <is>
          <t>chetan@weekday.works</t>
        </is>
      </c>
      <c r="G149" s="36" t="inlineStr">
        <is>
          <t>+91 9920264452</t>
        </is>
      </c>
      <c r="H149" t="inlineStr">
        <is>
          <t>Round1</t>
        </is>
      </c>
      <c r="I149" t="inlineStr">
        <is>
          <t>&lt;calendly_link&gt;</t>
        </is>
      </c>
      <c r="J149" s="37" t="n">
        <v>44867.82708333333</v>
      </c>
      <c r="K149" t="inlineStr">
        <is>
          <t>Yes</t>
        </is>
      </c>
    </row>
    <row r="150">
      <c r="A150" t="inlineStr">
        <is>
          <t>REQ-0149</t>
        </is>
      </c>
      <c r="B150" t="inlineStr">
        <is>
          <t>Google</t>
        </is>
      </c>
      <c r="C150" t="inlineStr">
        <is>
          <t>Sundar Pichai</t>
        </is>
      </c>
      <c r="D150" t="inlineStr">
        <is>
          <t>sundar@google.com</t>
        </is>
      </c>
      <c r="E150" t="inlineStr">
        <is>
          <t>Chetan</t>
        </is>
      </c>
      <c r="F150" t="inlineStr">
        <is>
          <t>chetan@weekday.works</t>
        </is>
      </c>
      <c r="G150" s="36" t="inlineStr">
        <is>
          <t>+91 9920264452</t>
        </is>
      </c>
      <c r="H150" t="inlineStr">
        <is>
          <t>Round1</t>
        </is>
      </c>
      <c r="I150" t="inlineStr">
        <is>
          <t>&lt;calendly_link&gt;</t>
        </is>
      </c>
      <c r="J150" s="37" t="n">
        <v>44867.82708333333</v>
      </c>
      <c r="K150" t="inlineStr">
        <is>
          <t>Yes</t>
        </is>
      </c>
    </row>
    <row r="151">
      <c r="A151" t="inlineStr">
        <is>
          <t>REQ-0150</t>
        </is>
      </c>
      <c r="B151" t="inlineStr">
        <is>
          <t>Google</t>
        </is>
      </c>
      <c r="C151" t="inlineStr">
        <is>
          <t>Sundar Pichai</t>
        </is>
      </c>
      <c r="D151" t="inlineStr">
        <is>
          <t>sundar@google.com</t>
        </is>
      </c>
      <c r="E151" t="inlineStr">
        <is>
          <t>Chetan</t>
        </is>
      </c>
      <c r="F151" t="inlineStr">
        <is>
          <t>chetan@weekday.works</t>
        </is>
      </c>
      <c r="G151" s="36" t="inlineStr">
        <is>
          <t>+91 9920264452</t>
        </is>
      </c>
      <c r="H151" t="inlineStr">
        <is>
          <t>Round1</t>
        </is>
      </c>
      <c r="I151" t="inlineStr">
        <is>
          <t>&lt;calendly_link&gt;</t>
        </is>
      </c>
      <c r="J151" s="37" t="n">
        <v>44867.82708333333</v>
      </c>
      <c r="K151" t="inlineStr">
        <is>
          <t>Yes</t>
        </is>
      </c>
    </row>
    <row r="152">
      <c r="A152" t="inlineStr">
        <is>
          <t>REQ-0151</t>
        </is>
      </c>
      <c r="B152" t="inlineStr">
        <is>
          <t>Google</t>
        </is>
      </c>
      <c r="C152" t="inlineStr">
        <is>
          <t>Sundar Pichai</t>
        </is>
      </c>
      <c r="D152" t="inlineStr">
        <is>
          <t>sundar@google.com</t>
        </is>
      </c>
      <c r="E152" t="inlineStr">
        <is>
          <t>Chetan</t>
        </is>
      </c>
      <c r="F152" t="inlineStr">
        <is>
          <t>chetan@weekday.works</t>
        </is>
      </c>
      <c r="G152" s="36" t="inlineStr">
        <is>
          <t>+91 9920264452</t>
        </is>
      </c>
      <c r="H152" t="inlineStr">
        <is>
          <t>Round1</t>
        </is>
      </c>
      <c r="I152" t="inlineStr">
        <is>
          <t>&lt;calendly_link&gt;</t>
        </is>
      </c>
      <c r="J152" s="37" t="n">
        <v>44867.82708333333</v>
      </c>
      <c r="K152" t="inlineStr">
        <is>
          <t>Yes</t>
        </is>
      </c>
    </row>
    <row r="153">
      <c r="A153" t="inlineStr">
        <is>
          <t>REQ-0152</t>
        </is>
      </c>
      <c r="B153" t="inlineStr">
        <is>
          <t>Google</t>
        </is>
      </c>
      <c r="C153" t="inlineStr">
        <is>
          <t>Sundar Pichai</t>
        </is>
      </c>
      <c r="D153" t="inlineStr">
        <is>
          <t>sundar@google.com</t>
        </is>
      </c>
      <c r="E153" t="inlineStr">
        <is>
          <t>Chetan</t>
        </is>
      </c>
      <c r="F153" t="inlineStr">
        <is>
          <t>chetan@weekday.works</t>
        </is>
      </c>
      <c r="G153" s="36" t="inlineStr">
        <is>
          <t>+91 9920264452</t>
        </is>
      </c>
      <c r="H153" t="inlineStr">
        <is>
          <t>Round1</t>
        </is>
      </c>
      <c r="I153" t="inlineStr">
        <is>
          <t>&lt;calendly_link&gt;</t>
        </is>
      </c>
      <c r="J153" s="37" t="n">
        <v>44867.82708333333</v>
      </c>
      <c r="K153" t="inlineStr">
        <is>
          <t>Yes</t>
        </is>
      </c>
    </row>
    <row r="154">
      <c r="A154" t="inlineStr">
        <is>
          <t>REQ-0153</t>
        </is>
      </c>
      <c r="B154" t="inlineStr">
        <is>
          <t>Google</t>
        </is>
      </c>
      <c r="C154" t="inlineStr">
        <is>
          <t>Sundar Pichai</t>
        </is>
      </c>
      <c r="D154" t="inlineStr">
        <is>
          <t>sundar@google.com</t>
        </is>
      </c>
      <c r="E154" t="inlineStr">
        <is>
          <t>Chetan</t>
        </is>
      </c>
      <c r="F154" t="inlineStr">
        <is>
          <t>chetan@weekday.works</t>
        </is>
      </c>
      <c r="G154" s="36" t="inlineStr">
        <is>
          <t>+91 9920264452</t>
        </is>
      </c>
      <c r="H154" t="inlineStr">
        <is>
          <t>Round1</t>
        </is>
      </c>
      <c r="I154" t="inlineStr">
        <is>
          <t>&lt;calendly_link&gt;</t>
        </is>
      </c>
      <c r="J154" s="37" t="n">
        <v>44867.82708333333</v>
      </c>
      <c r="K154" t="inlineStr">
        <is>
          <t>Yes</t>
        </is>
      </c>
    </row>
    <row r="155">
      <c r="A155" t="inlineStr">
        <is>
          <t>REQ-0154</t>
        </is>
      </c>
      <c r="B155" t="inlineStr">
        <is>
          <t>Google</t>
        </is>
      </c>
      <c r="C155" t="inlineStr">
        <is>
          <t>Sundar Pichai</t>
        </is>
      </c>
      <c r="D155" t="inlineStr">
        <is>
          <t>sundar@google.com</t>
        </is>
      </c>
      <c r="E155" t="inlineStr">
        <is>
          <t>Chetan</t>
        </is>
      </c>
      <c r="F155" t="inlineStr">
        <is>
          <t>chetan@weekday.works</t>
        </is>
      </c>
      <c r="G155" s="36" t="inlineStr">
        <is>
          <t>+91 9920264452</t>
        </is>
      </c>
      <c r="H155" t="inlineStr">
        <is>
          <t>Round1</t>
        </is>
      </c>
      <c r="I155" t="inlineStr">
        <is>
          <t>&lt;calendly_link&gt;</t>
        </is>
      </c>
      <c r="J155" s="37" t="n">
        <v>44867.82708333333</v>
      </c>
      <c r="K155" t="inlineStr">
        <is>
          <t>Yes</t>
        </is>
      </c>
    </row>
    <row r="156">
      <c r="A156" t="inlineStr">
        <is>
          <t>REQ-0155</t>
        </is>
      </c>
      <c r="B156" t="inlineStr">
        <is>
          <t>Google</t>
        </is>
      </c>
      <c r="C156" t="inlineStr">
        <is>
          <t>Sundar Pichai</t>
        </is>
      </c>
      <c r="D156" t="inlineStr">
        <is>
          <t>sundar@google.com</t>
        </is>
      </c>
      <c r="E156" t="inlineStr">
        <is>
          <t>Chetan</t>
        </is>
      </c>
      <c r="F156" t="inlineStr">
        <is>
          <t>chetan@weekday.works</t>
        </is>
      </c>
      <c r="G156" s="36" t="inlineStr">
        <is>
          <t>+91 9920264452</t>
        </is>
      </c>
      <c r="H156" t="inlineStr">
        <is>
          <t>Round1</t>
        </is>
      </c>
      <c r="I156" t="inlineStr">
        <is>
          <t>&lt;calendly_link&gt;</t>
        </is>
      </c>
      <c r="J156" s="37" t="n">
        <v>44867.82708333333</v>
      </c>
      <c r="K156" t="inlineStr">
        <is>
          <t>Yes</t>
        </is>
      </c>
    </row>
    <row r="157">
      <c r="A157" t="inlineStr">
        <is>
          <t>REQ-0156</t>
        </is>
      </c>
      <c r="B157" t="inlineStr">
        <is>
          <t>Google</t>
        </is>
      </c>
      <c r="C157" t="inlineStr">
        <is>
          <t>Sundar Pichai</t>
        </is>
      </c>
      <c r="D157" t="inlineStr">
        <is>
          <t>sundar@google.com</t>
        </is>
      </c>
      <c r="E157" t="inlineStr">
        <is>
          <t>Chetan</t>
        </is>
      </c>
      <c r="F157" t="inlineStr">
        <is>
          <t>chetan@weekday.works</t>
        </is>
      </c>
      <c r="G157" s="36" t="inlineStr">
        <is>
          <t>+91 9920264452</t>
        </is>
      </c>
      <c r="H157" t="inlineStr">
        <is>
          <t>Round1</t>
        </is>
      </c>
      <c r="I157" t="inlineStr">
        <is>
          <t>&lt;calendly_link&gt;</t>
        </is>
      </c>
      <c r="J157" s="37" t="n">
        <v>44867.82708333333</v>
      </c>
      <c r="K157" t="inlineStr">
        <is>
          <t>Yes</t>
        </is>
      </c>
    </row>
    <row r="158">
      <c r="A158" t="inlineStr">
        <is>
          <t>REQ-0157</t>
        </is>
      </c>
      <c r="B158" t="inlineStr">
        <is>
          <t>Google</t>
        </is>
      </c>
      <c r="C158" t="inlineStr">
        <is>
          <t>Sundar Pichai</t>
        </is>
      </c>
      <c r="D158" t="inlineStr">
        <is>
          <t>sundar@google.com</t>
        </is>
      </c>
      <c r="E158" t="inlineStr">
        <is>
          <t>Chetan</t>
        </is>
      </c>
      <c r="F158" t="inlineStr">
        <is>
          <t>chetan@weekday.works</t>
        </is>
      </c>
      <c r="G158" s="36" t="inlineStr">
        <is>
          <t>+91 9920264452</t>
        </is>
      </c>
      <c r="H158" t="inlineStr">
        <is>
          <t>Round1</t>
        </is>
      </c>
      <c r="I158" t="inlineStr">
        <is>
          <t>&lt;calendly_link&gt;</t>
        </is>
      </c>
      <c r="J158" s="37" t="n">
        <v>44867.82708333333</v>
      </c>
      <c r="K158" t="inlineStr">
        <is>
          <t>Yes</t>
        </is>
      </c>
    </row>
    <row r="159">
      <c r="A159" t="inlineStr">
        <is>
          <t>REQ-0158</t>
        </is>
      </c>
      <c r="B159" t="inlineStr">
        <is>
          <t>Google</t>
        </is>
      </c>
      <c r="C159" t="inlineStr">
        <is>
          <t>Sundar Pichai</t>
        </is>
      </c>
      <c r="D159" t="inlineStr">
        <is>
          <t>sundar@google.com</t>
        </is>
      </c>
      <c r="E159" t="inlineStr">
        <is>
          <t>Chetan</t>
        </is>
      </c>
      <c r="F159" t="inlineStr">
        <is>
          <t>chetan@weekday.works</t>
        </is>
      </c>
      <c r="G159" s="36" t="inlineStr">
        <is>
          <t>+91 9920264452</t>
        </is>
      </c>
      <c r="H159" t="inlineStr">
        <is>
          <t>Round1</t>
        </is>
      </c>
      <c r="I159" t="inlineStr">
        <is>
          <t>&lt;calendly_link&gt;</t>
        </is>
      </c>
      <c r="J159" s="37" t="n">
        <v>44867.82708333333</v>
      </c>
      <c r="K159" t="inlineStr">
        <is>
          <t>Yes</t>
        </is>
      </c>
    </row>
    <row r="160">
      <c r="A160" t="inlineStr">
        <is>
          <t>REQ-0159</t>
        </is>
      </c>
      <c r="B160" t="inlineStr">
        <is>
          <t>Google</t>
        </is>
      </c>
      <c r="C160" t="inlineStr">
        <is>
          <t>Sundar Pichai</t>
        </is>
      </c>
      <c r="D160" t="inlineStr">
        <is>
          <t>sundar@google.com</t>
        </is>
      </c>
      <c r="E160" t="inlineStr">
        <is>
          <t>Chetan</t>
        </is>
      </c>
      <c r="F160" t="inlineStr">
        <is>
          <t>chetan@weekday.works</t>
        </is>
      </c>
      <c r="G160" s="36" t="inlineStr">
        <is>
          <t>+91 9920264452</t>
        </is>
      </c>
      <c r="H160" t="inlineStr">
        <is>
          <t>Round1</t>
        </is>
      </c>
      <c r="I160" t="inlineStr">
        <is>
          <t>&lt;calendly_link&gt;</t>
        </is>
      </c>
      <c r="J160" s="37" t="n">
        <v>44867.82708333333</v>
      </c>
      <c r="K160" t="inlineStr">
        <is>
          <t>Yes</t>
        </is>
      </c>
    </row>
    <row r="161">
      <c r="A161" t="inlineStr">
        <is>
          <t>REQ-0160</t>
        </is>
      </c>
      <c r="B161" t="inlineStr">
        <is>
          <t>Google</t>
        </is>
      </c>
      <c r="C161" t="inlineStr">
        <is>
          <t>Sundar Pichai</t>
        </is>
      </c>
      <c r="D161" t="inlineStr">
        <is>
          <t>sundar@google.com</t>
        </is>
      </c>
      <c r="E161" t="inlineStr">
        <is>
          <t>Chetan</t>
        </is>
      </c>
      <c r="F161" t="inlineStr">
        <is>
          <t>chetan@weekday.works</t>
        </is>
      </c>
      <c r="G161" s="36" t="inlineStr">
        <is>
          <t>+91 9920264452</t>
        </is>
      </c>
      <c r="H161" t="inlineStr">
        <is>
          <t>Round1</t>
        </is>
      </c>
      <c r="I161" t="inlineStr">
        <is>
          <t>&lt;calendly_link&gt;</t>
        </is>
      </c>
      <c r="J161" s="37" t="n">
        <v>44867.82708333333</v>
      </c>
      <c r="K161" t="inlineStr">
        <is>
          <t>Yes</t>
        </is>
      </c>
    </row>
    <row r="162">
      <c r="A162" t="inlineStr">
        <is>
          <t>REQ-0161</t>
        </is>
      </c>
      <c r="B162" t="inlineStr">
        <is>
          <t>Google</t>
        </is>
      </c>
      <c r="C162" t="inlineStr">
        <is>
          <t>Sundar Pichai</t>
        </is>
      </c>
      <c r="D162" t="inlineStr">
        <is>
          <t>sundar@google.com</t>
        </is>
      </c>
      <c r="E162" t="inlineStr">
        <is>
          <t>Chetan</t>
        </is>
      </c>
      <c r="F162" t="inlineStr">
        <is>
          <t>chetan@weekday.works</t>
        </is>
      </c>
      <c r="G162" s="36" t="inlineStr">
        <is>
          <t>+91 9920264452</t>
        </is>
      </c>
      <c r="H162" t="inlineStr">
        <is>
          <t>Round1</t>
        </is>
      </c>
      <c r="I162" t="inlineStr">
        <is>
          <t>&lt;calendly_link&gt;</t>
        </is>
      </c>
      <c r="J162" s="37" t="n">
        <v>44867.82708333333</v>
      </c>
      <c r="K162" t="inlineStr">
        <is>
          <t>Yes</t>
        </is>
      </c>
    </row>
    <row r="163">
      <c r="A163" t="inlineStr">
        <is>
          <t>REQ-0162</t>
        </is>
      </c>
      <c r="B163" t="inlineStr">
        <is>
          <t>Google</t>
        </is>
      </c>
      <c r="C163" t="inlineStr">
        <is>
          <t>Sundar Pichai</t>
        </is>
      </c>
      <c r="D163" t="inlineStr">
        <is>
          <t>sundar@google.com</t>
        </is>
      </c>
      <c r="E163" t="inlineStr">
        <is>
          <t>Chetan</t>
        </is>
      </c>
      <c r="F163" t="inlineStr">
        <is>
          <t>chetan@weekday.works</t>
        </is>
      </c>
      <c r="G163" s="36" t="inlineStr">
        <is>
          <t>+91 9920264452</t>
        </is>
      </c>
      <c r="H163" t="inlineStr">
        <is>
          <t>Round1</t>
        </is>
      </c>
      <c r="I163" t="inlineStr">
        <is>
          <t>&lt;calendly_link&gt;</t>
        </is>
      </c>
      <c r="J163" s="37" t="n">
        <v>44867.82708333333</v>
      </c>
      <c r="K163" t="inlineStr">
        <is>
          <t>Yes</t>
        </is>
      </c>
    </row>
    <row r="164">
      <c r="A164" t="inlineStr">
        <is>
          <t>REQ-0163</t>
        </is>
      </c>
      <c r="B164" t="inlineStr">
        <is>
          <t>Google</t>
        </is>
      </c>
      <c r="C164" t="inlineStr">
        <is>
          <t>Sundar Pichai</t>
        </is>
      </c>
      <c r="D164" t="inlineStr">
        <is>
          <t>sundar@google.com</t>
        </is>
      </c>
      <c r="E164" t="inlineStr">
        <is>
          <t>Chetan</t>
        </is>
      </c>
      <c r="F164" t="inlineStr">
        <is>
          <t>chetan@weekday.works</t>
        </is>
      </c>
      <c r="G164" s="36" t="inlineStr">
        <is>
          <t>+91 9920264452</t>
        </is>
      </c>
      <c r="H164" t="inlineStr">
        <is>
          <t>Round1</t>
        </is>
      </c>
      <c r="I164" t="inlineStr">
        <is>
          <t>&lt;calendly_link&gt;</t>
        </is>
      </c>
      <c r="J164" s="37" t="n">
        <v>44867.82708333333</v>
      </c>
      <c r="K164" t="inlineStr">
        <is>
          <t>Yes</t>
        </is>
      </c>
    </row>
    <row r="165">
      <c r="A165" t="inlineStr">
        <is>
          <t>REQ-0164</t>
        </is>
      </c>
      <c r="B165" t="inlineStr">
        <is>
          <t>Google</t>
        </is>
      </c>
      <c r="C165" t="inlineStr">
        <is>
          <t>Sundar Pichai</t>
        </is>
      </c>
      <c r="D165" t="inlineStr">
        <is>
          <t>sundar@google.com</t>
        </is>
      </c>
      <c r="E165" t="inlineStr">
        <is>
          <t>Chetan</t>
        </is>
      </c>
      <c r="F165" t="inlineStr">
        <is>
          <t>chetan@weekday.works</t>
        </is>
      </c>
      <c r="G165" s="36" t="inlineStr">
        <is>
          <t>+91 9920264452</t>
        </is>
      </c>
      <c r="H165" t="inlineStr">
        <is>
          <t>Round1</t>
        </is>
      </c>
      <c r="I165" t="inlineStr">
        <is>
          <t>&lt;calendly_link&gt;</t>
        </is>
      </c>
      <c r="J165" s="37" t="n">
        <v>44867.82708333333</v>
      </c>
      <c r="K165" t="inlineStr">
        <is>
          <t>Yes</t>
        </is>
      </c>
    </row>
    <row r="166">
      <c r="A166" t="inlineStr">
        <is>
          <t>REQ-0165</t>
        </is>
      </c>
      <c r="B166" t="inlineStr">
        <is>
          <t>Google</t>
        </is>
      </c>
      <c r="C166" t="inlineStr">
        <is>
          <t>Sundar Pichai</t>
        </is>
      </c>
      <c r="D166" t="inlineStr">
        <is>
          <t>sundar@google.com</t>
        </is>
      </c>
      <c r="E166" t="inlineStr">
        <is>
          <t>Chetan</t>
        </is>
      </c>
      <c r="F166" t="inlineStr">
        <is>
          <t>chetan@weekday.works</t>
        </is>
      </c>
      <c r="G166" s="36" t="inlineStr">
        <is>
          <t>+91 9920264452</t>
        </is>
      </c>
      <c r="H166" t="inlineStr">
        <is>
          <t>Round1</t>
        </is>
      </c>
      <c r="I166" t="inlineStr">
        <is>
          <t>&lt;calendly_link&gt;</t>
        </is>
      </c>
      <c r="J166" s="37" t="n">
        <v>44867.82708333333</v>
      </c>
      <c r="K166" t="inlineStr">
        <is>
          <t>Yes</t>
        </is>
      </c>
    </row>
    <row r="167">
      <c r="A167" t="inlineStr">
        <is>
          <t>REQ-0166</t>
        </is>
      </c>
      <c r="B167" t="inlineStr">
        <is>
          <t>Google</t>
        </is>
      </c>
      <c r="C167" t="inlineStr">
        <is>
          <t>Sundar Pichai</t>
        </is>
      </c>
      <c r="D167" t="inlineStr">
        <is>
          <t>sundar@google.com</t>
        </is>
      </c>
      <c r="E167" t="inlineStr">
        <is>
          <t>Chetan</t>
        </is>
      </c>
      <c r="F167" t="inlineStr">
        <is>
          <t>chetan@weekday.works</t>
        </is>
      </c>
      <c r="G167" s="36" t="inlineStr">
        <is>
          <t>+91 9920264452</t>
        </is>
      </c>
      <c r="H167" t="inlineStr">
        <is>
          <t>Round1</t>
        </is>
      </c>
      <c r="I167" t="inlineStr">
        <is>
          <t>&lt;calendly_link&gt;</t>
        </is>
      </c>
      <c r="J167" s="37" t="n">
        <v>44867.82708333333</v>
      </c>
      <c r="K167" t="inlineStr">
        <is>
          <t>Yes</t>
        </is>
      </c>
    </row>
    <row r="168">
      <c r="A168" t="inlineStr">
        <is>
          <t>REQ-0167</t>
        </is>
      </c>
      <c r="B168" t="inlineStr">
        <is>
          <t>Google</t>
        </is>
      </c>
      <c r="C168" t="inlineStr">
        <is>
          <t>Sundar Pichai</t>
        </is>
      </c>
      <c r="D168" t="inlineStr">
        <is>
          <t>sundar@google.com</t>
        </is>
      </c>
      <c r="E168" t="inlineStr">
        <is>
          <t>Chetan</t>
        </is>
      </c>
      <c r="F168" t="inlineStr">
        <is>
          <t>chetan@weekday.works</t>
        </is>
      </c>
      <c r="G168" s="36" t="inlineStr">
        <is>
          <t>+91 9920264452</t>
        </is>
      </c>
      <c r="H168" t="inlineStr">
        <is>
          <t>Round1</t>
        </is>
      </c>
      <c r="I168" t="inlineStr">
        <is>
          <t>&lt;calendly_link&gt;</t>
        </is>
      </c>
      <c r="J168" s="37" t="n">
        <v>44867.82708333333</v>
      </c>
      <c r="K168" t="inlineStr">
        <is>
          <t>Yes</t>
        </is>
      </c>
    </row>
    <row r="169">
      <c r="A169" t="inlineStr">
        <is>
          <t>REQ-0168</t>
        </is>
      </c>
      <c r="B169" t="inlineStr">
        <is>
          <t>Google</t>
        </is>
      </c>
      <c r="C169" t="inlineStr">
        <is>
          <t>Sundar Pichai</t>
        </is>
      </c>
      <c r="D169" t="inlineStr">
        <is>
          <t>sundar@google.com</t>
        </is>
      </c>
      <c r="E169" t="inlineStr">
        <is>
          <t>Chetan</t>
        </is>
      </c>
      <c r="F169" t="inlineStr">
        <is>
          <t>chetan@weekday.works</t>
        </is>
      </c>
      <c r="G169" s="36" t="inlineStr">
        <is>
          <t>+91 9920264452</t>
        </is>
      </c>
      <c r="H169" t="inlineStr">
        <is>
          <t>Round1</t>
        </is>
      </c>
      <c r="I169" t="inlineStr">
        <is>
          <t>&lt;calendly_link&gt;</t>
        </is>
      </c>
      <c r="J169" s="37" t="n">
        <v>44867.82708333333</v>
      </c>
      <c r="K169" t="inlineStr">
        <is>
          <t>Yes</t>
        </is>
      </c>
    </row>
    <row r="170">
      <c r="A170" t="inlineStr">
        <is>
          <t>REQ-0169</t>
        </is>
      </c>
      <c r="B170" t="inlineStr">
        <is>
          <t>Google</t>
        </is>
      </c>
      <c r="C170" t="inlineStr">
        <is>
          <t>Sundar Pichai</t>
        </is>
      </c>
      <c r="D170" t="inlineStr">
        <is>
          <t>sundar@google.com</t>
        </is>
      </c>
      <c r="E170" t="inlineStr">
        <is>
          <t>Chetan</t>
        </is>
      </c>
      <c r="F170" t="inlineStr">
        <is>
          <t>chetan@weekday.works</t>
        </is>
      </c>
      <c r="G170" s="36" t="inlineStr">
        <is>
          <t>+91 9920264452</t>
        </is>
      </c>
      <c r="H170" t="inlineStr">
        <is>
          <t>Round1</t>
        </is>
      </c>
      <c r="I170" t="inlineStr">
        <is>
          <t>&lt;calendly_link&gt;</t>
        </is>
      </c>
      <c r="J170" s="37" t="n">
        <v>44867.82708333333</v>
      </c>
      <c r="K170" t="inlineStr">
        <is>
          <t>Yes</t>
        </is>
      </c>
    </row>
    <row r="171">
      <c r="A171" t="inlineStr">
        <is>
          <t>REQ-0170</t>
        </is>
      </c>
      <c r="B171" t="inlineStr">
        <is>
          <t>Google</t>
        </is>
      </c>
      <c r="C171" t="inlineStr">
        <is>
          <t>Sundar Pichai</t>
        </is>
      </c>
      <c r="D171" t="inlineStr">
        <is>
          <t>sundar@google.com</t>
        </is>
      </c>
      <c r="E171" t="inlineStr">
        <is>
          <t>Chetan</t>
        </is>
      </c>
      <c r="F171" t="inlineStr">
        <is>
          <t>chetan@weekday.works</t>
        </is>
      </c>
      <c r="G171" s="36" t="inlineStr">
        <is>
          <t>+91 9920264452</t>
        </is>
      </c>
      <c r="H171" t="inlineStr">
        <is>
          <t>Round1</t>
        </is>
      </c>
      <c r="I171" t="inlineStr">
        <is>
          <t>&lt;calendly_link&gt;</t>
        </is>
      </c>
      <c r="J171" s="37" t="n">
        <v>44867.82708333333</v>
      </c>
      <c r="K171" t="inlineStr">
        <is>
          <t>Yes</t>
        </is>
      </c>
    </row>
    <row r="172">
      <c r="A172" t="inlineStr">
        <is>
          <t>REQ-0171</t>
        </is>
      </c>
      <c r="B172" t="inlineStr">
        <is>
          <t>Google</t>
        </is>
      </c>
      <c r="C172" t="inlineStr">
        <is>
          <t>Sundar Pichai</t>
        </is>
      </c>
      <c r="D172" t="inlineStr">
        <is>
          <t>sundar@google.com</t>
        </is>
      </c>
      <c r="E172" t="inlineStr">
        <is>
          <t>Chetan</t>
        </is>
      </c>
      <c r="F172" t="inlineStr">
        <is>
          <t>chetan@weekday.works</t>
        </is>
      </c>
      <c r="G172" s="36" t="inlineStr">
        <is>
          <t>+91 9920264452</t>
        </is>
      </c>
      <c r="H172" t="inlineStr">
        <is>
          <t>Round1</t>
        </is>
      </c>
      <c r="I172" t="inlineStr">
        <is>
          <t>&lt;calendly_link&gt;</t>
        </is>
      </c>
      <c r="J172" s="37" t="n">
        <v>44867.82708333333</v>
      </c>
      <c r="K172" t="inlineStr">
        <is>
          <t>Yes</t>
        </is>
      </c>
    </row>
    <row r="173">
      <c r="A173" t="inlineStr">
        <is>
          <t>REQ-0172</t>
        </is>
      </c>
      <c r="B173" t="inlineStr">
        <is>
          <t>Google</t>
        </is>
      </c>
      <c r="C173" t="inlineStr">
        <is>
          <t>Sundar Pichai</t>
        </is>
      </c>
      <c r="D173" t="inlineStr">
        <is>
          <t>sundar@google.com</t>
        </is>
      </c>
      <c r="E173" t="inlineStr">
        <is>
          <t>Chetan</t>
        </is>
      </c>
      <c r="F173" t="inlineStr">
        <is>
          <t>chetan@weekday.works</t>
        </is>
      </c>
      <c r="G173" s="36" t="inlineStr">
        <is>
          <t>+91 9920264452</t>
        </is>
      </c>
      <c r="H173" t="inlineStr">
        <is>
          <t>Round1</t>
        </is>
      </c>
      <c r="I173" t="inlineStr">
        <is>
          <t>&lt;calendly_link&gt;</t>
        </is>
      </c>
      <c r="J173" s="37" t="n">
        <v>44867.82708333333</v>
      </c>
      <c r="K173" t="inlineStr">
        <is>
          <t>Yes</t>
        </is>
      </c>
    </row>
    <row r="174">
      <c r="A174" t="inlineStr">
        <is>
          <t>REQ-0173</t>
        </is>
      </c>
      <c r="B174" t="inlineStr">
        <is>
          <t>Google</t>
        </is>
      </c>
      <c r="C174" t="inlineStr">
        <is>
          <t>Sundar Pichai</t>
        </is>
      </c>
      <c r="D174" t="inlineStr">
        <is>
          <t>sundar@google.com</t>
        </is>
      </c>
      <c r="E174" t="inlineStr">
        <is>
          <t>Chetan</t>
        </is>
      </c>
      <c r="F174" t="inlineStr">
        <is>
          <t>chetan@weekday.works</t>
        </is>
      </c>
      <c r="G174" s="36" t="inlineStr">
        <is>
          <t>+91 9920264452</t>
        </is>
      </c>
      <c r="H174" t="inlineStr">
        <is>
          <t>Round1</t>
        </is>
      </c>
      <c r="I174" t="inlineStr">
        <is>
          <t>&lt;calendly_link&gt;</t>
        </is>
      </c>
      <c r="J174" s="37" t="n">
        <v>44867.82708333333</v>
      </c>
      <c r="K174" t="inlineStr">
        <is>
          <t>Yes</t>
        </is>
      </c>
    </row>
    <row r="175">
      <c r="A175" t="inlineStr">
        <is>
          <t>REQ-0174</t>
        </is>
      </c>
      <c r="B175" t="inlineStr">
        <is>
          <t>Google</t>
        </is>
      </c>
      <c r="C175" t="inlineStr">
        <is>
          <t>Sundar Pichai</t>
        </is>
      </c>
      <c r="D175" t="inlineStr">
        <is>
          <t>sundar@google.com</t>
        </is>
      </c>
      <c r="E175" t="inlineStr">
        <is>
          <t>Chetan</t>
        </is>
      </c>
      <c r="F175" t="inlineStr">
        <is>
          <t>chetan@weekday.works</t>
        </is>
      </c>
      <c r="G175" s="36" t="inlineStr">
        <is>
          <t>+91 9920264452</t>
        </is>
      </c>
      <c r="H175" t="inlineStr">
        <is>
          <t>Round1</t>
        </is>
      </c>
      <c r="I175" t="inlineStr">
        <is>
          <t>&lt;calendly_link&gt;</t>
        </is>
      </c>
      <c r="J175" s="37" t="n">
        <v>44867.82708333333</v>
      </c>
      <c r="K175" t="inlineStr">
        <is>
          <t>Yes</t>
        </is>
      </c>
    </row>
    <row r="176">
      <c r="A176" t="inlineStr">
        <is>
          <t>REQ-0175</t>
        </is>
      </c>
      <c r="B176" t="inlineStr">
        <is>
          <t>Google</t>
        </is>
      </c>
      <c r="C176" t="inlineStr">
        <is>
          <t>Sundar Pichai</t>
        </is>
      </c>
      <c r="D176" t="inlineStr">
        <is>
          <t>sundar@google.com</t>
        </is>
      </c>
      <c r="E176" t="inlineStr">
        <is>
          <t>Chetan</t>
        </is>
      </c>
      <c r="F176" t="inlineStr">
        <is>
          <t>chetan@weekday.works</t>
        </is>
      </c>
      <c r="G176" s="36" t="inlineStr">
        <is>
          <t>+91 9920264452</t>
        </is>
      </c>
      <c r="H176" t="inlineStr">
        <is>
          <t>Round1</t>
        </is>
      </c>
      <c r="I176" t="inlineStr">
        <is>
          <t>&lt;calendly_link&gt;</t>
        </is>
      </c>
      <c r="J176" s="37" t="n">
        <v>44867.82708333333</v>
      </c>
      <c r="K176" t="inlineStr">
        <is>
          <t>Yes</t>
        </is>
      </c>
    </row>
    <row r="177">
      <c r="A177" t="inlineStr">
        <is>
          <t>REQ-0176</t>
        </is>
      </c>
      <c r="B177" t="inlineStr">
        <is>
          <t>Google</t>
        </is>
      </c>
      <c r="C177" t="inlineStr">
        <is>
          <t>Sundar Pichai</t>
        </is>
      </c>
      <c r="D177" t="inlineStr">
        <is>
          <t>sundar@google.com</t>
        </is>
      </c>
      <c r="E177" t="inlineStr">
        <is>
          <t>Chetan</t>
        </is>
      </c>
      <c r="F177" t="inlineStr">
        <is>
          <t>chetan@weekday.works</t>
        </is>
      </c>
      <c r="G177" s="36" t="inlineStr">
        <is>
          <t>+91 9920264452</t>
        </is>
      </c>
      <c r="H177" t="inlineStr">
        <is>
          <t>Round1</t>
        </is>
      </c>
      <c r="I177" t="inlineStr">
        <is>
          <t>&lt;calendly_link&gt;</t>
        </is>
      </c>
      <c r="J177" s="37" t="n">
        <v>44867.82708333333</v>
      </c>
      <c r="K177" t="inlineStr">
        <is>
          <t>Yes</t>
        </is>
      </c>
    </row>
    <row r="178">
      <c r="A178" t="inlineStr">
        <is>
          <t>REQ-0177</t>
        </is>
      </c>
      <c r="B178" t="inlineStr">
        <is>
          <t>Google</t>
        </is>
      </c>
      <c r="C178" t="inlineStr">
        <is>
          <t>Sundar Pichai</t>
        </is>
      </c>
      <c r="D178" t="inlineStr">
        <is>
          <t>sundar@google.com</t>
        </is>
      </c>
      <c r="E178" t="inlineStr">
        <is>
          <t>Chetan</t>
        </is>
      </c>
      <c r="F178" t="inlineStr">
        <is>
          <t>chetan@weekday.works</t>
        </is>
      </c>
      <c r="G178" s="36" t="inlineStr">
        <is>
          <t>+91 9920264452</t>
        </is>
      </c>
      <c r="H178" t="inlineStr">
        <is>
          <t>Round1</t>
        </is>
      </c>
      <c r="I178" t="inlineStr">
        <is>
          <t>&lt;calendly_link&gt;</t>
        </is>
      </c>
      <c r="J178" s="37" t="n">
        <v>44867.82708333333</v>
      </c>
      <c r="K178" t="inlineStr">
        <is>
          <t>Yes</t>
        </is>
      </c>
    </row>
    <row r="179">
      <c r="A179" t="inlineStr">
        <is>
          <t>REQ-0178</t>
        </is>
      </c>
      <c r="B179" t="inlineStr">
        <is>
          <t>Google</t>
        </is>
      </c>
      <c r="C179" t="inlineStr">
        <is>
          <t>Sundar Pichai</t>
        </is>
      </c>
      <c r="D179" t="inlineStr">
        <is>
          <t>sundar@google.com</t>
        </is>
      </c>
      <c r="E179" t="inlineStr">
        <is>
          <t>Chetan</t>
        </is>
      </c>
      <c r="F179" t="inlineStr">
        <is>
          <t>chetan@weekday.works</t>
        </is>
      </c>
      <c r="G179" s="36" t="inlineStr">
        <is>
          <t>+91 9920264452</t>
        </is>
      </c>
      <c r="H179" t="inlineStr">
        <is>
          <t>Round1</t>
        </is>
      </c>
      <c r="I179" t="inlineStr">
        <is>
          <t>&lt;calendly_link&gt;</t>
        </is>
      </c>
      <c r="J179" s="37" t="n">
        <v>44867.82708333333</v>
      </c>
      <c r="K179" t="inlineStr">
        <is>
          <t>Yes</t>
        </is>
      </c>
    </row>
    <row r="180">
      <c r="A180" t="inlineStr">
        <is>
          <t>REQ-0179</t>
        </is>
      </c>
      <c r="B180" t="inlineStr">
        <is>
          <t>Google</t>
        </is>
      </c>
      <c r="C180" t="inlineStr">
        <is>
          <t>Sundar Pichai</t>
        </is>
      </c>
      <c r="D180" t="inlineStr">
        <is>
          <t>sundar@google.com</t>
        </is>
      </c>
      <c r="E180" t="inlineStr">
        <is>
          <t>Chetan</t>
        </is>
      </c>
      <c r="F180" t="inlineStr">
        <is>
          <t>chetan@weekday.works</t>
        </is>
      </c>
      <c r="G180" s="36" t="inlineStr">
        <is>
          <t>+91 9920264452</t>
        </is>
      </c>
      <c r="H180" t="inlineStr">
        <is>
          <t>Round1</t>
        </is>
      </c>
      <c r="I180" t="inlineStr">
        <is>
          <t>&lt;calendly_link&gt;</t>
        </is>
      </c>
      <c r="J180" s="37" t="n">
        <v>44867.82708333333</v>
      </c>
      <c r="K180" t="inlineStr">
        <is>
          <t>Yes</t>
        </is>
      </c>
    </row>
    <row r="181">
      <c r="A181" t="inlineStr">
        <is>
          <t>REQ-0180</t>
        </is>
      </c>
      <c r="B181" t="inlineStr">
        <is>
          <t>Google</t>
        </is>
      </c>
      <c r="C181" t="inlineStr">
        <is>
          <t>Sundar Pichai</t>
        </is>
      </c>
      <c r="D181" t="inlineStr">
        <is>
          <t>sundar@google.com</t>
        </is>
      </c>
      <c r="E181" t="inlineStr">
        <is>
          <t>Chetan</t>
        </is>
      </c>
      <c r="F181" t="inlineStr">
        <is>
          <t>chetan@weekday.works</t>
        </is>
      </c>
      <c r="G181" s="36" t="inlineStr">
        <is>
          <t>+91 9920264452</t>
        </is>
      </c>
      <c r="H181" t="inlineStr">
        <is>
          <t>Round1</t>
        </is>
      </c>
      <c r="I181" t="inlineStr">
        <is>
          <t>&lt;calendly_link&gt;</t>
        </is>
      </c>
      <c r="J181" s="37" t="n">
        <v>44867.82708333333</v>
      </c>
      <c r="K181" t="inlineStr">
        <is>
          <t>Yes</t>
        </is>
      </c>
    </row>
    <row r="182">
      <c r="A182" t="inlineStr">
        <is>
          <t>REQ-0181</t>
        </is>
      </c>
      <c r="B182" t="inlineStr">
        <is>
          <t>Google</t>
        </is>
      </c>
      <c r="C182" t="inlineStr">
        <is>
          <t>Sundar Pichai</t>
        </is>
      </c>
      <c r="D182" t="inlineStr">
        <is>
          <t>sundar@google.com</t>
        </is>
      </c>
      <c r="E182" t="inlineStr">
        <is>
          <t>Chetan</t>
        </is>
      </c>
      <c r="F182" t="inlineStr">
        <is>
          <t>chetan@weekday.works</t>
        </is>
      </c>
      <c r="G182" s="36" t="inlineStr">
        <is>
          <t>+91 9920264452</t>
        </is>
      </c>
      <c r="H182" t="inlineStr">
        <is>
          <t>Round1</t>
        </is>
      </c>
      <c r="I182" t="inlineStr">
        <is>
          <t>&lt;calendly_link&gt;</t>
        </is>
      </c>
      <c r="J182" s="37" t="n">
        <v>44867.82708333333</v>
      </c>
      <c r="K182" t="inlineStr">
        <is>
          <t>Yes</t>
        </is>
      </c>
    </row>
    <row r="183">
      <c r="A183" t="inlineStr">
        <is>
          <t>REQ-0182</t>
        </is>
      </c>
      <c r="B183" t="inlineStr">
        <is>
          <t>Google</t>
        </is>
      </c>
      <c r="C183" t="inlineStr">
        <is>
          <t>Sundar Pichai</t>
        </is>
      </c>
      <c r="D183" t="inlineStr">
        <is>
          <t>sundar@google.com</t>
        </is>
      </c>
      <c r="E183" t="inlineStr">
        <is>
          <t>Chetan</t>
        </is>
      </c>
      <c r="F183" t="inlineStr">
        <is>
          <t>chetan@weekday.works</t>
        </is>
      </c>
      <c r="G183" s="36" t="inlineStr">
        <is>
          <t>+91 9920264452</t>
        </is>
      </c>
      <c r="H183" t="inlineStr">
        <is>
          <t>Round1</t>
        </is>
      </c>
      <c r="I183" t="inlineStr">
        <is>
          <t>&lt;calendly_link&gt;</t>
        </is>
      </c>
      <c r="J183" s="37" t="n">
        <v>44867.82708333333</v>
      </c>
      <c r="K183" t="inlineStr">
        <is>
          <t>Yes</t>
        </is>
      </c>
    </row>
    <row r="184">
      <c r="A184" t="inlineStr">
        <is>
          <t>REQ-0183</t>
        </is>
      </c>
      <c r="B184" t="inlineStr">
        <is>
          <t>Google</t>
        </is>
      </c>
      <c r="C184" t="inlineStr">
        <is>
          <t>Sundar Pichai</t>
        </is>
      </c>
      <c r="D184" t="inlineStr">
        <is>
          <t>sundar@google.com</t>
        </is>
      </c>
      <c r="E184" t="inlineStr">
        <is>
          <t>Chetan</t>
        </is>
      </c>
      <c r="F184" t="inlineStr">
        <is>
          <t>chetan@weekday.works</t>
        </is>
      </c>
      <c r="G184" s="36" t="inlineStr">
        <is>
          <t>+91 9920264452</t>
        </is>
      </c>
      <c r="H184" t="inlineStr">
        <is>
          <t>Round1</t>
        </is>
      </c>
      <c r="I184" t="inlineStr">
        <is>
          <t>&lt;calendly_link&gt;</t>
        </is>
      </c>
      <c r="J184" s="37" t="n">
        <v>44867.82708333333</v>
      </c>
      <c r="K184" t="inlineStr">
        <is>
          <t>Yes</t>
        </is>
      </c>
    </row>
    <row r="185">
      <c r="A185" t="inlineStr">
        <is>
          <t>REQ-0184</t>
        </is>
      </c>
      <c r="B185" t="inlineStr">
        <is>
          <t>Google</t>
        </is>
      </c>
      <c r="C185" t="inlineStr">
        <is>
          <t>Sundar Pichai</t>
        </is>
      </c>
      <c r="D185" t="inlineStr">
        <is>
          <t>sundar@google.com</t>
        </is>
      </c>
      <c r="E185" t="inlineStr">
        <is>
          <t>Chetan</t>
        </is>
      </c>
      <c r="F185" t="inlineStr">
        <is>
          <t>chetan@weekday.works</t>
        </is>
      </c>
      <c r="G185" s="36" t="inlineStr">
        <is>
          <t>+91 9920264452</t>
        </is>
      </c>
      <c r="H185" t="inlineStr">
        <is>
          <t>Round1</t>
        </is>
      </c>
      <c r="I185" t="inlineStr">
        <is>
          <t>&lt;calendly_link&gt;</t>
        </is>
      </c>
      <c r="J185" s="37" t="n">
        <v>44867.82708333333</v>
      </c>
      <c r="K185" t="inlineStr">
        <is>
          <t>Yes</t>
        </is>
      </c>
    </row>
    <row r="186">
      <c r="A186" t="inlineStr">
        <is>
          <t>REQ-0185</t>
        </is>
      </c>
      <c r="B186" t="inlineStr">
        <is>
          <t>Google</t>
        </is>
      </c>
      <c r="C186" t="inlineStr">
        <is>
          <t>Sundar Pichai</t>
        </is>
      </c>
      <c r="D186" t="inlineStr">
        <is>
          <t>sundar@google.com</t>
        </is>
      </c>
      <c r="E186" t="inlineStr">
        <is>
          <t>Chetan</t>
        </is>
      </c>
      <c r="F186" t="inlineStr">
        <is>
          <t>chetan@weekday.works</t>
        </is>
      </c>
      <c r="G186" s="36" t="inlineStr">
        <is>
          <t>+91 9920264452</t>
        </is>
      </c>
      <c r="H186" t="inlineStr">
        <is>
          <t>Round1</t>
        </is>
      </c>
      <c r="I186" t="inlineStr">
        <is>
          <t>&lt;calendly_link&gt;</t>
        </is>
      </c>
      <c r="J186" s="37" t="n">
        <v>44867.82708333333</v>
      </c>
      <c r="K186" t="inlineStr">
        <is>
          <t>Yes</t>
        </is>
      </c>
    </row>
    <row r="187">
      <c r="A187" t="inlineStr">
        <is>
          <t>REQ-0186</t>
        </is>
      </c>
      <c r="B187" t="inlineStr">
        <is>
          <t>Google</t>
        </is>
      </c>
      <c r="C187" t="inlineStr">
        <is>
          <t>Sundar Pichai</t>
        </is>
      </c>
      <c r="D187" t="inlineStr">
        <is>
          <t>sundar@google.com</t>
        </is>
      </c>
      <c r="E187" t="inlineStr">
        <is>
          <t>Chetan</t>
        </is>
      </c>
      <c r="F187" t="inlineStr">
        <is>
          <t>chetan@weekday.works</t>
        </is>
      </c>
      <c r="G187" s="36" t="inlineStr">
        <is>
          <t>+91 9920264452</t>
        </is>
      </c>
      <c r="H187" t="inlineStr">
        <is>
          <t>Round1</t>
        </is>
      </c>
      <c r="I187" t="inlineStr">
        <is>
          <t>&lt;calendly_link&gt;</t>
        </is>
      </c>
      <c r="J187" s="37" t="n">
        <v>44867.82708333333</v>
      </c>
      <c r="K187" t="inlineStr">
        <is>
          <t>Yes</t>
        </is>
      </c>
    </row>
    <row r="188">
      <c r="A188" t="inlineStr">
        <is>
          <t>REQ-0187</t>
        </is>
      </c>
      <c r="B188" t="inlineStr">
        <is>
          <t>Google</t>
        </is>
      </c>
      <c r="C188" t="inlineStr">
        <is>
          <t>Sundar Pichai</t>
        </is>
      </c>
      <c r="D188" t="inlineStr">
        <is>
          <t>sundar@google.com</t>
        </is>
      </c>
      <c r="E188" t="inlineStr">
        <is>
          <t>Chetan</t>
        </is>
      </c>
      <c r="F188" t="inlineStr">
        <is>
          <t>chetan@weekday.works</t>
        </is>
      </c>
      <c r="G188" s="36" t="inlineStr">
        <is>
          <t>+91 9920264452</t>
        </is>
      </c>
      <c r="H188" t="inlineStr">
        <is>
          <t>Round1</t>
        </is>
      </c>
      <c r="I188" t="inlineStr">
        <is>
          <t>&lt;calendly_link&gt;</t>
        </is>
      </c>
      <c r="J188" s="37" t="n">
        <v>44867.82708333333</v>
      </c>
      <c r="K188" t="inlineStr">
        <is>
          <t>Yes</t>
        </is>
      </c>
    </row>
    <row r="189">
      <c r="A189" t="inlineStr">
        <is>
          <t>REQ-0188</t>
        </is>
      </c>
      <c r="B189" t="inlineStr">
        <is>
          <t>Google</t>
        </is>
      </c>
      <c r="C189" t="inlineStr">
        <is>
          <t>Sundar Pichai</t>
        </is>
      </c>
      <c r="D189" t="inlineStr">
        <is>
          <t>sundar@google.com</t>
        </is>
      </c>
      <c r="E189" t="inlineStr">
        <is>
          <t>Chetan</t>
        </is>
      </c>
      <c r="F189" t="inlineStr">
        <is>
          <t>chetan@weekday.works</t>
        </is>
      </c>
      <c r="G189" s="36" t="inlineStr">
        <is>
          <t>+91 9920264452</t>
        </is>
      </c>
      <c r="H189" t="inlineStr">
        <is>
          <t>Round1</t>
        </is>
      </c>
      <c r="I189" t="inlineStr">
        <is>
          <t>&lt;calendly_link&gt;</t>
        </is>
      </c>
      <c r="J189" s="37" t="n">
        <v>44867.82708333333</v>
      </c>
      <c r="K189" t="inlineStr">
        <is>
          <t>Yes</t>
        </is>
      </c>
    </row>
    <row r="190">
      <c r="A190" t="inlineStr">
        <is>
          <t>REQ-0189</t>
        </is>
      </c>
      <c r="B190" t="inlineStr">
        <is>
          <t>Google</t>
        </is>
      </c>
      <c r="C190" t="inlineStr">
        <is>
          <t>Sundar Pichai</t>
        </is>
      </c>
      <c r="D190" t="inlineStr">
        <is>
          <t>sundar@google.com</t>
        </is>
      </c>
      <c r="E190" t="inlineStr">
        <is>
          <t>Chetan</t>
        </is>
      </c>
      <c r="F190" t="inlineStr">
        <is>
          <t>chetan@weekday.works</t>
        </is>
      </c>
      <c r="G190" s="36" t="inlineStr">
        <is>
          <t>+91 9920264452</t>
        </is>
      </c>
      <c r="H190" t="inlineStr">
        <is>
          <t>Round1</t>
        </is>
      </c>
      <c r="I190" t="inlineStr">
        <is>
          <t>&lt;calendly_link&gt;</t>
        </is>
      </c>
      <c r="J190" s="37" t="n">
        <v>44867.82708333333</v>
      </c>
      <c r="K190" t="inlineStr">
        <is>
          <t>Yes</t>
        </is>
      </c>
    </row>
    <row r="191">
      <c r="A191" t="inlineStr">
        <is>
          <t>REQ-0190</t>
        </is>
      </c>
      <c r="B191" t="inlineStr">
        <is>
          <t>Google</t>
        </is>
      </c>
      <c r="C191" t="inlineStr">
        <is>
          <t>Sundar Pichai</t>
        </is>
      </c>
      <c r="D191" t="inlineStr">
        <is>
          <t>sundar@google.com</t>
        </is>
      </c>
      <c r="E191" t="inlineStr">
        <is>
          <t>Chetan</t>
        </is>
      </c>
      <c r="F191" t="inlineStr">
        <is>
          <t>chetan@weekday.works</t>
        </is>
      </c>
      <c r="G191" s="36" t="inlineStr">
        <is>
          <t>+91 9920264452</t>
        </is>
      </c>
      <c r="H191" t="inlineStr">
        <is>
          <t>Round1</t>
        </is>
      </c>
      <c r="I191" t="inlineStr">
        <is>
          <t>&lt;calendly_link&gt;</t>
        </is>
      </c>
      <c r="J191" s="37" t="n">
        <v>44867.82708333333</v>
      </c>
      <c r="K191" t="inlineStr">
        <is>
          <t>Yes</t>
        </is>
      </c>
    </row>
    <row r="192">
      <c r="A192" t="inlineStr">
        <is>
          <t>REQ-0191</t>
        </is>
      </c>
      <c r="B192" t="inlineStr">
        <is>
          <t>Google</t>
        </is>
      </c>
      <c r="C192" t="inlineStr">
        <is>
          <t>Sundar Pichai</t>
        </is>
      </c>
      <c r="D192" t="inlineStr">
        <is>
          <t>sundar@google.com</t>
        </is>
      </c>
      <c r="E192" t="inlineStr">
        <is>
          <t>Chetan</t>
        </is>
      </c>
      <c r="F192" t="inlineStr">
        <is>
          <t>chetan@weekday.works</t>
        </is>
      </c>
      <c r="G192" s="36" t="inlineStr">
        <is>
          <t>+91 9920264452</t>
        </is>
      </c>
      <c r="H192" t="inlineStr">
        <is>
          <t>Round1</t>
        </is>
      </c>
      <c r="I192" t="inlineStr">
        <is>
          <t>&lt;calendly_link&gt;</t>
        </is>
      </c>
      <c r="J192" s="37" t="n">
        <v>44867.82708333333</v>
      </c>
      <c r="K192" t="inlineStr">
        <is>
          <t>Yes</t>
        </is>
      </c>
    </row>
    <row r="193">
      <c r="A193" t="inlineStr">
        <is>
          <t>REQ-0192</t>
        </is>
      </c>
      <c r="B193" t="inlineStr">
        <is>
          <t>Google</t>
        </is>
      </c>
      <c r="C193" t="inlineStr">
        <is>
          <t>Sundar Pichai</t>
        </is>
      </c>
      <c r="D193" t="inlineStr">
        <is>
          <t>sundar@google.com</t>
        </is>
      </c>
      <c r="E193" t="inlineStr">
        <is>
          <t>Chetan</t>
        </is>
      </c>
      <c r="F193" t="inlineStr">
        <is>
          <t>chetan@weekday.works</t>
        </is>
      </c>
      <c r="G193" s="36" t="inlineStr">
        <is>
          <t>+91 9920264452</t>
        </is>
      </c>
      <c r="H193" t="inlineStr">
        <is>
          <t>Round1</t>
        </is>
      </c>
      <c r="I193" t="inlineStr">
        <is>
          <t>&lt;calendly_link&gt;</t>
        </is>
      </c>
      <c r="J193" s="37" t="n">
        <v>44867.82708333333</v>
      </c>
      <c r="K193" t="inlineStr">
        <is>
          <t>Yes</t>
        </is>
      </c>
    </row>
    <row r="194">
      <c r="A194" t="inlineStr">
        <is>
          <t>REQ-0193</t>
        </is>
      </c>
      <c r="B194" t="inlineStr">
        <is>
          <t>Google</t>
        </is>
      </c>
      <c r="C194" t="inlineStr">
        <is>
          <t>Sundar Pichai</t>
        </is>
      </c>
      <c r="D194" t="inlineStr">
        <is>
          <t>sundar@google.com</t>
        </is>
      </c>
      <c r="E194" t="inlineStr">
        <is>
          <t>Chetan</t>
        </is>
      </c>
      <c r="F194" t="inlineStr">
        <is>
          <t>chetan@weekday.works</t>
        </is>
      </c>
      <c r="G194" s="36" t="inlineStr">
        <is>
          <t>+91 9920264452</t>
        </is>
      </c>
      <c r="H194" t="inlineStr">
        <is>
          <t>Round1</t>
        </is>
      </c>
      <c r="I194" t="inlineStr">
        <is>
          <t>&lt;calendly_link&gt;</t>
        </is>
      </c>
      <c r="J194" s="37" t="n">
        <v>44867.82708333333</v>
      </c>
      <c r="K194" t="inlineStr">
        <is>
          <t>Yes</t>
        </is>
      </c>
    </row>
    <row r="195">
      <c r="A195" t="inlineStr">
        <is>
          <t>REQ-0194</t>
        </is>
      </c>
      <c r="B195" t="inlineStr">
        <is>
          <t>Google</t>
        </is>
      </c>
      <c r="C195" t="inlineStr">
        <is>
          <t>Sundar Pichai</t>
        </is>
      </c>
      <c r="D195" t="inlineStr">
        <is>
          <t>sundar@google.com</t>
        </is>
      </c>
      <c r="E195" t="inlineStr">
        <is>
          <t>Chetan</t>
        </is>
      </c>
      <c r="F195" t="inlineStr">
        <is>
          <t>chetan@weekday.works</t>
        </is>
      </c>
      <c r="G195" s="36" t="inlineStr">
        <is>
          <t>+91 9920264452</t>
        </is>
      </c>
      <c r="H195" t="inlineStr">
        <is>
          <t>Round1</t>
        </is>
      </c>
      <c r="I195" t="inlineStr">
        <is>
          <t>&lt;calendly_link&gt;</t>
        </is>
      </c>
      <c r="J195" s="37" t="n">
        <v>44867.82708333333</v>
      </c>
      <c r="K195" t="inlineStr">
        <is>
          <t>Yes</t>
        </is>
      </c>
    </row>
    <row r="196">
      <c r="A196" t="inlineStr">
        <is>
          <t>REQ-0195</t>
        </is>
      </c>
      <c r="B196" t="inlineStr">
        <is>
          <t>Google</t>
        </is>
      </c>
      <c r="C196" t="inlineStr">
        <is>
          <t>Sundar Pichai</t>
        </is>
      </c>
      <c r="D196" t="inlineStr">
        <is>
          <t>sundar@google.com</t>
        </is>
      </c>
      <c r="E196" t="inlineStr">
        <is>
          <t>Chetan</t>
        </is>
      </c>
      <c r="F196" t="inlineStr">
        <is>
          <t>chetan@weekday.works</t>
        </is>
      </c>
      <c r="G196" s="36" t="inlineStr">
        <is>
          <t>+91 9920264452</t>
        </is>
      </c>
      <c r="H196" t="inlineStr">
        <is>
          <t>Round1</t>
        </is>
      </c>
      <c r="I196" t="inlineStr">
        <is>
          <t>&lt;calendly_link&gt;</t>
        </is>
      </c>
      <c r="J196" s="37" t="n">
        <v>44867.82708333333</v>
      </c>
      <c r="K196" t="inlineStr">
        <is>
          <t>Yes</t>
        </is>
      </c>
    </row>
    <row r="197">
      <c r="A197" t="inlineStr">
        <is>
          <t>REQ-0196</t>
        </is>
      </c>
      <c r="B197" t="inlineStr">
        <is>
          <t>Google</t>
        </is>
      </c>
      <c r="C197" t="inlineStr">
        <is>
          <t>Sundar Pichai</t>
        </is>
      </c>
      <c r="D197" t="inlineStr">
        <is>
          <t>sundar@google.com</t>
        </is>
      </c>
      <c r="E197" t="inlineStr">
        <is>
          <t>Chetan</t>
        </is>
      </c>
      <c r="F197" t="inlineStr">
        <is>
          <t>chetan@weekday.works</t>
        </is>
      </c>
      <c r="G197" s="36" t="inlineStr">
        <is>
          <t>+91 9920264452</t>
        </is>
      </c>
      <c r="H197" t="inlineStr">
        <is>
          <t>Round1</t>
        </is>
      </c>
      <c r="I197" t="inlineStr">
        <is>
          <t>&lt;calendly_link&gt;</t>
        </is>
      </c>
      <c r="J197" s="37" t="n">
        <v>44867.82708333333</v>
      </c>
      <c r="K197" t="inlineStr">
        <is>
          <t>Yes</t>
        </is>
      </c>
    </row>
    <row r="198">
      <c r="A198" t="inlineStr">
        <is>
          <t>REQ-0197</t>
        </is>
      </c>
      <c r="B198" t="inlineStr">
        <is>
          <t>Google</t>
        </is>
      </c>
      <c r="C198" t="inlineStr">
        <is>
          <t>Sundar Pichai</t>
        </is>
      </c>
      <c r="D198" t="inlineStr">
        <is>
          <t>sundar@google.com</t>
        </is>
      </c>
      <c r="E198" t="inlineStr">
        <is>
          <t>Chetan</t>
        </is>
      </c>
      <c r="F198" t="inlineStr">
        <is>
          <t>chetan@weekday.works</t>
        </is>
      </c>
      <c r="G198" s="36" t="inlineStr">
        <is>
          <t>+91 9920264452</t>
        </is>
      </c>
      <c r="H198" t="inlineStr">
        <is>
          <t>Round1</t>
        </is>
      </c>
      <c r="I198" t="inlineStr">
        <is>
          <t>&lt;calendly_link&gt;</t>
        </is>
      </c>
      <c r="J198" s="37" t="n">
        <v>44867.82708333333</v>
      </c>
      <c r="K198" t="inlineStr">
        <is>
          <t>Yes</t>
        </is>
      </c>
    </row>
    <row r="199">
      <c r="A199" t="inlineStr">
        <is>
          <t>REQ-0198</t>
        </is>
      </c>
      <c r="B199" t="inlineStr">
        <is>
          <t>Google</t>
        </is>
      </c>
      <c r="C199" t="inlineStr">
        <is>
          <t>Sundar Pichai</t>
        </is>
      </c>
      <c r="D199" t="inlineStr">
        <is>
          <t>sundar@google.com</t>
        </is>
      </c>
      <c r="E199" t="inlineStr">
        <is>
          <t>Chetan</t>
        </is>
      </c>
      <c r="F199" t="inlineStr">
        <is>
          <t>chetan@weekday.works</t>
        </is>
      </c>
      <c r="G199" s="36" t="inlineStr">
        <is>
          <t>+91 9920264452</t>
        </is>
      </c>
      <c r="H199" t="inlineStr">
        <is>
          <t>Round1</t>
        </is>
      </c>
      <c r="I199" t="inlineStr">
        <is>
          <t>&lt;calendly_link&gt;</t>
        </is>
      </c>
      <c r="J199" s="37" t="n">
        <v>44867.82708333333</v>
      </c>
      <c r="K199" t="inlineStr">
        <is>
          <t>Yes</t>
        </is>
      </c>
    </row>
    <row r="200">
      <c r="A200" t="inlineStr">
        <is>
          <t>REQ-0199</t>
        </is>
      </c>
      <c r="B200" t="inlineStr">
        <is>
          <t>Google</t>
        </is>
      </c>
      <c r="C200" t="inlineStr">
        <is>
          <t>Sundar Pichai</t>
        </is>
      </c>
      <c r="D200" t="inlineStr">
        <is>
          <t>sundar@google.com</t>
        </is>
      </c>
      <c r="E200" t="inlineStr">
        <is>
          <t>Chetan</t>
        </is>
      </c>
      <c r="F200" t="inlineStr">
        <is>
          <t>chetan@weekday.works</t>
        </is>
      </c>
      <c r="G200" s="36" t="inlineStr">
        <is>
          <t>+91 9920264452</t>
        </is>
      </c>
      <c r="H200" t="inlineStr">
        <is>
          <t>Round1</t>
        </is>
      </c>
      <c r="I200" t="inlineStr">
        <is>
          <t>&lt;calendly_link&gt;</t>
        </is>
      </c>
      <c r="J200" s="37" t="n">
        <v>44867.82708333333</v>
      </c>
      <c r="K200" t="inlineStr">
        <is>
          <t>Yes</t>
        </is>
      </c>
    </row>
    <row r="201">
      <c r="A201" t="inlineStr">
        <is>
          <t>REQ-0200</t>
        </is>
      </c>
      <c r="B201" t="inlineStr">
        <is>
          <t>Google</t>
        </is>
      </c>
      <c r="C201" t="inlineStr">
        <is>
          <t>Sundar Pichai</t>
        </is>
      </c>
      <c r="D201" t="inlineStr">
        <is>
          <t>sundar@google.com</t>
        </is>
      </c>
      <c r="E201" t="inlineStr">
        <is>
          <t>Chetan</t>
        </is>
      </c>
      <c r="F201" t="inlineStr">
        <is>
          <t>chetan@weekday.works</t>
        </is>
      </c>
      <c r="G201" s="36" t="inlineStr">
        <is>
          <t>+91 9920264452</t>
        </is>
      </c>
      <c r="H201" t="inlineStr">
        <is>
          <t>Round1</t>
        </is>
      </c>
      <c r="I201" t="inlineStr">
        <is>
          <t>&lt;calendly_link&gt;</t>
        </is>
      </c>
      <c r="J201" s="37" t="n">
        <v>44867.82708333333</v>
      </c>
      <c r="K201" t="inlineStr">
        <is>
          <t>Yes</t>
        </is>
      </c>
    </row>
    <row r="202">
      <c r="A202" t="inlineStr">
        <is>
          <t>REQ-0201</t>
        </is>
      </c>
      <c r="B202" t="inlineStr">
        <is>
          <t>Google</t>
        </is>
      </c>
      <c r="C202" t="inlineStr">
        <is>
          <t>Sundar Pichai</t>
        </is>
      </c>
      <c r="D202" t="inlineStr">
        <is>
          <t>sundar@google.com</t>
        </is>
      </c>
      <c r="E202" t="inlineStr">
        <is>
          <t>Chetan</t>
        </is>
      </c>
      <c r="F202" t="inlineStr">
        <is>
          <t>chetan@weekday.works</t>
        </is>
      </c>
      <c r="G202" s="36" t="inlineStr">
        <is>
          <t>+91 9920264452</t>
        </is>
      </c>
      <c r="H202" t="inlineStr">
        <is>
          <t>Round1</t>
        </is>
      </c>
      <c r="I202" t="inlineStr">
        <is>
          <t>&lt;calendly_link&gt;</t>
        </is>
      </c>
      <c r="J202" s="37" t="n">
        <v>44867.82708333333</v>
      </c>
      <c r="K202" t="inlineStr">
        <is>
          <t>Yes</t>
        </is>
      </c>
    </row>
    <row r="203">
      <c r="A203" t="inlineStr">
        <is>
          <t>REQ-0202</t>
        </is>
      </c>
      <c r="B203" t="inlineStr">
        <is>
          <t>Google</t>
        </is>
      </c>
      <c r="C203" t="inlineStr">
        <is>
          <t>Sundar Pichai</t>
        </is>
      </c>
      <c r="D203" t="inlineStr">
        <is>
          <t>sundar@google.com</t>
        </is>
      </c>
      <c r="E203" t="inlineStr">
        <is>
          <t>Chetan</t>
        </is>
      </c>
      <c r="F203" t="inlineStr">
        <is>
          <t>chetan@weekday.works</t>
        </is>
      </c>
      <c r="G203" s="36" t="inlineStr">
        <is>
          <t>+91 9920264452</t>
        </is>
      </c>
      <c r="H203" t="inlineStr">
        <is>
          <t>Round1</t>
        </is>
      </c>
      <c r="I203" t="inlineStr">
        <is>
          <t>&lt;calendly_link&gt;</t>
        </is>
      </c>
      <c r="J203" s="37" t="n">
        <v>44867.82708333333</v>
      </c>
      <c r="K203" t="inlineStr">
        <is>
          <t>Yes</t>
        </is>
      </c>
    </row>
    <row r="204">
      <c r="A204" t="inlineStr">
        <is>
          <t>REQ-0203</t>
        </is>
      </c>
      <c r="B204" t="inlineStr">
        <is>
          <t>Google</t>
        </is>
      </c>
      <c r="C204" t="inlineStr">
        <is>
          <t>Sundar Pichai</t>
        </is>
      </c>
      <c r="D204" t="inlineStr">
        <is>
          <t>sundar@google.com</t>
        </is>
      </c>
      <c r="E204" t="inlineStr">
        <is>
          <t>Chetan</t>
        </is>
      </c>
      <c r="F204" t="inlineStr">
        <is>
          <t>chetan@weekday.works</t>
        </is>
      </c>
      <c r="G204" s="36" t="inlineStr">
        <is>
          <t>+91 9920264452</t>
        </is>
      </c>
      <c r="H204" t="inlineStr">
        <is>
          <t>Round1</t>
        </is>
      </c>
      <c r="I204" t="inlineStr">
        <is>
          <t>&lt;calendly_link&gt;</t>
        </is>
      </c>
      <c r="J204" s="37" t="n">
        <v>44867.82708333333</v>
      </c>
      <c r="K204" t="inlineStr">
        <is>
          <t>Yes</t>
        </is>
      </c>
    </row>
    <row r="205">
      <c r="A205" t="inlineStr">
        <is>
          <t>REQ-0204</t>
        </is>
      </c>
      <c r="B205" t="inlineStr">
        <is>
          <t>Google</t>
        </is>
      </c>
      <c r="C205" t="inlineStr">
        <is>
          <t>Sundar Pichai</t>
        </is>
      </c>
      <c r="D205" t="inlineStr">
        <is>
          <t>sundar@google.com</t>
        </is>
      </c>
      <c r="E205" t="inlineStr">
        <is>
          <t>Chetan</t>
        </is>
      </c>
      <c r="F205" t="inlineStr">
        <is>
          <t>chetan@weekday.works</t>
        </is>
      </c>
      <c r="G205" s="36" t="inlineStr">
        <is>
          <t>+91 9920264452</t>
        </is>
      </c>
      <c r="H205" t="inlineStr">
        <is>
          <t>Round1</t>
        </is>
      </c>
      <c r="I205" t="inlineStr">
        <is>
          <t>&lt;calendly_link&gt;</t>
        </is>
      </c>
      <c r="J205" s="37" t="n">
        <v>44867.82708333333</v>
      </c>
      <c r="K205" t="inlineStr">
        <is>
          <t>Yes</t>
        </is>
      </c>
    </row>
    <row r="206">
      <c r="A206" t="inlineStr">
        <is>
          <t>REQ-0205</t>
        </is>
      </c>
      <c r="B206" t="inlineStr">
        <is>
          <t>Google</t>
        </is>
      </c>
      <c r="C206" t="inlineStr">
        <is>
          <t>Sundar Pichai</t>
        </is>
      </c>
      <c r="D206" t="inlineStr">
        <is>
          <t>sundar@google.com</t>
        </is>
      </c>
      <c r="E206" t="inlineStr">
        <is>
          <t>Chetan</t>
        </is>
      </c>
      <c r="F206" t="inlineStr">
        <is>
          <t>chetan@weekday.works</t>
        </is>
      </c>
      <c r="G206" s="36" t="inlineStr">
        <is>
          <t>+91 9920264452</t>
        </is>
      </c>
      <c r="H206" t="inlineStr">
        <is>
          <t>Round1</t>
        </is>
      </c>
      <c r="I206" t="inlineStr">
        <is>
          <t>&lt;calendly_link&gt;</t>
        </is>
      </c>
      <c r="J206" s="37" t="n">
        <v>44867.82708333333</v>
      </c>
      <c r="K206" t="inlineStr">
        <is>
          <t>Yes</t>
        </is>
      </c>
    </row>
    <row r="207">
      <c r="A207" t="inlineStr">
        <is>
          <t>REQ-0206</t>
        </is>
      </c>
      <c r="B207" t="inlineStr">
        <is>
          <t>Google</t>
        </is>
      </c>
      <c r="C207" t="inlineStr">
        <is>
          <t>Sundar Pichai</t>
        </is>
      </c>
      <c r="D207" t="inlineStr">
        <is>
          <t>sundar@google.com</t>
        </is>
      </c>
      <c r="E207" t="inlineStr">
        <is>
          <t>Chetan</t>
        </is>
      </c>
      <c r="F207" t="inlineStr">
        <is>
          <t>chetan@weekday.works</t>
        </is>
      </c>
      <c r="G207" s="36" t="inlineStr">
        <is>
          <t>+91 9920264452</t>
        </is>
      </c>
      <c r="H207" t="inlineStr">
        <is>
          <t>Round1</t>
        </is>
      </c>
      <c r="I207" t="inlineStr">
        <is>
          <t>&lt;calendly_link&gt;</t>
        </is>
      </c>
      <c r="J207" s="37" t="n">
        <v>44867.82708333333</v>
      </c>
      <c r="K207" t="inlineStr">
        <is>
          <t>Yes</t>
        </is>
      </c>
    </row>
    <row r="208">
      <c r="A208" t="inlineStr">
        <is>
          <t>REQ-0207</t>
        </is>
      </c>
      <c r="B208" t="inlineStr">
        <is>
          <t>Google</t>
        </is>
      </c>
      <c r="C208" t="inlineStr">
        <is>
          <t>Sundar Pichai</t>
        </is>
      </c>
      <c r="D208" t="inlineStr">
        <is>
          <t>sundar@google.com</t>
        </is>
      </c>
      <c r="E208" t="inlineStr">
        <is>
          <t>Chetan</t>
        </is>
      </c>
      <c r="F208" t="inlineStr">
        <is>
          <t>chetan@weekday.works</t>
        </is>
      </c>
      <c r="G208" s="36" t="inlineStr">
        <is>
          <t>+91 9920264452</t>
        </is>
      </c>
      <c r="H208" t="inlineStr">
        <is>
          <t>Round1</t>
        </is>
      </c>
      <c r="I208" t="inlineStr">
        <is>
          <t>&lt;calendly_link&gt;</t>
        </is>
      </c>
      <c r="J208" s="37" t="n">
        <v>44867.82708333333</v>
      </c>
      <c r="K208" t="inlineStr">
        <is>
          <t>Yes</t>
        </is>
      </c>
    </row>
    <row r="209">
      <c r="A209" t="inlineStr">
        <is>
          <t>REQ-0208</t>
        </is>
      </c>
      <c r="B209" t="inlineStr">
        <is>
          <t>Google</t>
        </is>
      </c>
      <c r="C209" t="inlineStr">
        <is>
          <t>Sundar Pichai</t>
        </is>
      </c>
      <c r="D209" t="inlineStr">
        <is>
          <t>sundar@google.com</t>
        </is>
      </c>
      <c r="E209" t="inlineStr">
        <is>
          <t>Chetan</t>
        </is>
      </c>
      <c r="F209" t="inlineStr">
        <is>
          <t>chetan@weekday.works</t>
        </is>
      </c>
      <c r="G209" s="36" t="inlineStr">
        <is>
          <t>+91 9920264452</t>
        </is>
      </c>
      <c r="H209" t="inlineStr">
        <is>
          <t>Round1</t>
        </is>
      </c>
      <c r="I209" t="inlineStr">
        <is>
          <t>&lt;calendly_link&gt;</t>
        </is>
      </c>
      <c r="J209" s="37" t="n">
        <v>44867.82708333333</v>
      </c>
      <c r="K209" t="inlineStr">
        <is>
          <t>Yes</t>
        </is>
      </c>
    </row>
    <row r="210">
      <c r="A210" t="inlineStr">
        <is>
          <t>REQ-0209</t>
        </is>
      </c>
      <c r="B210" t="inlineStr">
        <is>
          <t>Google</t>
        </is>
      </c>
      <c r="C210" t="inlineStr">
        <is>
          <t>Sundar Pichai</t>
        </is>
      </c>
      <c r="D210" t="inlineStr">
        <is>
          <t>sundar@google.com</t>
        </is>
      </c>
      <c r="E210" t="inlineStr">
        <is>
          <t>Chetan</t>
        </is>
      </c>
      <c r="F210" t="inlineStr">
        <is>
          <t>chetan@weekday.works</t>
        </is>
      </c>
      <c r="G210" s="36" t="inlineStr">
        <is>
          <t>+91 9920264452</t>
        </is>
      </c>
      <c r="H210" t="inlineStr">
        <is>
          <t>Round1</t>
        </is>
      </c>
      <c r="I210" t="inlineStr">
        <is>
          <t>&lt;calendly_link&gt;</t>
        </is>
      </c>
      <c r="J210" s="37" t="n">
        <v>44867.82708333333</v>
      </c>
      <c r="K210" t="inlineStr">
        <is>
          <t>Yes</t>
        </is>
      </c>
    </row>
    <row r="211">
      <c r="A211" t="inlineStr">
        <is>
          <t>REQ-0210</t>
        </is>
      </c>
      <c r="B211" t="inlineStr">
        <is>
          <t>Google</t>
        </is>
      </c>
      <c r="C211" t="inlineStr">
        <is>
          <t>Sundar Pichai</t>
        </is>
      </c>
      <c r="D211" t="inlineStr">
        <is>
          <t>sundar@google.com</t>
        </is>
      </c>
      <c r="E211" t="inlineStr">
        <is>
          <t>Chetan</t>
        </is>
      </c>
      <c r="F211" t="inlineStr">
        <is>
          <t>chetan@weekday.works</t>
        </is>
      </c>
      <c r="G211" s="36" t="inlineStr">
        <is>
          <t>+91 9920264452</t>
        </is>
      </c>
      <c r="H211" t="inlineStr">
        <is>
          <t>Round1</t>
        </is>
      </c>
      <c r="I211" t="inlineStr">
        <is>
          <t>&lt;calendly_link&gt;</t>
        </is>
      </c>
      <c r="J211" s="37" t="n">
        <v>44867.82708333333</v>
      </c>
      <c r="K211" t="inlineStr">
        <is>
          <t>Yes</t>
        </is>
      </c>
    </row>
    <row r="212">
      <c r="A212" t="inlineStr">
        <is>
          <t>REQ-0211</t>
        </is>
      </c>
      <c r="B212" t="inlineStr">
        <is>
          <t>Google</t>
        </is>
      </c>
      <c r="C212" t="inlineStr">
        <is>
          <t>Sundar Pichai</t>
        </is>
      </c>
      <c r="D212" t="inlineStr">
        <is>
          <t>sundar@google.com</t>
        </is>
      </c>
      <c r="E212" t="inlineStr">
        <is>
          <t>Chetan</t>
        </is>
      </c>
      <c r="F212" t="inlineStr">
        <is>
          <t>chetan@weekday.works</t>
        </is>
      </c>
      <c r="G212" s="36" t="inlineStr">
        <is>
          <t>+91 9920264452</t>
        </is>
      </c>
      <c r="H212" t="inlineStr">
        <is>
          <t>Round1</t>
        </is>
      </c>
      <c r="I212" t="inlineStr">
        <is>
          <t>&lt;calendly_link&gt;</t>
        </is>
      </c>
      <c r="J212" s="37" t="n">
        <v>44867.82708333333</v>
      </c>
      <c r="K212" t="inlineStr">
        <is>
          <t>Yes</t>
        </is>
      </c>
    </row>
    <row r="213">
      <c r="A213" t="inlineStr">
        <is>
          <t>REQ-0212</t>
        </is>
      </c>
      <c r="B213" t="inlineStr">
        <is>
          <t>Google</t>
        </is>
      </c>
      <c r="C213" t="inlineStr">
        <is>
          <t>Sundar Pichai</t>
        </is>
      </c>
      <c r="D213" t="inlineStr">
        <is>
          <t>sundar@google.com</t>
        </is>
      </c>
      <c r="E213" t="inlineStr">
        <is>
          <t>Chetan</t>
        </is>
      </c>
      <c r="F213" t="inlineStr">
        <is>
          <t>chetan@weekday.works</t>
        </is>
      </c>
      <c r="G213" s="36" t="inlineStr">
        <is>
          <t>+91 9920264452</t>
        </is>
      </c>
      <c r="H213" t="inlineStr">
        <is>
          <t>Round1</t>
        </is>
      </c>
      <c r="I213" t="inlineStr">
        <is>
          <t>&lt;calendly_link&gt;</t>
        </is>
      </c>
      <c r="J213" s="37" t="n">
        <v>44867.82708333333</v>
      </c>
      <c r="K213" t="inlineStr">
        <is>
          <t>Yes</t>
        </is>
      </c>
    </row>
    <row r="214">
      <c r="A214" t="inlineStr">
        <is>
          <t>REQ-0213</t>
        </is>
      </c>
      <c r="B214" t="inlineStr">
        <is>
          <t>Google</t>
        </is>
      </c>
      <c r="C214" t="inlineStr">
        <is>
          <t>Sundar Pichai</t>
        </is>
      </c>
      <c r="D214" t="inlineStr">
        <is>
          <t>sundar@google.com</t>
        </is>
      </c>
      <c r="E214" t="inlineStr">
        <is>
          <t>Chetan</t>
        </is>
      </c>
      <c r="F214" t="inlineStr">
        <is>
          <t>chetan@weekday.works</t>
        </is>
      </c>
      <c r="G214" s="36" t="inlineStr">
        <is>
          <t>+91 9920264452</t>
        </is>
      </c>
      <c r="H214" t="inlineStr">
        <is>
          <t>Round1</t>
        </is>
      </c>
      <c r="I214" t="inlineStr">
        <is>
          <t>&lt;calendly_link&gt;</t>
        </is>
      </c>
      <c r="J214" s="37" t="n">
        <v>44867.82708333333</v>
      </c>
      <c r="K214" t="inlineStr">
        <is>
          <t>Yes</t>
        </is>
      </c>
    </row>
    <row r="215">
      <c r="A215" t="inlineStr">
        <is>
          <t>REQ-0214</t>
        </is>
      </c>
      <c r="B215" t="inlineStr">
        <is>
          <t>Google</t>
        </is>
      </c>
      <c r="C215" t="inlineStr">
        <is>
          <t>Sundar Pichai</t>
        </is>
      </c>
      <c r="D215" t="inlineStr">
        <is>
          <t>sundar@google.com</t>
        </is>
      </c>
      <c r="E215" t="inlineStr">
        <is>
          <t>Chetan</t>
        </is>
      </c>
      <c r="F215" t="inlineStr">
        <is>
          <t>chetan@weekday.works</t>
        </is>
      </c>
      <c r="G215" s="36" t="inlineStr">
        <is>
          <t>+91 9920264452</t>
        </is>
      </c>
      <c r="H215" t="inlineStr">
        <is>
          <t>Round1</t>
        </is>
      </c>
      <c r="I215" t="inlineStr">
        <is>
          <t>&lt;calendly_link&gt;</t>
        </is>
      </c>
      <c r="J215" s="37" t="n">
        <v>44867.82708333333</v>
      </c>
      <c r="K215" t="inlineStr">
        <is>
          <t>Yes</t>
        </is>
      </c>
    </row>
    <row r="216">
      <c r="A216" t="inlineStr">
        <is>
          <t>REQ-0215</t>
        </is>
      </c>
      <c r="B216" t="inlineStr">
        <is>
          <t>Google</t>
        </is>
      </c>
      <c r="C216" t="inlineStr">
        <is>
          <t>Sundar Pichai</t>
        </is>
      </c>
      <c r="D216" t="inlineStr">
        <is>
          <t>sundar@google.com</t>
        </is>
      </c>
      <c r="E216" t="inlineStr">
        <is>
          <t>Chetan</t>
        </is>
      </c>
      <c r="F216" t="inlineStr">
        <is>
          <t>chetan@weekday.works</t>
        </is>
      </c>
      <c r="G216" s="36" t="inlineStr">
        <is>
          <t>+91 9920264452</t>
        </is>
      </c>
      <c r="H216" t="inlineStr">
        <is>
          <t>Round1</t>
        </is>
      </c>
      <c r="I216" t="inlineStr">
        <is>
          <t>&lt;calendly_link&gt;</t>
        </is>
      </c>
      <c r="J216" s="37" t="n">
        <v>44867.82708333333</v>
      </c>
      <c r="K216" t="inlineStr">
        <is>
          <t>Yes</t>
        </is>
      </c>
    </row>
    <row r="217">
      <c r="A217" t="inlineStr">
        <is>
          <t>REQ-0216</t>
        </is>
      </c>
      <c r="B217" t="inlineStr">
        <is>
          <t>Google</t>
        </is>
      </c>
      <c r="C217" t="inlineStr">
        <is>
          <t>Sundar Pichai</t>
        </is>
      </c>
      <c r="D217" t="inlineStr">
        <is>
          <t>sundar@google.com</t>
        </is>
      </c>
      <c r="E217" t="inlineStr">
        <is>
          <t>Chetan</t>
        </is>
      </c>
      <c r="F217" t="inlineStr">
        <is>
          <t>chetan@weekday.works</t>
        </is>
      </c>
      <c r="G217" s="36" t="inlineStr">
        <is>
          <t>+91 9920264452</t>
        </is>
      </c>
      <c r="H217" t="inlineStr">
        <is>
          <t>Round1</t>
        </is>
      </c>
      <c r="I217" t="inlineStr">
        <is>
          <t>&lt;calendly_link&gt;</t>
        </is>
      </c>
      <c r="J217" s="37" t="n">
        <v>44867.82708333333</v>
      </c>
      <c r="K217" t="inlineStr">
        <is>
          <t>Yes</t>
        </is>
      </c>
    </row>
    <row r="218">
      <c r="A218" t="inlineStr">
        <is>
          <t>REQ-0217</t>
        </is>
      </c>
      <c r="B218" t="inlineStr">
        <is>
          <t>Google</t>
        </is>
      </c>
      <c r="C218" t="inlineStr">
        <is>
          <t>Sundar Pichai</t>
        </is>
      </c>
      <c r="D218" t="inlineStr">
        <is>
          <t>sundar@google.com</t>
        </is>
      </c>
      <c r="E218" t="inlineStr">
        <is>
          <t>Chetan</t>
        </is>
      </c>
      <c r="F218" t="inlineStr">
        <is>
          <t>chetan@weekday.works</t>
        </is>
      </c>
      <c r="G218" s="36" t="inlineStr">
        <is>
          <t>+91 9920264452</t>
        </is>
      </c>
      <c r="H218" t="inlineStr">
        <is>
          <t>Round1</t>
        </is>
      </c>
      <c r="I218" t="inlineStr">
        <is>
          <t>&lt;calendly_link&gt;</t>
        </is>
      </c>
      <c r="J218" s="37" t="n">
        <v>44867.82708333333</v>
      </c>
      <c r="K218" t="inlineStr">
        <is>
          <t>Yes</t>
        </is>
      </c>
    </row>
    <row r="219">
      <c r="A219" t="inlineStr">
        <is>
          <t>REQ-0218</t>
        </is>
      </c>
      <c r="B219" t="inlineStr">
        <is>
          <t>Google</t>
        </is>
      </c>
      <c r="C219" t="inlineStr">
        <is>
          <t>Sundar Pichai</t>
        </is>
      </c>
      <c r="D219" t="inlineStr">
        <is>
          <t>sundar@google.com</t>
        </is>
      </c>
      <c r="E219" t="inlineStr">
        <is>
          <t>Chetan</t>
        </is>
      </c>
      <c r="F219" t="inlineStr">
        <is>
          <t>chetan@weekday.works</t>
        </is>
      </c>
      <c r="G219" s="36" t="inlineStr">
        <is>
          <t>+91 9920264452</t>
        </is>
      </c>
      <c r="H219" t="inlineStr">
        <is>
          <t>Round1</t>
        </is>
      </c>
      <c r="I219" t="inlineStr">
        <is>
          <t>&lt;calendly_link&gt;</t>
        </is>
      </c>
      <c r="J219" s="37" t="n">
        <v>44867.82708333333</v>
      </c>
      <c r="K219" t="inlineStr">
        <is>
          <t>Yes</t>
        </is>
      </c>
    </row>
    <row r="220">
      <c r="A220" t="inlineStr">
        <is>
          <t>REQ-0219</t>
        </is>
      </c>
      <c r="B220" t="inlineStr">
        <is>
          <t>Google</t>
        </is>
      </c>
      <c r="C220" t="inlineStr">
        <is>
          <t>Sundar Pichai</t>
        </is>
      </c>
      <c r="D220" t="inlineStr">
        <is>
          <t>sundar@google.com</t>
        </is>
      </c>
      <c r="E220" t="inlineStr">
        <is>
          <t>Chetan</t>
        </is>
      </c>
      <c r="F220" t="inlineStr">
        <is>
          <t>chetan@weekday.works</t>
        </is>
      </c>
      <c r="G220" s="36" t="inlineStr">
        <is>
          <t>+91 9920264452</t>
        </is>
      </c>
      <c r="H220" t="inlineStr">
        <is>
          <t>Round1</t>
        </is>
      </c>
      <c r="I220" t="inlineStr">
        <is>
          <t>&lt;calendly_link&gt;</t>
        </is>
      </c>
      <c r="J220" s="37" t="n">
        <v>44867.82708333333</v>
      </c>
      <c r="K220" t="inlineStr">
        <is>
          <t>Yes</t>
        </is>
      </c>
    </row>
    <row r="221">
      <c r="A221" t="inlineStr">
        <is>
          <t>REQ-0220</t>
        </is>
      </c>
      <c r="B221" t="inlineStr">
        <is>
          <t>Google</t>
        </is>
      </c>
      <c r="C221" t="inlineStr">
        <is>
          <t>Sundar Pichai</t>
        </is>
      </c>
      <c r="D221" t="inlineStr">
        <is>
          <t>sundar@google.com</t>
        </is>
      </c>
      <c r="E221" t="inlineStr">
        <is>
          <t>Chetan</t>
        </is>
      </c>
      <c r="F221" t="inlineStr">
        <is>
          <t>chetan@weekday.works</t>
        </is>
      </c>
      <c r="G221" s="36" t="inlineStr">
        <is>
          <t>+91 9920264452</t>
        </is>
      </c>
      <c r="H221" t="inlineStr">
        <is>
          <t>Round1</t>
        </is>
      </c>
      <c r="I221" t="inlineStr">
        <is>
          <t>&lt;calendly_link&gt;</t>
        </is>
      </c>
      <c r="J221" s="37" t="n">
        <v>44867.82708333333</v>
      </c>
      <c r="K221" t="inlineStr">
        <is>
          <t>Yes</t>
        </is>
      </c>
    </row>
    <row r="222">
      <c r="A222" t="inlineStr">
        <is>
          <t>REQ-0221</t>
        </is>
      </c>
      <c r="B222" t="inlineStr">
        <is>
          <t>Google</t>
        </is>
      </c>
      <c r="C222" t="inlineStr">
        <is>
          <t>Sundar Pichai</t>
        </is>
      </c>
      <c r="D222" t="inlineStr">
        <is>
          <t>sundar@google.com</t>
        </is>
      </c>
      <c r="E222" t="inlineStr">
        <is>
          <t>Chetan</t>
        </is>
      </c>
      <c r="F222" t="inlineStr">
        <is>
          <t>chetan@weekday.works</t>
        </is>
      </c>
      <c r="G222" s="36" t="inlineStr">
        <is>
          <t>+91 9920264452</t>
        </is>
      </c>
      <c r="H222" t="inlineStr">
        <is>
          <t>Round1</t>
        </is>
      </c>
      <c r="I222" t="inlineStr">
        <is>
          <t>&lt;calendly_link&gt;</t>
        </is>
      </c>
      <c r="J222" s="37" t="n">
        <v>44867.82708333333</v>
      </c>
      <c r="K222" t="inlineStr">
        <is>
          <t>Yes</t>
        </is>
      </c>
    </row>
    <row r="223">
      <c r="A223" t="inlineStr">
        <is>
          <t>REQ-0222</t>
        </is>
      </c>
      <c r="B223" t="inlineStr">
        <is>
          <t>Google</t>
        </is>
      </c>
      <c r="C223" t="inlineStr">
        <is>
          <t>Sundar Pichai</t>
        </is>
      </c>
      <c r="D223" t="inlineStr">
        <is>
          <t>sundar@google.com</t>
        </is>
      </c>
      <c r="E223" t="inlineStr">
        <is>
          <t>Chetan</t>
        </is>
      </c>
      <c r="F223" t="inlineStr">
        <is>
          <t>chetan@weekday.works</t>
        </is>
      </c>
      <c r="G223" s="36" t="inlineStr">
        <is>
          <t>+91 9920264452</t>
        </is>
      </c>
      <c r="H223" t="inlineStr">
        <is>
          <t>Round1</t>
        </is>
      </c>
      <c r="I223" t="inlineStr">
        <is>
          <t>&lt;calendly_link&gt;</t>
        </is>
      </c>
      <c r="J223" s="37" t="n">
        <v>44867.82708333333</v>
      </c>
      <c r="K223" t="inlineStr">
        <is>
          <t>Yes</t>
        </is>
      </c>
    </row>
    <row r="224">
      <c r="A224" t="inlineStr">
        <is>
          <t>REQ-0223</t>
        </is>
      </c>
      <c r="B224" t="inlineStr">
        <is>
          <t>Google</t>
        </is>
      </c>
      <c r="C224" t="inlineStr">
        <is>
          <t>Sundar Pichai</t>
        </is>
      </c>
      <c r="D224" t="inlineStr">
        <is>
          <t>sundar@google.com</t>
        </is>
      </c>
      <c r="E224" t="inlineStr">
        <is>
          <t>Chetan</t>
        </is>
      </c>
      <c r="F224" t="inlineStr">
        <is>
          <t>chetan@weekday.works</t>
        </is>
      </c>
      <c r="G224" s="36" t="inlineStr">
        <is>
          <t>+91 9920264452</t>
        </is>
      </c>
      <c r="H224" t="inlineStr">
        <is>
          <t>Round1</t>
        </is>
      </c>
      <c r="I224" t="inlineStr">
        <is>
          <t>&lt;calendly_link&gt;</t>
        </is>
      </c>
      <c r="J224" s="37" t="n">
        <v>44867.82708333333</v>
      </c>
      <c r="K224" t="inlineStr">
        <is>
          <t>Yes</t>
        </is>
      </c>
    </row>
    <row r="225">
      <c r="A225" t="inlineStr">
        <is>
          <t>REQ-0224</t>
        </is>
      </c>
      <c r="B225" t="inlineStr">
        <is>
          <t>Google</t>
        </is>
      </c>
      <c r="C225" t="inlineStr">
        <is>
          <t>Sundar Pichai</t>
        </is>
      </c>
      <c r="D225" t="inlineStr">
        <is>
          <t>sundar@google.com</t>
        </is>
      </c>
      <c r="E225" t="inlineStr">
        <is>
          <t>Chetan</t>
        </is>
      </c>
      <c r="F225" t="inlineStr">
        <is>
          <t>chetan@weekday.works</t>
        </is>
      </c>
      <c r="G225" s="36" t="inlineStr">
        <is>
          <t>+91 9920264452</t>
        </is>
      </c>
      <c r="H225" t="inlineStr">
        <is>
          <t>Round1</t>
        </is>
      </c>
      <c r="I225" t="inlineStr">
        <is>
          <t>&lt;calendly_link&gt;</t>
        </is>
      </c>
      <c r="J225" s="37" t="n">
        <v>44867.82708333333</v>
      </c>
      <c r="K225" t="inlineStr">
        <is>
          <t>Yes</t>
        </is>
      </c>
    </row>
    <row r="226">
      <c r="A226" t="inlineStr">
        <is>
          <t>REQ-0225</t>
        </is>
      </c>
      <c r="B226" t="inlineStr">
        <is>
          <t>Google</t>
        </is>
      </c>
      <c r="C226" t="inlineStr">
        <is>
          <t>Sundar Pichai</t>
        </is>
      </c>
      <c r="D226" t="inlineStr">
        <is>
          <t>sundar@google.com</t>
        </is>
      </c>
      <c r="E226" t="inlineStr">
        <is>
          <t>Chetan</t>
        </is>
      </c>
      <c r="F226" t="inlineStr">
        <is>
          <t>chetan@weekday.works</t>
        </is>
      </c>
      <c r="G226" s="36" t="inlineStr">
        <is>
          <t>+91 9920264452</t>
        </is>
      </c>
      <c r="H226" t="inlineStr">
        <is>
          <t>Round1</t>
        </is>
      </c>
      <c r="I226" t="inlineStr">
        <is>
          <t>&lt;calendly_link&gt;</t>
        </is>
      </c>
      <c r="J226" s="37" t="n">
        <v>44867.82708333333</v>
      </c>
      <c r="K226" t="inlineStr">
        <is>
          <t>Yes</t>
        </is>
      </c>
    </row>
    <row r="227">
      <c r="A227" t="inlineStr">
        <is>
          <t>REQ-0226</t>
        </is>
      </c>
      <c r="B227" t="inlineStr">
        <is>
          <t>Google</t>
        </is>
      </c>
      <c r="C227" t="inlineStr">
        <is>
          <t>Sundar Pichai</t>
        </is>
      </c>
      <c r="D227" t="inlineStr">
        <is>
          <t>sundar@google.com</t>
        </is>
      </c>
      <c r="E227" t="inlineStr">
        <is>
          <t>Chetan</t>
        </is>
      </c>
      <c r="F227" t="inlineStr">
        <is>
          <t>chetan@weekday.works</t>
        </is>
      </c>
      <c r="G227" s="36" t="inlineStr">
        <is>
          <t>+91 9920264452</t>
        </is>
      </c>
      <c r="H227" t="inlineStr">
        <is>
          <t>Round1</t>
        </is>
      </c>
      <c r="I227" t="inlineStr">
        <is>
          <t>&lt;calendly_link&gt;</t>
        </is>
      </c>
      <c r="J227" s="37" t="n">
        <v>44867.82708333333</v>
      </c>
      <c r="K227" t="inlineStr">
        <is>
          <t>Yes</t>
        </is>
      </c>
    </row>
    <row r="228">
      <c r="A228" t="inlineStr">
        <is>
          <t>REQ-0227</t>
        </is>
      </c>
      <c r="B228" t="inlineStr">
        <is>
          <t>Google</t>
        </is>
      </c>
      <c r="C228" t="inlineStr">
        <is>
          <t>Sundar Pichai</t>
        </is>
      </c>
      <c r="D228" t="inlineStr">
        <is>
          <t>sundar@google.com</t>
        </is>
      </c>
      <c r="E228" t="inlineStr">
        <is>
          <t>Chetan</t>
        </is>
      </c>
      <c r="F228" t="inlineStr">
        <is>
          <t>chetan@weekday.works</t>
        </is>
      </c>
      <c r="G228" s="36" t="inlineStr">
        <is>
          <t>+91 9920264452</t>
        </is>
      </c>
      <c r="H228" t="inlineStr">
        <is>
          <t>Round1</t>
        </is>
      </c>
      <c r="I228" t="inlineStr">
        <is>
          <t>&lt;calendly_link&gt;</t>
        </is>
      </c>
      <c r="J228" s="37" t="n">
        <v>44867.82708333333</v>
      </c>
      <c r="K228" t="inlineStr">
        <is>
          <t>Yes</t>
        </is>
      </c>
    </row>
    <row r="229">
      <c r="A229" t="inlineStr">
        <is>
          <t>REQ-0228</t>
        </is>
      </c>
      <c r="B229" t="inlineStr">
        <is>
          <t>Google</t>
        </is>
      </c>
      <c r="C229" t="inlineStr">
        <is>
          <t>Sundar Pichai</t>
        </is>
      </c>
      <c r="D229" t="inlineStr">
        <is>
          <t>sundar@google.com</t>
        </is>
      </c>
      <c r="E229" t="inlineStr">
        <is>
          <t>Chetan</t>
        </is>
      </c>
      <c r="F229" t="inlineStr">
        <is>
          <t>chetan@weekday.works</t>
        </is>
      </c>
      <c r="G229" s="36" t="inlineStr">
        <is>
          <t>+91 9920264452</t>
        </is>
      </c>
      <c r="H229" t="inlineStr">
        <is>
          <t>Round1</t>
        </is>
      </c>
      <c r="I229" t="inlineStr">
        <is>
          <t>&lt;calendly_link&gt;</t>
        </is>
      </c>
      <c r="J229" s="37" t="n">
        <v>44867.82708333333</v>
      </c>
      <c r="K229" t="inlineStr">
        <is>
          <t>Yes</t>
        </is>
      </c>
    </row>
    <row r="230">
      <c r="A230" t="inlineStr">
        <is>
          <t>REQ-0229</t>
        </is>
      </c>
      <c r="B230" t="inlineStr">
        <is>
          <t>Google</t>
        </is>
      </c>
      <c r="C230" t="inlineStr">
        <is>
          <t>Sundar Pichai</t>
        </is>
      </c>
      <c r="D230" t="inlineStr">
        <is>
          <t>sundar@google.com</t>
        </is>
      </c>
      <c r="E230" t="inlineStr">
        <is>
          <t>Chetan</t>
        </is>
      </c>
      <c r="F230" t="inlineStr">
        <is>
          <t>chetan@weekday.works</t>
        </is>
      </c>
      <c r="G230" s="36" t="inlineStr">
        <is>
          <t>+91 9920264452</t>
        </is>
      </c>
      <c r="H230" t="inlineStr">
        <is>
          <t>Round1</t>
        </is>
      </c>
      <c r="I230" t="inlineStr">
        <is>
          <t>&lt;calendly_link&gt;</t>
        </is>
      </c>
      <c r="J230" s="37" t="n">
        <v>44867.82708333333</v>
      </c>
      <c r="K230" t="inlineStr">
        <is>
          <t>Yes</t>
        </is>
      </c>
    </row>
    <row r="231">
      <c r="A231" t="inlineStr">
        <is>
          <t>REQ-0230</t>
        </is>
      </c>
      <c r="B231" t="inlineStr">
        <is>
          <t>Google</t>
        </is>
      </c>
      <c r="C231" t="inlineStr">
        <is>
          <t>Sundar Pichai</t>
        </is>
      </c>
      <c r="D231" t="inlineStr">
        <is>
          <t>sundar@google.com</t>
        </is>
      </c>
      <c r="E231" t="inlineStr">
        <is>
          <t>Chetan</t>
        </is>
      </c>
      <c r="F231" t="inlineStr">
        <is>
          <t>chetan@weekday.works</t>
        </is>
      </c>
      <c r="G231" s="36" t="inlineStr">
        <is>
          <t>+91 9920264452</t>
        </is>
      </c>
      <c r="H231" t="inlineStr">
        <is>
          <t>Round1</t>
        </is>
      </c>
      <c r="I231" t="inlineStr">
        <is>
          <t>&lt;calendly_link&gt;</t>
        </is>
      </c>
      <c r="J231" s="37" t="n">
        <v>44867.82708333333</v>
      </c>
      <c r="K231" t="inlineStr">
        <is>
          <t>Yes</t>
        </is>
      </c>
    </row>
    <row r="232">
      <c r="A232" t="inlineStr">
        <is>
          <t>REQ-0231</t>
        </is>
      </c>
      <c r="B232" t="inlineStr">
        <is>
          <t>Google</t>
        </is>
      </c>
      <c r="C232" t="inlineStr">
        <is>
          <t>Sundar Pichai</t>
        </is>
      </c>
      <c r="D232" t="inlineStr">
        <is>
          <t>sundar@google.com</t>
        </is>
      </c>
      <c r="E232" t="inlineStr">
        <is>
          <t>Chetan</t>
        </is>
      </c>
      <c r="F232" t="inlineStr">
        <is>
          <t>chetan@weekday.works</t>
        </is>
      </c>
      <c r="G232" s="36" t="inlineStr">
        <is>
          <t>+91 9920264452</t>
        </is>
      </c>
      <c r="H232" t="inlineStr">
        <is>
          <t>Round1</t>
        </is>
      </c>
      <c r="I232" t="inlineStr">
        <is>
          <t>&lt;calendly_link&gt;</t>
        </is>
      </c>
      <c r="J232" s="37" t="n">
        <v>44867.82708333333</v>
      </c>
      <c r="K232" t="inlineStr">
        <is>
          <t>Yes</t>
        </is>
      </c>
    </row>
    <row r="233">
      <c r="A233" t="inlineStr">
        <is>
          <t>REQ-0232</t>
        </is>
      </c>
      <c r="B233" t="inlineStr">
        <is>
          <t>Google</t>
        </is>
      </c>
      <c r="C233" t="inlineStr">
        <is>
          <t>Sundar Pichai</t>
        </is>
      </c>
      <c r="D233" t="inlineStr">
        <is>
          <t>sundar@google.com</t>
        </is>
      </c>
      <c r="E233" t="inlineStr">
        <is>
          <t>Chetan</t>
        </is>
      </c>
      <c r="F233" t="inlineStr">
        <is>
          <t>chetan@weekday.works</t>
        </is>
      </c>
      <c r="G233" s="36" t="inlineStr">
        <is>
          <t>+91 9920264452</t>
        </is>
      </c>
      <c r="H233" t="inlineStr">
        <is>
          <t>Round1</t>
        </is>
      </c>
      <c r="I233" t="inlineStr">
        <is>
          <t>&lt;calendly_link&gt;</t>
        </is>
      </c>
      <c r="J233" s="37" t="n">
        <v>44867.82708333333</v>
      </c>
      <c r="K233" t="inlineStr">
        <is>
          <t>Yes</t>
        </is>
      </c>
    </row>
    <row r="234">
      <c r="A234" t="inlineStr">
        <is>
          <t>REQ-0233</t>
        </is>
      </c>
      <c r="B234" t="inlineStr">
        <is>
          <t>Google</t>
        </is>
      </c>
      <c r="C234" t="inlineStr">
        <is>
          <t>Sundar Pichai</t>
        </is>
      </c>
      <c r="D234" t="inlineStr">
        <is>
          <t>sundar@google.com</t>
        </is>
      </c>
      <c r="E234" t="inlineStr">
        <is>
          <t>Chetan</t>
        </is>
      </c>
      <c r="F234" t="inlineStr">
        <is>
          <t>chetan@weekday.works</t>
        </is>
      </c>
      <c r="G234" s="36" t="inlineStr">
        <is>
          <t>+91 9920264452</t>
        </is>
      </c>
      <c r="H234" t="inlineStr">
        <is>
          <t>Round1</t>
        </is>
      </c>
      <c r="I234" t="inlineStr">
        <is>
          <t>&lt;calendly_link&gt;</t>
        </is>
      </c>
      <c r="J234" s="37" t="n">
        <v>44867.82708333333</v>
      </c>
      <c r="K234" t="inlineStr">
        <is>
          <t>Yes</t>
        </is>
      </c>
    </row>
    <row r="235">
      <c r="A235" t="inlineStr">
        <is>
          <t>REQ-0234</t>
        </is>
      </c>
      <c r="B235" t="inlineStr">
        <is>
          <t>Google</t>
        </is>
      </c>
      <c r="C235" t="inlineStr">
        <is>
          <t>Sundar Pichai</t>
        </is>
      </c>
      <c r="D235" t="inlineStr">
        <is>
          <t>sundar@google.com</t>
        </is>
      </c>
      <c r="E235" t="inlineStr">
        <is>
          <t>Chetan</t>
        </is>
      </c>
      <c r="F235" t="inlineStr">
        <is>
          <t>chetan@weekday.works</t>
        </is>
      </c>
      <c r="G235" s="36" t="inlineStr">
        <is>
          <t>+91 9920264452</t>
        </is>
      </c>
      <c r="H235" t="inlineStr">
        <is>
          <t>Round1</t>
        </is>
      </c>
      <c r="I235" t="inlineStr">
        <is>
          <t>&lt;calendly_link&gt;</t>
        </is>
      </c>
      <c r="J235" s="37" t="n">
        <v>44867.82708333333</v>
      </c>
      <c r="K235" t="inlineStr">
        <is>
          <t>Yes</t>
        </is>
      </c>
    </row>
    <row r="236">
      <c r="A236" t="inlineStr">
        <is>
          <t>REQ-0235</t>
        </is>
      </c>
      <c r="B236" t="inlineStr">
        <is>
          <t>Google</t>
        </is>
      </c>
      <c r="C236" t="inlineStr">
        <is>
          <t>Sundar Pichai</t>
        </is>
      </c>
      <c r="D236" t="inlineStr">
        <is>
          <t>sundar@google.com</t>
        </is>
      </c>
      <c r="E236" t="inlineStr">
        <is>
          <t>Chetan</t>
        </is>
      </c>
      <c r="F236" t="inlineStr">
        <is>
          <t>chetan@weekday.works</t>
        </is>
      </c>
      <c r="G236" s="36" t="inlineStr">
        <is>
          <t>+91 9920264452</t>
        </is>
      </c>
      <c r="H236" t="inlineStr">
        <is>
          <t>Round1</t>
        </is>
      </c>
      <c r="I236" t="inlineStr">
        <is>
          <t>&lt;calendly_link&gt;</t>
        </is>
      </c>
      <c r="J236" s="37" t="n">
        <v>44867.82708333333</v>
      </c>
      <c r="K236" t="inlineStr">
        <is>
          <t>Yes</t>
        </is>
      </c>
    </row>
    <row r="237">
      <c r="A237" t="inlineStr">
        <is>
          <t>REQ-0236</t>
        </is>
      </c>
      <c r="B237" t="inlineStr">
        <is>
          <t>Google</t>
        </is>
      </c>
      <c r="C237" t="inlineStr">
        <is>
          <t>Sundar Pichai</t>
        </is>
      </c>
      <c r="D237" t="inlineStr">
        <is>
          <t>sundar@google.com</t>
        </is>
      </c>
      <c r="E237" t="inlineStr">
        <is>
          <t>Chetan</t>
        </is>
      </c>
      <c r="F237" t="inlineStr">
        <is>
          <t>chetan@weekday.works</t>
        </is>
      </c>
      <c r="G237" s="36" t="inlineStr">
        <is>
          <t>+91 9920264452</t>
        </is>
      </c>
      <c r="H237" t="inlineStr">
        <is>
          <t>Round1</t>
        </is>
      </c>
      <c r="I237" t="inlineStr">
        <is>
          <t>&lt;calendly_link&gt;</t>
        </is>
      </c>
      <c r="J237" s="37" t="n">
        <v>44867.82708333333</v>
      </c>
      <c r="K237" t="inlineStr">
        <is>
          <t>Yes</t>
        </is>
      </c>
    </row>
    <row r="238">
      <c r="A238" t="inlineStr">
        <is>
          <t>REQ-0237</t>
        </is>
      </c>
      <c r="B238" t="inlineStr">
        <is>
          <t>Google</t>
        </is>
      </c>
      <c r="C238" t="inlineStr">
        <is>
          <t>Sundar Pichai</t>
        </is>
      </c>
      <c r="D238" t="inlineStr">
        <is>
          <t>sundar@google.com</t>
        </is>
      </c>
      <c r="E238" t="inlineStr">
        <is>
          <t>Chetan</t>
        </is>
      </c>
      <c r="F238" t="inlineStr">
        <is>
          <t>chetan@weekday.works</t>
        </is>
      </c>
      <c r="G238" s="36" t="inlineStr">
        <is>
          <t>+91 9920264452</t>
        </is>
      </c>
      <c r="H238" t="inlineStr">
        <is>
          <t>Round1</t>
        </is>
      </c>
      <c r="I238" t="inlineStr">
        <is>
          <t>&lt;calendly_link&gt;</t>
        </is>
      </c>
      <c r="J238" s="37" t="n">
        <v>44867.82708333333</v>
      </c>
      <c r="K238" t="inlineStr">
        <is>
          <t>Yes</t>
        </is>
      </c>
    </row>
    <row r="239">
      <c r="A239" t="inlineStr">
        <is>
          <t>REQ-0238</t>
        </is>
      </c>
      <c r="B239" t="inlineStr">
        <is>
          <t>Google</t>
        </is>
      </c>
      <c r="C239" t="inlineStr">
        <is>
          <t>Sundar Pichai</t>
        </is>
      </c>
      <c r="D239" t="inlineStr">
        <is>
          <t>sundar@google.com</t>
        </is>
      </c>
      <c r="E239" t="inlineStr">
        <is>
          <t>Chetan</t>
        </is>
      </c>
      <c r="F239" t="inlineStr">
        <is>
          <t>chetan@weekday.works</t>
        </is>
      </c>
      <c r="G239" s="36" t="inlineStr">
        <is>
          <t>+91 9920264452</t>
        </is>
      </c>
      <c r="H239" t="inlineStr">
        <is>
          <t>Round1</t>
        </is>
      </c>
      <c r="I239" t="inlineStr">
        <is>
          <t>&lt;calendly_link&gt;</t>
        </is>
      </c>
      <c r="J239" s="37" t="n">
        <v>44867.82708333333</v>
      </c>
      <c r="K239" t="inlineStr">
        <is>
          <t>Yes</t>
        </is>
      </c>
    </row>
    <row r="240">
      <c r="A240" t="inlineStr">
        <is>
          <t>REQ-0239</t>
        </is>
      </c>
      <c r="B240" t="inlineStr">
        <is>
          <t>Google</t>
        </is>
      </c>
      <c r="C240" t="inlineStr">
        <is>
          <t>Sundar Pichai</t>
        </is>
      </c>
      <c r="D240" t="inlineStr">
        <is>
          <t>sundar@google.com</t>
        </is>
      </c>
      <c r="E240" t="inlineStr">
        <is>
          <t>Chetan</t>
        </is>
      </c>
      <c r="F240" t="inlineStr">
        <is>
          <t>chetan@weekday.works</t>
        </is>
      </c>
      <c r="G240" s="36" t="inlineStr">
        <is>
          <t>+91 9920264452</t>
        </is>
      </c>
      <c r="H240" t="inlineStr">
        <is>
          <t>Round1</t>
        </is>
      </c>
      <c r="I240" t="inlineStr">
        <is>
          <t>&lt;calendly_link&gt;</t>
        </is>
      </c>
      <c r="J240" s="37" t="n">
        <v>44867.82708333333</v>
      </c>
      <c r="K240" t="inlineStr">
        <is>
          <t>Yes</t>
        </is>
      </c>
    </row>
    <row r="241">
      <c r="A241" t="inlineStr">
        <is>
          <t>REQ-0240</t>
        </is>
      </c>
      <c r="B241" t="inlineStr">
        <is>
          <t>Google</t>
        </is>
      </c>
      <c r="C241" t="inlineStr">
        <is>
          <t>Sundar Pichai</t>
        </is>
      </c>
      <c r="D241" t="inlineStr">
        <is>
          <t>sundar@google.com</t>
        </is>
      </c>
      <c r="E241" t="inlineStr">
        <is>
          <t>Chetan</t>
        </is>
      </c>
      <c r="F241" t="inlineStr">
        <is>
          <t>chetan@weekday.works</t>
        </is>
      </c>
      <c r="G241" s="36" t="inlineStr">
        <is>
          <t>+91 9920264452</t>
        </is>
      </c>
      <c r="H241" t="inlineStr">
        <is>
          <t>Round1</t>
        </is>
      </c>
      <c r="I241" t="inlineStr">
        <is>
          <t>&lt;calendly_link&gt;</t>
        </is>
      </c>
      <c r="J241" s="37" t="n">
        <v>44867.82708333333</v>
      </c>
      <c r="K241" t="inlineStr">
        <is>
          <t>Yes</t>
        </is>
      </c>
    </row>
    <row r="242">
      <c r="A242" t="inlineStr">
        <is>
          <t>REQ-0241</t>
        </is>
      </c>
      <c r="B242" t="inlineStr">
        <is>
          <t>Google</t>
        </is>
      </c>
      <c r="C242" t="inlineStr">
        <is>
          <t>Sundar Pichai</t>
        </is>
      </c>
      <c r="D242" t="inlineStr">
        <is>
          <t>sundar@google.com</t>
        </is>
      </c>
      <c r="E242" t="inlineStr">
        <is>
          <t>Chetan</t>
        </is>
      </c>
      <c r="F242" t="inlineStr">
        <is>
          <t>chetan@weekday.works</t>
        </is>
      </c>
      <c r="G242" s="36" t="inlineStr">
        <is>
          <t>+91 9920264452</t>
        </is>
      </c>
      <c r="H242" t="inlineStr">
        <is>
          <t>Round1</t>
        </is>
      </c>
      <c r="I242" t="inlineStr">
        <is>
          <t>&lt;calendly_link&gt;</t>
        </is>
      </c>
      <c r="J242" s="37" t="n">
        <v>44867.82708333333</v>
      </c>
      <c r="K242" t="inlineStr">
        <is>
          <t>Yes</t>
        </is>
      </c>
    </row>
    <row r="243">
      <c r="A243" t="inlineStr">
        <is>
          <t>REQ-0242</t>
        </is>
      </c>
      <c r="B243" t="inlineStr">
        <is>
          <t>Google</t>
        </is>
      </c>
      <c r="C243" t="inlineStr">
        <is>
          <t>Sundar Pichai</t>
        </is>
      </c>
      <c r="D243" t="inlineStr">
        <is>
          <t>sundar@google.com</t>
        </is>
      </c>
      <c r="E243" t="inlineStr">
        <is>
          <t>Chetan</t>
        </is>
      </c>
      <c r="F243" t="inlineStr">
        <is>
          <t>chetan@weekday.works</t>
        </is>
      </c>
      <c r="G243" s="36" t="inlineStr">
        <is>
          <t>+91 9920264452</t>
        </is>
      </c>
      <c r="H243" t="inlineStr">
        <is>
          <t>Round1</t>
        </is>
      </c>
      <c r="I243" t="inlineStr">
        <is>
          <t>&lt;calendly_link&gt;</t>
        </is>
      </c>
      <c r="J243" s="37" t="n">
        <v>44867.82708333333</v>
      </c>
      <c r="K243" t="inlineStr">
        <is>
          <t>Yes</t>
        </is>
      </c>
    </row>
    <row r="244">
      <c r="A244" t="inlineStr">
        <is>
          <t>REQ-0243</t>
        </is>
      </c>
      <c r="B244" t="inlineStr">
        <is>
          <t>Google</t>
        </is>
      </c>
      <c r="C244" t="inlineStr">
        <is>
          <t>Sundar Pichai</t>
        </is>
      </c>
      <c r="D244" t="inlineStr">
        <is>
          <t>sundar@google.com</t>
        </is>
      </c>
      <c r="E244" t="inlineStr">
        <is>
          <t>Chetan</t>
        </is>
      </c>
      <c r="F244" t="inlineStr">
        <is>
          <t>chetan@weekday.works</t>
        </is>
      </c>
      <c r="G244" s="36" t="inlineStr">
        <is>
          <t>+91 9920264452</t>
        </is>
      </c>
      <c r="H244" t="inlineStr">
        <is>
          <t>Round1</t>
        </is>
      </c>
      <c r="I244" t="inlineStr">
        <is>
          <t>&lt;calendly_link&gt;</t>
        </is>
      </c>
      <c r="J244" s="37" t="n">
        <v>44867.82708333333</v>
      </c>
      <c r="K244" t="inlineStr">
        <is>
          <t>Yes</t>
        </is>
      </c>
    </row>
    <row r="245">
      <c r="A245" t="inlineStr">
        <is>
          <t>REQ-0244</t>
        </is>
      </c>
      <c r="B245" t="inlineStr">
        <is>
          <t>Google</t>
        </is>
      </c>
      <c r="C245" t="inlineStr">
        <is>
          <t>Sundar Pichai</t>
        </is>
      </c>
      <c r="D245" t="inlineStr">
        <is>
          <t>sundar@google.com</t>
        </is>
      </c>
      <c r="E245" t="inlineStr">
        <is>
          <t>Chetan</t>
        </is>
      </c>
      <c r="F245" t="inlineStr">
        <is>
          <t>chetan@weekday.works</t>
        </is>
      </c>
      <c r="G245" s="36" t="inlineStr">
        <is>
          <t>+91 9920264452</t>
        </is>
      </c>
      <c r="H245" t="inlineStr">
        <is>
          <t>Round1</t>
        </is>
      </c>
      <c r="I245" t="inlineStr">
        <is>
          <t>&lt;calendly_link&gt;</t>
        </is>
      </c>
      <c r="J245" s="37" t="n">
        <v>44867.82708333333</v>
      </c>
      <c r="K245" t="inlineStr">
        <is>
          <t>Yes</t>
        </is>
      </c>
    </row>
    <row r="246">
      <c r="A246" t="inlineStr">
        <is>
          <t>REQ-0245</t>
        </is>
      </c>
      <c r="B246" t="inlineStr">
        <is>
          <t>Google</t>
        </is>
      </c>
      <c r="C246" t="inlineStr">
        <is>
          <t>Sundar Pichai</t>
        </is>
      </c>
      <c r="D246" t="inlineStr">
        <is>
          <t>sundar@google.com</t>
        </is>
      </c>
      <c r="E246" t="inlineStr">
        <is>
          <t>Chetan</t>
        </is>
      </c>
      <c r="F246" t="inlineStr">
        <is>
          <t>chetan@weekday.works</t>
        </is>
      </c>
      <c r="G246" s="36" t="inlineStr">
        <is>
          <t>+91 9920264452</t>
        </is>
      </c>
      <c r="H246" t="inlineStr">
        <is>
          <t>Round1</t>
        </is>
      </c>
      <c r="I246" t="inlineStr">
        <is>
          <t>&lt;calendly_link&gt;</t>
        </is>
      </c>
      <c r="J246" s="37" t="n">
        <v>44867.82708333333</v>
      </c>
      <c r="K246" t="inlineStr">
        <is>
          <t>Yes</t>
        </is>
      </c>
    </row>
    <row r="247">
      <c r="A247" t="inlineStr">
        <is>
          <t>REQ-0246</t>
        </is>
      </c>
      <c r="B247" t="inlineStr">
        <is>
          <t>Google</t>
        </is>
      </c>
      <c r="C247" t="inlineStr">
        <is>
          <t>Sundar Pichai</t>
        </is>
      </c>
      <c r="D247" t="inlineStr">
        <is>
          <t>sundar@google.com</t>
        </is>
      </c>
      <c r="E247" t="inlineStr">
        <is>
          <t>Chetan</t>
        </is>
      </c>
      <c r="F247" t="inlineStr">
        <is>
          <t>chetan@weekday.works</t>
        </is>
      </c>
      <c r="G247" s="36" t="inlineStr">
        <is>
          <t>+91 9920264452</t>
        </is>
      </c>
      <c r="H247" t="inlineStr">
        <is>
          <t>Round1</t>
        </is>
      </c>
      <c r="I247" t="inlineStr">
        <is>
          <t>&lt;calendly_link&gt;</t>
        </is>
      </c>
      <c r="J247" s="37" t="n">
        <v>44867.82708333333</v>
      </c>
      <c r="K247" t="inlineStr">
        <is>
          <t>Yes</t>
        </is>
      </c>
    </row>
    <row r="248">
      <c r="A248" t="inlineStr">
        <is>
          <t>REQ-0247</t>
        </is>
      </c>
      <c r="B248" t="inlineStr">
        <is>
          <t>Google</t>
        </is>
      </c>
      <c r="C248" t="inlineStr">
        <is>
          <t>Sundar Pichai</t>
        </is>
      </c>
      <c r="D248" t="inlineStr">
        <is>
          <t>sundar@google.com</t>
        </is>
      </c>
      <c r="E248" t="inlineStr">
        <is>
          <t>Chetan</t>
        </is>
      </c>
      <c r="F248" t="inlineStr">
        <is>
          <t>chetan@weekday.works</t>
        </is>
      </c>
      <c r="G248" s="36" t="inlineStr">
        <is>
          <t>+91 9920264452</t>
        </is>
      </c>
      <c r="H248" t="inlineStr">
        <is>
          <t>Round1</t>
        </is>
      </c>
      <c r="I248" t="inlineStr">
        <is>
          <t>&lt;calendly_link&gt;</t>
        </is>
      </c>
      <c r="J248" s="37" t="n">
        <v>44867.82708333333</v>
      </c>
      <c r="K248" t="inlineStr">
        <is>
          <t>Yes</t>
        </is>
      </c>
    </row>
    <row r="249">
      <c r="A249" t="inlineStr">
        <is>
          <t>REQ-0248</t>
        </is>
      </c>
      <c r="B249" t="inlineStr">
        <is>
          <t>Google</t>
        </is>
      </c>
      <c r="C249" t="inlineStr">
        <is>
          <t>Sundar Pichai</t>
        </is>
      </c>
      <c r="D249" t="inlineStr">
        <is>
          <t>sundar@google.com</t>
        </is>
      </c>
      <c r="E249" t="inlineStr">
        <is>
          <t>Chetan</t>
        </is>
      </c>
      <c r="F249" t="inlineStr">
        <is>
          <t>chetan@weekday.works</t>
        </is>
      </c>
      <c r="G249" s="36" t="inlineStr">
        <is>
          <t>+91 9920264452</t>
        </is>
      </c>
      <c r="H249" t="inlineStr">
        <is>
          <t>Round1</t>
        </is>
      </c>
      <c r="I249" t="inlineStr">
        <is>
          <t>&lt;calendly_link&gt;</t>
        </is>
      </c>
      <c r="J249" s="37" t="n">
        <v>44867.82708333333</v>
      </c>
      <c r="K249" t="inlineStr">
        <is>
          <t>Yes</t>
        </is>
      </c>
    </row>
    <row r="250">
      <c r="A250" t="inlineStr">
        <is>
          <t>REQ-0249</t>
        </is>
      </c>
      <c r="B250" t="inlineStr">
        <is>
          <t>Google</t>
        </is>
      </c>
      <c r="C250" t="inlineStr">
        <is>
          <t>Sundar Pichai</t>
        </is>
      </c>
      <c r="D250" t="inlineStr">
        <is>
          <t>sundar@google.com</t>
        </is>
      </c>
      <c r="E250" t="inlineStr">
        <is>
          <t>Chetan</t>
        </is>
      </c>
      <c r="F250" t="inlineStr">
        <is>
          <t>chetan@weekday.works</t>
        </is>
      </c>
      <c r="G250" s="36" t="inlineStr">
        <is>
          <t>+91 9920264452</t>
        </is>
      </c>
      <c r="H250" t="inlineStr">
        <is>
          <t>Round1</t>
        </is>
      </c>
      <c r="I250" t="inlineStr">
        <is>
          <t>&lt;calendly_link&gt;</t>
        </is>
      </c>
      <c r="J250" s="37" t="n">
        <v>44867.82708333333</v>
      </c>
      <c r="K250" t="inlineStr">
        <is>
          <t>Yes</t>
        </is>
      </c>
    </row>
    <row r="251">
      <c r="A251" t="inlineStr">
        <is>
          <t>REQ-0250</t>
        </is>
      </c>
      <c r="B251" t="inlineStr">
        <is>
          <t>Google</t>
        </is>
      </c>
      <c r="C251" t="inlineStr">
        <is>
          <t>Sundar Pichai</t>
        </is>
      </c>
      <c r="D251" t="inlineStr">
        <is>
          <t>sundar@google.com</t>
        </is>
      </c>
      <c r="E251" t="inlineStr">
        <is>
          <t>Chetan</t>
        </is>
      </c>
      <c r="F251" t="inlineStr">
        <is>
          <t>chetan@weekday.works</t>
        </is>
      </c>
      <c r="G251" s="36" t="inlineStr">
        <is>
          <t>+91 9920264452</t>
        </is>
      </c>
      <c r="H251" t="inlineStr">
        <is>
          <t>Round1</t>
        </is>
      </c>
      <c r="I251" t="inlineStr">
        <is>
          <t>&lt;calendly_link&gt;</t>
        </is>
      </c>
      <c r="J251" s="37" t="n">
        <v>44867.82708333333</v>
      </c>
      <c r="K251" t="inlineStr">
        <is>
          <t>Yes</t>
        </is>
      </c>
    </row>
    <row r="252">
      <c r="A252" t="inlineStr">
        <is>
          <t>REQ-0251</t>
        </is>
      </c>
      <c r="B252" t="inlineStr">
        <is>
          <t>Google</t>
        </is>
      </c>
      <c r="C252" t="inlineStr">
        <is>
          <t>Sundar Pichai</t>
        </is>
      </c>
      <c r="D252" t="inlineStr">
        <is>
          <t>sundar@google.com</t>
        </is>
      </c>
      <c r="E252" t="inlineStr">
        <is>
          <t>Chetan</t>
        </is>
      </c>
      <c r="F252" t="inlineStr">
        <is>
          <t>chetan@weekday.works</t>
        </is>
      </c>
      <c r="G252" s="36" t="inlineStr">
        <is>
          <t>+91 9920264452</t>
        </is>
      </c>
      <c r="H252" t="inlineStr">
        <is>
          <t>Round1</t>
        </is>
      </c>
      <c r="I252" t="inlineStr">
        <is>
          <t>&lt;calendly_link&gt;</t>
        </is>
      </c>
      <c r="J252" s="37" t="n">
        <v>44867.82708333333</v>
      </c>
      <c r="K252" t="inlineStr">
        <is>
          <t>Yes</t>
        </is>
      </c>
    </row>
    <row r="253">
      <c r="A253" t="inlineStr">
        <is>
          <t>REQ-0252</t>
        </is>
      </c>
      <c r="B253" t="inlineStr">
        <is>
          <t>Google</t>
        </is>
      </c>
      <c r="C253" t="inlineStr">
        <is>
          <t>Sundar Pichai</t>
        </is>
      </c>
      <c r="D253" t="inlineStr">
        <is>
          <t>sundar@google.com</t>
        </is>
      </c>
      <c r="E253" t="inlineStr">
        <is>
          <t>Chetan</t>
        </is>
      </c>
      <c r="F253" t="inlineStr">
        <is>
          <t>chetan@weekday.works</t>
        </is>
      </c>
      <c r="G253" s="36" t="inlineStr">
        <is>
          <t>+91 9920264452</t>
        </is>
      </c>
      <c r="H253" t="inlineStr">
        <is>
          <t>Round1</t>
        </is>
      </c>
      <c r="I253" t="inlineStr">
        <is>
          <t>&lt;calendly_link&gt;</t>
        </is>
      </c>
      <c r="J253" s="37" t="n">
        <v>44867.82708333333</v>
      </c>
      <c r="K253" t="inlineStr">
        <is>
          <t>Yes</t>
        </is>
      </c>
    </row>
    <row r="254">
      <c r="A254" t="inlineStr">
        <is>
          <t>REQ-0253</t>
        </is>
      </c>
      <c r="B254" t="inlineStr">
        <is>
          <t>Google</t>
        </is>
      </c>
      <c r="C254" t="inlineStr">
        <is>
          <t>Sundar Pichai</t>
        </is>
      </c>
      <c r="D254" t="inlineStr">
        <is>
          <t>sundar@google.com</t>
        </is>
      </c>
      <c r="E254" t="inlineStr">
        <is>
          <t>Chetan</t>
        </is>
      </c>
      <c r="F254" t="inlineStr">
        <is>
          <t>chetan@weekday.works</t>
        </is>
      </c>
      <c r="G254" s="36" t="inlineStr">
        <is>
          <t>+91 9920264452</t>
        </is>
      </c>
      <c r="H254" t="inlineStr">
        <is>
          <t>Round1</t>
        </is>
      </c>
      <c r="I254" t="inlineStr">
        <is>
          <t>&lt;calendly_link&gt;</t>
        </is>
      </c>
      <c r="J254" s="37" t="n">
        <v>44867.82708333333</v>
      </c>
      <c r="K254" t="inlineStr">
        <is>
          <t>Yes</t>
        </is>
      </c>
    </row>
    <row r="255">
      <c r="A255" t="inlineStr">
        <is>
          <t>REQ-0254</t>
        </is>
      </c>
      <c r="B255" t="inlineStr">
        <is>
          <t>Google</t>
        </is>
      </c>
      <c r="C255" t="inlineStr">
        <is>
          <t>Sundar Pichai</t>
        </is>
      </c>
      <c r="D255" t="inlineStr">
        <is>
          <t>sundar@google.com</t>
        </is>
      </c>
      <c r="E255" t="inlineStr">
        <is>
          <t>Chetan</t>
        </is>
      </c>
      <c r="F255" t="inlineStr">
        <is>
          <t>chetan@weekday.works</t>
        </is>
      </c>
      <c r="G255" s="36" t="inlineStr">
        <is>
          <t>+91 9920264452</t>
        </is>
      </c>
      <c r="H255" t="inlineStr">
        <is>
          <t>Round1</t>
        </is>
      </c>
      <c r="I255" t="inlineStr">
        <is>
          <t>&lt;calendly_link&gt;</t>
        </is>
      </c>
      <c r="J255" s="37" t="n">
        <v>44867.82708333333</v>
      </c>
      <c r="K255" t="inlineStr">
        <is>
          <t>Yes</t>
        </is>
      </c>
    </row>
    <row r="256">
      <c r="A256" t="inlineStr">
        <is>
          <t>REQ-0255</t>
        </is>
      </c>
      <c r="B256" t="inlineStr">
        <is>
          <t>Google</t>
        </is>
      </c>
      <c r="C256" t="inlineStr">
        <is>
          <t>Sundar Pichai</t>
        </is>
      </c>
      <c r="D256" t="inlineStr">
        <is>
          <t>sundar@google.com</t>
        </is>
      </c>
      <c r="E256" t="inlineStr">
        <is>
          <t>Chetan</t>
        </is>
      </c>
      <c r="F256" t="inlineStr">
        <is>
          <t>chetan@weekday.works</t>
        </is>
      </c>
      <c r="G256" s="36" t="inlineStr">
        <is>
          <t>+91 9920264452</t>
        </is>
      </c>
      <c r="H256" t="inlineStr">
        <is>
          <t>Round1</t>
        </is>
      </c>
      <c r="I256" t="inlineStr">
        <is>
          <t>&lt;calendly_link&gt;</t>
        </is>
      </c>
      <c r="J256" s="37" t="n">
        <v>44867.82708333333</v>
      </c>
      <c r="K256" t="inlineStr">
        <is>
          <t>Yes</t>
        </is>
      </c>
    </row>
    <row r="257">
      <c r="A257" t="inlineStr">
        <is>
          <t>REQ-0256</t>
        </is>
      </c>
      <c r="B257" t="inlineStr">
        <is>
          <t>Google</t>
        </is>
      </c>
      <c r="C257" t="inlineStr">
        <is>
          <t>Sundar Pichai</t>
        </is>
      </c>
      <c r="D257" t="inlineStr">
        <is>
          <t>sundar@google.com</t>
        </is>
      </c>
      <c r="E257" t="inlineStr">
        <is>
          <t>Chetan</t>
        </is>
      </c>
      <c r="F257" t="inlineStr">
        <is>
          <t>chetan@weekday.works</t>
        </is>
      </c>
      <c r="G257" s="36" t="inlineStr">
        <is>
          <t>+91 9920264452</t>
        </is>
      </c>
      <c r="H257" t="inlineStr">
        <is>
          <t>Round1</t>
        </is>
      </c>
      <c r="I257" t="inlineStr">
        <is>
          <t>&lt;calendly_link&gt;</t>
        </is>
      </c>
      <c r="J257" s="37" t="n">
        <v>44867.82708333333</v>
      </c>
      <c r="K257" t="inlineStr">
        <is>
          <t>Yes</t>
        </is>
      </c>
    </row>
    <row r="258">
      <c r="A258" t="inlineStr">
        <is>
          <t>REQ-0257</t>
        </is>
      </c>
      <c r="B258" t="inlineStr">
        <is>
          <t>Google</t>
        </is>
      </c>
      <c r="C258" t="inlineStr">
        <is>
          <t>Sundar Pichai</t>
        </is>
      </c>
      <c r="D258" t="inlineStr">
        <is>
          <t>sundar@google.com</t>
        </is>
      </c>
      <c r="E258" t="inlineStr">
        <is>
          <t>Chetan</t>
        </is>
      </c>
      <c r="F258" t="inlineStr">
        <is>
          <t>chetan@weekday.works</t>
        </is>
      </c>
      <c r="G258" s="36" t="inlineStr">
        <is>
          <t>+91 9920264452</t>
        </is>
      </c>
      <c r="H258" t="inlineStr">
        <is>
          <t>Round1</t>
        </is>
      </c>
      <c r="I258" t="inlineStr">
        <is>
          <t>&lt;calendly_link&gt;</t>
        </is>
      </c>
      <c r="J258" s="37" t="n">
        <v>44867.82708333333</v>
      </c>
      <c r="K258" t="inlineStr">
        <is>
          <t>Yes</t>
        </is>
      </c>
    </row>
    <row r="259">
      <c r="A259" t="inlineStr">
        <is>
          <t>REQ-0258</t>
        </is>
      </c>
      <c r="B259" t="inlineStr">
        <is>
          <t>Google</t>
        </is>
      </c>
      <c r="C259" t="inlineStr">
        <is>
          <t>Sundar Pichai</t>
        </is>
      </c>
      <c r="D259" t="inlineStr">
        <is>
          <t>sundar@google.com</t>
        </is>
      </c>
      <c r="E259" t="inlineStr">
        <is>
          <t>Chetan</t>
        </is>
      </c>
      <c r="F259" t="inlineStr">
        <is>
          <t>chetan@weekday.works</t>
        </is>
      </c>
      <c r="G259" s="36" t="inlineStr">
        <is>
          <t>+91 9920264452</t>
        </is>
      </c>
      <c r="H259" t="inlineStr">
        <is>
          <t>Round1</t>
        </is>
      </c>
      <c r="I259" t="inlineStr">
        <is>
          <t>&lt;calendly_link&gt;</t>
        </is>
      </c>
      <c r="J259" s="37" t="n">
        <v>44867.82708333333</v>
      </c>
      <c r="K259" t="inlineStr">
        <is>
          <t>Yes</t>
        </is>
      </c>
    </row>
    <row r="260">
      <c r="A260" t="inlineStr">
        <is>
          <t>REQ-0259</t>
        </is>
      </c>
      <c r="B260" t="inlineStr">
        <is>
          <t>Google</t>
        </is>
      </c>
      <c r="C260" t="inlineStr">
        <is>
          <t>Sundar Pichai</t>
        </is>
      </c>
      <c r="D260" t="inlineStr">
        <is>
          <t>sundar@google.com</t>
        </is>
      </c>
      <c r="E260" t="inlineStr">
        <is>
          <t>Chetan</t>
        </is>
      </c>
      <c r="F260" t="inlineStr">
        <is>
          <t>chetan@weekday.works</t>
        </is>
      </c>
      <c r="G260" s="36" t="inlineStr">
        <is>
          <t>+91 9920264452</t>
        </is>
      </c>
      <c r="H260" t="inlineStr">
        <is>
          <t>Round1</t>
        </is>
      </c>
      <c r="I260" t="inlineStr">
        <is>
          <t>&lt;calendly_link&gt;</t>
        </is>
      </c>
      <c r="J260" s="37" t="n">
        <v>44867.82708333333</v>
      </c>
      <c r="K260" t="inlineStr">
        <is>
          <t>Yes</t>
        </is>
      </c>
    </row>
    <row r="261">
      <c r="A261" t="inlineStr">
        <is>
          <t>REQ-0260</t>
        </is>
      </c>
      <c r="B261" t="inlineStr">
        <is>
          <t>Google</t>
        </is>
      </c>
      <c r="C261" t="inlineStr">
        <is>
          <t>Sundar Pichai</t>
        </is>
      </c>
      <c r="D261" t="inlineStr">
        <is>
          <t>sundar@google.com</t>
        </is>
      </c>
      <c r="E261" t="inlineStr">
        <is>
          <t>Chetan</t>
        </is>
      </c>
      <c r="F261" t="inlineStr">
        <is>
          <t>chetan@weekday.works</t>
        </is>
      </c>
      <c r="G261" s="36" t="inlineStr">
        <is>
          <t>+91 9920264452</t>
        </is>
      </c>
      <c r="H261" t="inlineStr">
        <is>
          <t>Round1</t>
        </is>
      </c>
      <c r="I261" t="inlineStr">
        <is>
          <t>&lt;calendly_link&gt;</t>
        </is>
      </c>
      <c r="J261" s="37" t="n">
        <v>44867.82708333333</v>
      </c>
      <c r="K261" t="inlineStr">
        <is>
          <t>Yes</t>
        </is>
      </c>
    </row>
    <row r="262">
      <c r="A262" t="inlineStr">
        <is>
          <t>REQ-0261</t>
        </is>
      </c>
      <c r="B262" t="inlineStr">
        <is>
          <t>Google</t>
        </is>
      </c>
      <c r="C262" t="inlineStr">
        <is>
          <t>Sundar Pichai</t>
        </is>
      </c>
      <c r="D262" t="inlineStr">
        <is>
          <t>sundar@google.com</t>
        </is>
      </c>
      <c r="E262" t="inlineStr">
        <is>
          <t>Chetan</t>
        </is>
      </c>
      <c r="F262" t="inlineStr">
        <is>
          <t>chetan@weekday.works</t>
        </is>
      </c>
      <c r="G262" s="36" t="inlineStr">
        <is>
          <t>+91 9920264452</t>
        </is>
      </c>
      <c r="H262" t="inlineStr">
        <is>
          <t>Round1</t>
        </is>
      </c>
      <c r="I262" t="inlineStr">
        <is>
          <t>&lt;calendly_link&gt;</t>
        </is>
      </c>
      <c r="J262" s="37" t="n">
        <v>44867.82708333333</v>
      </c>
      <c r="K262" t="inlineStr">
        <is>
          <t>Yes</t>
        </is>
      </c>
    </row>
    <row r="263">
      <c r="A263" t="inlineStr">
        <is>
          <t>REQ-0262</t>
        </is>
      </c>
      <c r="B263" t="inlineStr">
        <is>
          <t>Google</t>
        </is>
      </c>
      <c r="C263" t="inlineStr">
        <is>
          <t>Sundar Pichai</t>
        </is>
      </c>
      <c r="D263" t="inlineStr">
        <is>
          <t>sundar@google.com</t>
        </is>
      </c>
      <c r="E263" t="inlineStr">
        <is>
          <t>Chetan</t>
        </is>
      </c>
      <c r="F263" t="inlineStr">
        <is>
          <t>chetan@weekday.works</t>
        </is>
      </c>
      <c r="G263" s="36" t="inlineStr">
        <is>
          <t>+91 9920264452</t>
        </is>
      </c>
      <c r="H263" t="inlineStr">
        <is>
          <t>Round1</t>
        </is>
      </c>
      <c r="I263" t="inlineStr">
        <is>
          <t>&lt;calendly_link&gt;</t>
        </is>
      </c>
      <c r="J263" s="37" t="n">
        <v>44867.82708333333</v>
      </c>
      <c r="K263" t="inlineStr">
        <is>
          <t>Yes</t>
        </is>
      </c>
    </row>
    <row r="264">
      <c r="A264" t="inlineStr">
        <is>
          <t>REQ-0263</t>
        </is>
      </c>
      <c r="B264" t="inlineStr">
        <is>
          <t>Google</t>
        </is>
      </c>
      <c r="C264" t="inlineStr">
        <is>
          <t>Sundar Pichai</t>
        </is>
      </c>
      <c r="D264" t="inlineStr">
        <is>
          <t>sundar@google.com</t>
        </is>
      </c>
      <c r="E264" t="inlineStr">
        <is>
          <t>Chetan</t>
        </is>
      </c>
      <c r="F264" t="inlineStr">
        <is>
          <t>chetan@weekday.works</t>
        </is>
      </c>
      <c r="G264" s="36" t="inlineStr">
        <is>
          <t>+91 9920264452</t>
        </is>
      </c>
      <c r="H264" t="inlineStr">
        <is>
          <t>Round1</t>
        </is>
      </c>
      <c r="I264" t="inlineStr">
        <is>
          <t>&lt;calendly_link&gt;</t>
        </is>
      </c>
      <c r="J264" s="37" t="n">
        <v>44867.82708333333</v>
      </c>
      <c r="K264" t="inlineStr">
        <is>
          <t>Yes</t>
        </is>
      </c>
    </row>
    <row r="265">
      <c r="A265" t="inlineStr">
        <is>
          <t>REQ-0264</t>
        </is>
      </c>
      <c r="B265" t="inlineStr">
        <is>
          <t>Google</t>
        </is>
      </c>
      <c r="C265" t="inlineStr">
        <is>
          <t>Sundar Pichai</t>
        </is>
      </c>
      <c r="D265" t="inlineStr">
        <is>
          <t>sundar@google.com</t>
        </is>
      </c>
      <c r="E265" t="inlineStr">
        <is>
          <t>Chetan</t>
        </is>
      </c>
      <c r="F265" t="inlineStr">
        <is>
          <t>chetan@weekday.works</t>
        </is>
      </c>
      <c r="G265" s="36" t="inlineStr">
        <is>
          <t>+91 9920264452</t>
        </is>
      </c>
      <c r="H265" t="inlineStr">
        <is>
          <t>Round1</t>
        </is>
      </c>
      <c r="I265" t="inlineStr">
        <is>
          <t>&lt;calendly_link&gt;</t>
        </is>
      </c>
      <c r="J265" s="37" t="n">
        <v>44867.82708333333</v>
      </c>
      <c r="K265" t="inlineStr">
        <is>
          <t>Yes</t>
        </is>
      </c>
    </row>
    <row r="266">
      <c r="A266" t="inlineStr">
        <is>
          <t>REQ-0265</t>
        </is>
      </c>
      <c r="B266" t="inlineStr">
        <is>
          <t>Google</t>
        </is>
      </c>
      <c r="C266" t="inlineStr">
        <is>
          <t>Sundar Pichai</t>
        </is>
      </c>
      <c r="D266" t="inlineStr">
        <is>
          <t>sundar@google.com</t>
        </is>
      </c>
      <c r="E266" t="inlineStr">
        <is>
          <t>Chetan</t>
        </is>
      </c>
      <c r="F266" t="inlineStr">
        <is>
          <t>chetan@weekday.works</t>
        </is>
      </c>
      <c r="G266" s="36" t="inlineStr">
        <is>
          <t>+91 9920264452</t>
        </is>
      </c>
      <c r="H266" t="inlineStr">
        <is>
          <t>Round1</t>
        </is>
      </c>
      <c r="I266" t="inlineStr">
        <is>
          <t>&lt;calendly_link&gt;</t>
        </is>
      </c>
      <c r="J266" s="37" t="n">
        <v>44867.82708333333</v>
      </c>
      <c r="K266" t="inlineStr">
        <is>
          <t>Yes</t>
        </is>
      </c>
    </row>
    <row r="267">
      <c r="A267" t="inlineStr">
        <is>
          <t>REQ-0266</t>
        </is>
      </c>
      <c r="B267" t="inlineStr">
        <is>
          <t>Google</t>
        </is>
      </c>
      <c r="C267" t="inlineStr">
        <is>
          <t>Sundar Pichai</t>
        </is>
      </c>
      <c r="D267" t="inlineStr">
        <is>
          <t>sundar@google.com</t>
        </is>
      </c>
      <c r="E267" t="inlineStr">
        <is>
          <t>Chetan</t>
        </is>
      </c>
      <c r="F267" t="inlineStr">
        <is>
          <t>chetan@weekday.works</t>
        </is>
      </c>
      <c r="G267" s="36" t="inlineStr">
        <is>
          <t>+91 9920264452</t>
        </is>
      </c>
      <c r="H267" t="inlineStr">
        <is>
          <t>Round1</t>
        </is>
      </c>
      <c r="I267" t="inlineStr">
        <is>
          <t>&lt;calendly_link&gt;</t>
        </is>
      </c>
      <c r="J267" s="37" t="n">
        <v>44867.82708333333</v>
      </c>
      <c r="K267" t="inlineStr">
        <is>
          <t>Yes</t>
        </is>
      </c>
    </row>
    <row r="268">
      <c r="A268" t="inlineStr">
        <is>
          <t>REQ-0267</t>
        </is>
      </c>
      <c r="B268" t="inlineStr">
        <is>
          <t>Google</t>
        </is>
      </c>
      <c r="C268" t="inlineStr">
        <is>
          <t>Sundar Pichai</t>
        </is>
      </c>
      <c r="D268" t="inlineStr">
        <is>
          <t>sundar@google.com</t>
        </is>
      </c>
      <c r="E268" t="inlineStr">
        <is>
          <t>Chetan</t>
        </is>
      </c>
      <c r="F268" t="inlineStr">
        <is>
          <t>chetan@weekday.works</t>
        </is>
      </c>
      <c r="G268" s="36" t="inlineStr">
        <is>
          <t>+91 9920264452</t>
        </is>
      </c>
      <c r="H268" t="inlineStr">
        <is>
          <t>Round1</t>
        </is>
      </c>
      <c r="I268" t="inlineStr">
        <is>
          <t>&lt;calendly_link&gt;</t>
        </is>
      </c>
      <c r="J268" s="37" t="n">
        <v>44867.82708333333</v>
      </c>
      <c r="K268" t="inlineStr">
        <is>
          <t>Yes</t>
        </is>
      </c>
    </row>
    <row r="269">
      <c r="A269" t="inlineStr">
        <is>
          <t>REQ-0268</t>
        </is>
      </c>
      <c r="B269" t="inlineStr">
        <is>
          <t>Google</t>
        </is>
      </c>
      <c r="C269" t="inlineStr">
        <is>
          <t>Sundar Pichai</t>
        </is>
      </c>
      <c r="D269" t="inlineStr">
        <is>
          <t>sundar@google.com</t>
        </is>
      </c>
      <c r="E269" t="inlineStr">
        <is>
          <t>Chetan</t>
        </is>
      </c>
      <c r="F269" t="inlineStr">
        <is>
          <t>chetan@weekday.works</t>
        </is>
      </c>
      <c r="G269" s="36" t="inlineStr">
        <is>
          <t>+91 9920264452</t>
        </is>
      </c>
      <c r="H269" t="inlineStr">
        <is>
          <t>Round1</t>
        </is>
      </c>
      <c r="I269" t="inlineStr">
        <is>
          <t>&lt;calendly_link&gt;</t>
        </is>
      </c>
      <c r="J269" s="37" t="n">
        <v>44867.82708333333</v>
      </c>
      <c r="K269" t="inlineStr">
        <is>
          <t>Yes</t>
        </is>
      </c>
    </row>
    <row r="270">
      <c r="A270" t="inlineStr">
        <is>
          <t>REQ-0269</t>
        </is>
      </c>
      <c r="B270" t="inlineStr">
        <is>
          <t>Google</t>
        </is>
      </c>
      <c r="C270" t="inlineStr">
        <is>
          <t>Sundar Pichai</t>
        </is>
      </c>
      <c r="D270" t="inlineStr">
        <is>
          <t>sundar@google.com</t>
        </is>
      </c>
      <c r="E270" t="inlineStr">
        <is>
          <t>Chetan</t>
        </is>
      </c>
      <c r="F270" t="inlineStr">
        <is>
          <t>chetan@weekday.works</t>
        </is>
      </c>
      <c r="G270" s="36" t="inlineStr">
        <is>
          <t>+91 9920264452</t>
        </is>
      </c>
      <c r="H270" t="inlineStr">
        <is>
          <t>Round1</t>
        </is>
      </c>
      <c r="I270" t="inlineStr">
        <is>
          <t>&lt;calendly_link&gt;</t>
        </is>
      </c>
      <c r="J270" s="37" t="n">
        <v>44867.82708333333</v>
      </c>
      <c r="K270" t="inlineStr">
        <is>
          <t>Yes</t>
        </is>
      </c>
    </row>
    <row r="271">
      <c r="A271" t="inlineStr">
        <is>
          <t>REQ-0270</t>
        </is>
      </c>
      <c r="B271" t="inlineStr">
        <is>
          <t>Google</t>
        </is>
      </c>
      <c r="C271" t="inlineStr">
        <is>
          <t>Sundar Pichai</t>
        </is>
      </c>
      <c r="D271" t="inlineStr">
        <is>
          <t>sundar@google.com</t>
        </is>
      </c>
      <c r="E271" t="inlineStr">
        <is>
          <t>Chetan</t>
        </is>
      </c>
      <c r="F271" t="inlineStr">
        <is>
          <t>chetan@weekday.works</t>
        </is>
      </c>
      <c r="G271" s="36" t="inlineStr">
        <is>
          <t>+91 9920264452</t>
        </is>
      </c>
      <c r="H271" t="inlineStr">
        <is>
          <t>Round1</t>
        </is>
      </c>
      <c r="I271" t="inlineStr">
        <is>
          <t>&lt;calendly_link&gt;</t>
        </is>
      </c>
      <c r="J271" s="37" t="n">
        <v>44867.82708333333</v>
      </c>
      <c r="K271" t="inlineStr">
        <is>
          <t>Yes</t>
        </is>
      </c>
    </row>
    <row r="272">
      <c r="A272" t="inlineStr">
        <is>
          <t>REQ-0271</t>
        </is>
      </c>
      <c r="B272" t="inlineStr">
        <is>
          <t>Google</t>
        </is>
      </c>
      <c r="C272" t="inlineStr">
        <is>
          <t>Sundar Pichai</t>
        </is>
      </c>
      <c r="D272" t="inlineStr">
        <is>
          <t>sundar@google.com</t>
        </is>
      </c>
      <c r="E272" t="inlineStr">
        <is>
          <t>Chetan</t>
        </is>
      </c>
      <c r="F272" t="inlineStr">
        <is>
          <t>chetan@weekday.works</t>
        </is>
      </c>
      <c r="G272" s="36" t="inlineStr">
        <is>
          <t>+91 9920264452</t>
        </is>
      </c>
      <c r="H272" t="inlineStr">
        <is>
          <t>Round1</t>
        </is>
      </c>
      <c r="I272" t="inlineStr">
        <is>
          <t>&lt;calendly_link&gt;</t>
        </is>
      </c>
      <c r="J272" s="37" t="n">
        <v>44867.82708333333</v>
      </c>
      <c r="K272" t="inlineStr">
        <is>
          <t>Yes</t>
        </is>
      </c>
    </row>
    <row r="273">
      <c r="A273" t="inlineStr">
        <is>
          <t>REQ-0272</t>
        </is>
      </c>
      <c r="B273" t="inlineStr">
        <is>
          <t>Google</t>
        </is>
      </c>
      <c r="C273" t="inlineStr">
        <is>
          <t>Sundar Pichai</t>
        </is>
      </c>
      <c r="D273" t="inlineStr">
        <is>
          <t>sundar@google.com</t>
        </is>
      </c>
      <c r="E273" t="inlineStr">
        <is>
          <t>Chetan</t>
        </is>
      </c>
      <c r="F273" t="inlineStr">
        <is>
          <t>chetan@weekday.works</t>
        </is>
      </c>
      <c r="G273" s="36" t="inlineStr">
        <is>
          <t>+91 9920264452</t>
        </is>
      </c>
      <c r="H273" t="inlineStr">
        <is>
          <t>Round1</t>
        </is>
      </c>
      <c r="I273" t="inlineStr">
        <is>
          <t>&lt;calendly_link&gt;</t>
        </is>
      </c>
      <c r="J273" s="37" t="n">
        <v>44867.82708333333</v>
      </c>
      <c r="K273" t="inlineStr">
        <is>
          <t>Yes</t>
        </is>
      </c>
    </row>
    <row r="274">
      <c r="A274" t="inlineStr">
        <is>
          <t>REQ-0273</t>
        </is>
      </c>
      <c r="B274" t="inlineStr">
        <is>
          <t>Google</t>
        </is>
      </c>
      <c r="C274" t="inlineStr">
        <is>
          <t>Sundar Pichai</t>
        </is>
      </c>
      <c r="D274" t="inlineStr">
        <is>
          <t>sundar@google.com</t>
        </is>
      </c>
      <c r="E274" t="inlineStr">
        <is>
          <t>Chetan</t>
        </is>
      </c>
      <c r="F274" t="inlineStr">
        <is>
          <t>chetan@weekday.works</t>
        </is>
      </c>
      <c r="G274" s="36" t="inlineStr">
        <is>
          <t>+91 9920264452</t>
        </is>
      </c>
      <c r="H274" t="inlineStr">
        <is>
          <t>Round1</t>
        </is>
      </c>
      <c r="I274" t="inlineStr">
        <is>
          <t>&lt;calendly_link&gt;</t>
        </is>
      </c>
      <c r="J274" s="37" t="n">
        <v>44867.82708333333</v>
      </c>
      <c r="K274" t="inlineStr">
        <is>
          <t>Yes</t>
        </is>
      </c>
    </row>
    <row r="275">
      <c r="A275" t="inlineStr">
        <is>
          <t>REQ-0274</t>
        </is>
      </c>
      <c r="B275" t="inlineStr">
        <is>
          <t>Google</t>
        </is>
      </c>
      <c r="C275" t="inlineStr">
        <is>
          <t>Sundar Pichai</t>
        </is>
      </c>
      <c r="D275" t="inlineStr">
        <is>
          <t>sundar@google.com</t>
        </is>
      </c>
      <c r="E275" t="inlineStr">
        <is>
          <t>Chetan</t>
        </is>
      </c>
      <c r="F275" t="inlineStr">
        <is>
          <t>chetan@weekday.works</t>
        </is>
      </c>
      <c r="G275" s="36" t="inlineStr">
        <is>
          <t>+91 9920264452</t>
        </is>
      </c>
      <c r="H275" t="inlineStr">
        <is>
          <t>Round1</t>
        </is>
      </c>
      <c r="I275" t="inlineStr">
        <is>
          <t>&lt;calendly_link&gt;</t>
        </is>
      </c>
      <c r="J275" s="37" t="n">
        <v>44867.82708333333</v>
      </c>
      <c r="K275" t="inlineStr">
        <is>
          <t>Yes</t>
        </is>
      </c>
    </row>
    <row r="276">
      <c r="A276" t="inlineStr">
        <is>
          <t>REQ-0275</t>
        </is>
      </c>
      <c r="B276" t="inlineStr">
        <is>
          <t>Google</t>
        </is>
      </c>
      <c r="C276" t="inlineStr">
        <is>
          <t>Sundar Pichai</t>
        </is>
      </c>
      <c r="D276" t="inlineStr">
        <is>
          <t>sundar@google.com</t>
        </is>
      </c>
      <c r="E276" t="inlineStr">
        <is>
          <t>Chetan</t>
        </is>
      </c>
      <c r="F276" t="inlineStr">
        <is>
          <t>chetan@weekday.works</t>
        </is>
      </c>
      <c r="G276" s="36" t="inlineStr">
        <is>
          <t>+91 9920264452</t>
        </is>
      </c>
      <c r="H276" t="inlineStr">
        <is>
          <t>Round1</t>
        </is>
      </c>
      <c r="I276" t="inlineStr">
        <is>
          <t>&lt;calendly_link&gt;</t>
        </is>
      </c>
      <c r="J276" s="37" t="n">
        <v>44867.82708333333</v>
      </c>
      <c r="K276" t="inlineStr">
        <is>
          <t>Yes</t>
        </is>
      </c>
    </row>
    <row r="277">
      <c r="A277" t="inlineStr">
        <is>
          <t>REQ-0276</t>
        </is>
      </c>
      <c r="B277" t="inlineStr">
        <is>
          <t>Google</t>
        </is>
      </c>
      <c r="C277" t="inlineStr">
        <is>
          <t>Sundar Pichai</t>
        </is>
      </c>
      <c r="D277" t="inlineStr">
        <is>
          <t>sundar@google.com</t>
        </is>
      </c>
      <c r="E277" t="inlineStr">
        <is>
          <t>Chetan</t>
        </is>
      </c>
      <c r="F277" t="inlineStr">
        <is>
          <t>chetan@weekday.works</t>
        </is>
      </c>
      <c r="G277" s="36" t="inlineStr">
        <is>
          <t>+91 9920264452</t>
        </is>
      </c>
      <c r="H277" t="inlineStr">
        <is>
          <t>Round1</t>
        </is>
      </c>
      <c r="I277" t="inlineStr">
        <is>
          <t>&lt;calendly_link&gt;</t>
        </is>
      </c>
      <c r="J277" s="37" t="n">
        <v>44867.82708333333</v>
      </c>
      <c r="K277" t="inlineStr">
        <is>
          <t>Yes</t>
        </is>
      </c>
    </row>
    <row r="278">
      <c r="A278" t="inlineStr">
        <is>
          <t>REQ-0277</t>
        </is>
      </c>
      <c r="B278" t="inlineStr">
        <is>
          <t>Google</t>
        </is>
      </c>
      <c r="C278" t="inlineStr">
        <is>
          <t>Sundar Pichai</t>
        </is>
      </c>
      <c r="D278" t="inlineStr">
        <is>
          <t>sundar@google.com</t>
        </is>
      </c>
      <c r="E278" t="inlineStr">
        <is>
          <t>Chetan</t>
        </is>
      </c>
      <c r="F278" t="inlineStr">
        <is>
          <t>chetan@weekday.works</t>
        </is>
      </c>
      <c r="G278" s="36" t="inlineStr">
        <is>
          <t>+91 9920264452</t>
        </is>
      </c>
      <c r="H278" t="inlineStr">
        <is>
          <t>Round1</t>
        </is>
      </c>
      <c r="I278" t="inlineStr">
        <is>
          <t>&lt;calendly_link&gt;</t>
        </is>
      </c>
      <c r="J278" s="37" t="n">
        <v>44867.82708333333</v>
      </c>
      <c r="K278" t="inlineStr">
        <is>
          <t>Yes</t>
        </is>
      </c>
    </row>
    <row r="279">
      <c r="A279" t="inlineStr">
        <is>
          <t>REQ-0278</t>
        </is>
      </c>
      <c r="B279" t="inlineStr">
        <is>
          <t>Google</t>
        </is>
      </c>
      <c r="C279" t="inlineStr">
        <is>
          <t>Sundar Pichai</t>
        </is>
      </c>
      <c r="D279" t="inlineStr">
        <is>
          <t>sundar@google.com</t>
        </is>
      </c>
      <c r="E279" t="inlineStr">
        <is>
          <t>Chetan</t>
        </is>
      </c>
      <c r="F279" t="inlineStr">
        <is>
          <t>chetan@weekday.works</t>
        </is>
      </c>
      <c r="G279" s="36" t="inlineStr">
        <is>
          <t>+91 9920264452</t>
        </is>
      </c>
      <c r="H279" t="inlineStr">
        <is>
          <t>Round1</t>
        </is>
      </c>
      <c r="I279" t="inlineStr">
        <is>
          <t>&lt;calendly_link&gt;</t>
        </is>
      </c>
      <c r="J279" s="37" t="n">
        <v>44867.82708333333</v>
      </c>
      <c r="K279" t="inlineStr">
        <is>
          <t>Yes</t>
        </is>
      </c>
    </row>
    <row r="280">
      <c r="A280" t="inlineStr">
        <is>
          <t>REQ-0279</t>
        </is>
      </c>
      <c r="B280" t="inlineStr">
        <is>
          <t>Google</t>
        </is>
      </c>
      <c r="C280" t="inlineStr">
        <is>
          <t>Sundar Pichai</t>
        </is>
      </c>
      <c r="D280" t="inlineStr">
        <is>
          <t>sundar@google.com</t>
        </is>
      </c>
      <c r="E280" t="inlineStr">
        <is>
          <t>Chetan</t>
        </is>
      </c>
      <c r="F280" t="inlineStr">
        <is>
          <t>chetan@weekday.works</t>
        </is>
      </c>
      <c r="G280" s="36" t="inlineStr">
        <is>
          <t>+91 9920264452</t>
        </is>
      </c>
      <c r="H280" t="inlineStr">
        <is>
          <t>Round1</t>
        </is>
      </c>
      <c r="I280" t="inlineStr">
        <is>
          <t>&lt;calendly_link&gt;</t>
        </is>
      </c>
      <c r="J280" s="37" t="n">
        <v>44867.82708333333</v>
      </c>
      <c r="K280" t="inlineStr">
        <is>
          <t>Yes</t>
        </is>
      </c>
    </row>
    <row r="281">
      <c r="A281" t="inlineStr">
        <is>
          <t>REQ-0280</t>
        </is>
      </c>
      <c r="B281" t="inlineStr">
        <is>
          <t>Google</t>
        </is>
      </c>
      <c r="C281" t="inlineStr">
        <is>
          <t>Sundar Pichai</t>
        </is>
      </c>
      <c r="D281" t="inlineStr">
        <is>
          <t>sundar@google.com</t>
        </is>
      </c>
      <c r="E281" t="inlineStr">
        <is>
          <t>Chetan</t>
        </is>
      </c>
      <c r="F281" t="inlineStr">
        <is>
          <t>chetan@weekday.works</t>
        </is>
      </c>
      <c r="G281" s="36" t="inlineStr">
        <is>
          <t>+91 9920264452</t>
        </is>
      </c>
      <c r="H281" t="inlineStr">
        <is>
          <t>Round1</t>
        </is>
      </c>
      <c r="I281" t="inlineStr">
        <is>
          <t>&lt;calendly_link&gt;</t>
        </is>
      </c>
      <c r="J281" s="37" t="n">
        <v>44867.82708333333</v>
      </c>
      <c r="K281" t="inlineStr">
        <is>
          <t>Yes</t>
        </is>
      </c>
    </row>
    <row r="282">
      <c r="A282" t="inlineStr">
        <is>
          <t>REQ-0281</t>
        </is>
      </c>
      <c r="B282" t="inlineStr">
        <is>
          <t>Google</t>
        </is>
      </c>
      <c r="C282" t="inlineStr">
        <is>
          <t>Sundar Pichai</t>
        </is>
      </c>
      <c r="D282" t="inlineStr">
        <is>
          <t>sundar@google.com</t>
        </is>
      </c>
      <c r="E282" t="inlineStr">
        <is>
          <t>Chetan</t>
        </is>
      </c>
      <c r="F282" t="inlineStr">
        <is>
          <t>chetan@weekday.works</t>
        </is>
      </c>
      <c r="G282" s="36" t="inlineStr">
        <is>
          <t>+91 9920264452</t>
        </is>
      </c>
      <c r="H282" t="inlineStr">
        <is>
          <t>Round1</t>
        </is>
      </c>
      <c r="I282" t="inlineStr">
        <is>
          <t>&lt;calendly_link&gt;</t>
        </is>
      </c>
      <c r="J282" s="37" t="n">
        <v>44867.82708333333</v>
      </c>
      <c r="K282" t="inlineStr">
        <is>
          <t>Yes</t>
        </is>
      </c>
    </row>
    <row r="283">
      <c r="A283" t="inlineStr">
        <is>
          <t>REQ-0282</t>
        </is>
      </c>
      <c r="B283" t="inlineStr">
        <is>
          <t>Google</t>
        </is>
      </c>
      <c r="C283" t="inlineStr">
        <is>
          <t>Sundar Pichai</t>
        </is>
      </c>
      <c r="D283" t="inlineStr">
        <is>
          <t>sundar@google.com</t>
        </is>
      </c>
      <c r="E283" t="inlineStr">
        <is>
          <t>Chetan</t>
        </is>
      </c>
      <c r="F283" t="inlineStr">
        <is>
          <t>chetan@weekday.works</t>
        </is>
      </c>
      <c r="G283" s="36" t="inlineStr">
        <is>
          <t>+91 9920264452</t>
        </is>
      </c>
      <c r="H283" t="inlineStr">
        <is>
          <t>Round1</t>
        </is>
      </c>
      <c r="I283" t="inlineStr">
        <is>
          <t>&lt;calendly_link&gt;</t>
        </is>
      </c>
      <c r="J283" s="37" t="n">
        <v>44867.82708333333</v>
      </c>
      <c r="K283" t="inlineStr">
        <is>
          <t>Yes</t>
        </is>
      </c>
    </row>
    <row r="284">
      <c r="A284" t="inlineStr">
        <is>
          <t>REQ-0283</t>
        </is>
      </c>
      <c r="B284" t="inlineStr">
        <is>
          <t>Google</t>
        </is>
      </c>
      <c r="C284" t="inlineStr">
        <is>
          <t>Sundar Pichai</t>
        </is>
      </c>
      <c r="D284" t="inlineStr">
        <is>
          <t>sundar@google.com</t>
        </is>
      </c>
      <c r="E284" t="inlineStr">
        <is>
          <t>Chetan</t>
        </is>
      </c>
      <c r="F284" t="inlineStr">
        <is>
          <t>chetan@weekday.works</t>
        </is>
      </c>
      <c r="G284" s="36" t="inlineStr">
        <is>
          <t>+91 9920264452</t>
        </is>
      </c>
      <c r="H284" t="inlineStr">
        <is>
          <t>Round1</t>
        </is>
      </c>
      <c r="I284" t="inlineStr">
        <is>
          <t>&lt;calendly_link&gt;</t>
        </is>
      </c>
      <c r="J284" s="37" t="n">
        <v>44867.82708333333</v>
      </c>
      <c r="K284" t="inlineStr">
        <is>
          <t>Yes</t>
        </is>
      </c>
    </row>
    <row r="285">
      <c r="A285" t="inlineStr">
        <is>
          <t>REQ-0284</t>
        </is>
      </c>
      <c r="B285" t="inlineStr">
        <is>
          <t>Google</t>
        </is>
      </c>
      <c r="C285" t="inlineStr">
        <is>
          <t>Sundar Pichai</t>
        </is>
      </c>
      <c r="D285" t="inlineStr">
        <is>
          <t>sundar@google.com</t>
        </is>
      </c>
      <c r="E285" t="inlineStr">
        <is>
          <t>Chetan</t>
        </is>
      </c>
      <c r="F285" t="inlineStr">
        <is>
          <t>chetan@weekday.works</t>
        </is>
      </c>
      <c r="G285" s="36" t="inlineStr">
        <is>
          <t>+91 9920264452</t>
        </is>
      </c>
      <c r="H285" t="inlineStr">
        <is>
          <t>Round1</t>
        </is>
      </c>
      <c r="I285" t="inlineStr">
        <is>
          <t>&lt;calendly_link&gt;</t>
        </is>
      </c>
      <c r="J285" s="37" t="n">
        <v>44867.82708333333</v>
      </c>
      <c r="K285" t="inlineStr">
        <is>
          <t>Yes</t>
        </is>
      </c>
    </row>
    <row r="286">
      <c r="A286" t="inlineStr">
        <is>
          <t>REQ-0285</t>
        </is>
      </c>
      <c r="B286" t="inlineStr">
        <is>
          <t>Google</t>
        </is>
      </c>
      <c r="C286" t="inlineStr">
        <is>
          <t>Sundar Pichai</t>
        </is>
      </c>
      <c r="D286" t="inlineStr">
        <is>
          <t>sundar@google.com</t>
        </is>
      </c>
      <c r="E286" t="inlineStr">
        <is>
          <t>Chetan</t>
        </is>
      </c>
      <c r="F286" t="inlineStr">
        <is>
          <t>chetan@weekday.works</t>
        </is>
      </c>
      <c r="G286" s="36" t="inlineStr">
        <is>
          <t>+91 9920264452</t>
        </is>
      </c>
      <c r="H286" t="inlineStr">
        <is>
          <t>Round1</t>
        </is>
      </c>
      <c r="I286" t="inlineStr">
        <is>
          <t>&lt;calendly_link&gt;</t>
        </is>
      </c>
      <c r="J286" s="37" t="n">
        <v>44867.82708333333</v>
      </c>
      <c r="K286" t="inlineStr">
        <is>
          <t>Yes</t>
        </is>
      </c>
    </row>
    <row r="287">
      <c r="A287" t="inlineStr">
        <is>
          <t>REQ-0286</t>
        </is>
      </c>
      <c r="B287" t="inlineStr">
        <is>
          <t>Google</t>
        </is>
      </c>
      <c r="C287" t="inlineStr">
        <is>
          <t>Sundar Pichai</t>
        </is>
      </c>
      <c r="D287" t="inlineStr">
        <is>
          <t>sundar@google.com</t>
        </is>
      </c>
      <c r="E287" t="inlineStr">
        <is>
          <t>Chetan</t>
        </is>
      </c>
      <c r="F287" t="inlineStr">
        <is>
          <t>chetan@weekday.works</t>
        </is>
      </c>
      <c r="G287" s="36" t="inlineStr">
        <is>
          <t>+91 9920264452</t>
        </is>
      </c>
      <c r="H287" t="inlineStr">
        <is>
          <t>Round1</t>
        </is>
      </c>
      <c r="I287" t="inlineStr">
        <is>
          <t>&lt;calendly_link&gt;</t>
        </is>
      </c>
      <c r="J287" s="37" t="n">
        <v>44867.82708333333</v>
      </c>
      <c r="K287" t="inlineStr">
        <is>
          <t>Yes</t>
        </is>
      </c>
    </row>
    <row r="288">
      <c r="A288" t="inlineStr">
        <is>
          <t>REQ-0287</t>
        </is>
      </c>
      <c r="B288" t="inlineStr">
        <is>
          <t>Google</t>
        </is>
      </c>
      <c r="C288" t="inlineStr">
        <is>
          <t>Sundar Pichai</t>
        </is>
      </c>
      <c r="D288" t="inlineStr">
        <is>
          <t>sundar@google.com</t>
        </is>
      </c>
      <c r="E288" t="inlineStr">
        <is>
          <t>Chetan</t>
        </is>
      </c>
      <c r="F288" t="inlineStr">
        <is>
          <t>chetan@weekday.works</t>
        </is>
      </c>
      <c r="G288" s="36" t="inlineStr">
        <is>
          <t>+91 9920264452</t>
        </is>
      </c>
      <c r="H288" t="inlineStr">
        <is>
          <t>Round1</t>
        </is>
      </c>
      <c r="I288" t="inlineStr">
        <is>
          <t>&lt;calendly_link&gt;</t>
        </is>
      </c>
      <c r="J288" s="37" t="n">
        <v>44867.82708333333</v>
      </c>
      <c r="K288" t="inlineStr">
        <is>
          <t>Yes</t>
        </is>
      </c>
    </row>
    <row r="289">
      <c r="A289" t="inlineStr">
        <is>
          <t>REQ-0288</t>
        </is>
      </c>
      <c r="B289" t="inlineStr">
        <is>
          <t>Google</t>
        </is>
      </c>
      <c r="C289" t="inlineStr">
        <is>
          <t>Sundar Pichai</t>
        </is>
      </c>
      <c r="D289" t="inlineStr">
        <is>
          <t>sundar@google.com</t>
        </is>
      </c>
      <c r="E289" t="inlineStr">
        <is>
          <t>Chetan</t>
        </is>
      </c>
      <c r="F289" t="inlineStr">
        <is>
          <t>chetan@weekday.works</t>
        </is>
      </c>
      <c r="G289" s="36" t="inlineStr">
        <is>
          <t>+91 9920264452</t>
        </is>
      </c>
      <c r="H289" t="inlineStr">
        <is>
          <t>Round1</t>
        </is>
      </c>
      <c r="I289" t="inlineStr">
        <is>
          <t>&lt;calendly_link&gt;</t>
        </is>
      </c>
      <c r="J289" s="37" t="n">
        <v>44867.82708333333</v>
      </c>
      <c r="K289" t="inlineStr">
        <is>
          <t>Yes</t>
        </is>
      </c>
    </row>
    <row r="290">
      <c r="A290" t="inlineStr">
        <is>
          <t>REQ-0289</t>
        </is>
      </c>
      <c r="B290" t="inlineStr">
        <is>
          <t>Google</t>
        </is>
      </c>
      <c r="C290" t="inlineStr">
        <is>
          <t>Sundar Pichai</t>
        </is>
      </c>
      <c r="D290" t="inlineStr">
        <is>
          <t>sundar@google.com</t>
        </is>
      </c>
      <c r="E290" t="inlineStr">
        <is>
          <t>Chetan</t>
        </is>
      </c>
      <c r="F290" t="inlineStr">
        <is>
          <t>chetan@weekday.works</t>
        </is>
      </c>
      <c r="G290" s="36" t="inlineStr">
        <is>
          <t>+91 9920264452</t>
        </is>
      </c>
      <c r="H290" t="inlineStr">
        <is>
          <t>Round1</t>
        </is>
      </c>
      <c r="I290" t="inlineStr">
        <is>
          <t>&lt;calendly_link&gt;</t>
        </is>
      </c>
      <c r="J290" s="37" t="n">
        <v>44867.82708333333</v>
      </c>
      <c r="K290" t="inlineStr">
        <is>
          <t>Yes</t>
        </is>
      </c>
    </row>
    <row r="291">
      <c r="A291" t="inlineStr">
        <is>
          <t>REQ-0290</t>
        </is>
      </c>
      <c r="B291" t="inlineStr">
        <is>
          <t>Google</t>
        </is>
      </c>
      <c r="C291" t="inlineStr">
        <is>
          <t>Sundar Pichai</t>
        </is>
      </c>
      <c r="D291" t="inlineStr">
        <is>
          <t>sundar@google.com</t>
        </is>
      </c>
      <c r="E291" t="inlineStr">
        <is>
          <t>Chetan</t>
        </is>
      </c>
      <c r="F291" t="inlineStr">
        <is>
          <t>chetan@weekday.works</t>
        </is>
      </c>
      <c r="G291" s="36" t="inlineStr">
        <is>
          <t>+91 9920264452</t>
        </is>
      </c>
      <c r="H291" t="inlineStr">
        <is>
          <t>Round1</t>
        </is>
      </c>
      <c r="I291" t="inlineStr">
        <is>
          <t>&lt;calendly_link&gt;</t>
        </is>
      </c>
      <c r="J291" s="37" t="n">
        <v>44867.82708333333</v>
      </c>
      <c r="K291" t="inlineStr">
        <is>
          <t>Yes</t>
        </is>
      </c>
    </row>
    <row r="292">
      <c r="A292" t="inlineStr">
        <is>
          <t>REQ-0291</t>
        </is>
      </c>
      <c r="B292" t="inlineStr">
        <is>
          <t>Google</t>
        </is>
      </c>
      <c r="C292" t="inlineStr">
        <is>
          <t>Sundar Pichai</t>
        </is>
      </c>
      <c r="D292" t="inlineStr">
        <is>
          <t>sundar@google.com</t>
        </is>
      </c>
      <c r="E292" t="inlineStr">
        <is>
          <t>Chetan</t>
        </is>
      </c>
      <c r="F292" t="inlineStr">
        <is>
          <t>chetan@weekday.works</t>
        </is>
      </c>
      <c r="G292" s="36" t="inlineStr">
        <is>
          <t>+91 9920264452</t>
        </is>
      </c>
      <c r="H292" t="inlineStr">
        <is>
          <t>Round1</t>
        </is>
      </c>
      <c r="I292" t="inlineStr">
        <is>
          <t>&lt;calendly_link&gt;</t>
        </is>
      </c>
      <c r="J292" s="37" t="n">
        <v>44867.82708333333</v>
      </c>
      <c r="K292" t="inlineStr">
        <is>
          <t>Yes</t>
        </is>
      </c>
    </row>
    <row r="293">
      <c r="A293" t="inlineStr">
        <is>
          <t>REQ-0292</t>
        </is>
      </c>
      <c r="B293" t="inlineStr">
        <is>
          <t>Google</t>
        </is>
      </c>
      <c r="C293" t="inlineStr">
        <is>
          <t>Sundar Pichai</t>
        </is>
      </c>
      <c r="D293" t="inlineStr">
        <is>
          <t>sundar@google.com</t>
        </is>
      </c>
      <c r="E293" t="inlineStr">
        <is>
          <t>Chetan</t>
        </is>
      </c>
      <c r="F293" t="inlineStr">
        <is>
          <t>chetan@weekday.works</t>
        </is>
      </c>
      <c r="G293" s="36" t="inlineStr">
        <is>
          <t>+91 9920264452</t>
        </is>
      </c>
      <c r="H293" t="inlineStr">
        <is>
          <t>Round1</t>
        </is>
      </c>
      <c r="I293" t="inlineStr">
        <is>
          <t>&lt;calendly_link&gt;</t>
        </is>
      </c>
      <c r="J293" s="37" t="n">
        <v>44867.82708333333</v>
      </c>
      <c r="K293" t="inlineStr">
        <is>
          <t>Yes</t>
        </is>
      </c>
    </row>
    <row r="294">
      <c r="A294" t="inlineStr">
        <is>
          <t>REQ-0293</t>
        </is>
      </c>
      <c r="B294" t="inlineStr">
        <is>
          <t>Google</t>
        </is>
      </c>
      <c r="C294" t="inlineStr">
        <is>
          <t>Sundar Pichai</t>
        </is>
      </c>
      <c r="D294" t="inlineStr">
        <is>
          <t>sundar@google.com</t>
        </is>
      </c>
      <c r="E294" t="inlineStr">
        <is>
          <t>Chetan</t>
        </is>
      </c>
      <c r="F294" t="inlineStr">
        <is>
          <t>chetan@weekday.works</t>
        </is>
      </c>
      <c r="G294" s="36" t="inlineStr">
        <is>
          <t>+91 9920264452</t>
        </is>
      </c>
      <c r="H294" t="inlineStr">
        <is>
          <t>Round1</t>
        </is>
      </c>
      <c r="I294" t="inlineStr">
        <is>
          <t>&lt;calendly_link&gt;</t>
        </is>
      </c>
      <c r="J294" s="37" t="n">
        <v>44867.82708333333</v>
      </c>
      <c r="K294" t="inlineStr">
        <is>
          <t>Yes</t>
        </is>
      </c>
    </row>
    <row r="295">
      <c r="A295" t="inlineStr">
        <is>
          <t>REQ-0294</t>
        </is>
      </c>
      <c r="B295" t="inlineStr">
        <is>
          <t>Google</t>
        </is>
      </c>
      <c r="C295" t="inlineStr">
        <is>
          <t>Sundar Pichai</t>
        </is>
      </c>
      <c r="D295" t="inlineStr">
        <is>
          <t>sundar@google.com</t>
        </is>
      </c>
      <c r="E295" t="inlineStr">
        <is>
          <t>Chetan</t>
        </is>
      </c>
      <c r="F295" t="inlineStr">
        <is>
          <t>chetan@weekday.works</t>
        </is>
      </c>
      <c r="G295" s="36" t="inlineStr">
        <is>
          <t>+91 9920264452</t>
        </is>
      </c>
      <c r="H295" t="inlineStr">
        <is>
          <t>Round1</t>
        </is>
      </c>
      <c r="I295" t="inlineStr">
        <is>
          <t>&lt;calendly_link&gt;</t>
        </is>
      </c>
      <c r="J295" s="37" t="n">
        <v>44867.82708333333</v>
      </c>
      <c r="K295" t="inlineStr">
        <is>
          <t>Yes</t>
        </is>
      </c>
    </row>
    <row r="296">
      <c r="A296" t="inlineStr">
        <is>
          <t>REQ-0295</t>
        </is>
      </c>
      <c r="B296" t="inlineStr">
        <is>
          <t>Google</t>
        </is>
      </c>
      <c r="C296" t="inlineStr">
        <is>
          <t>Sundar Pichai</t>
        </is>
      </c>
      <c r="D296" t="inlineStr">
        <is>
          <t>sundar@google.com</t>
        </is>
      </c>
      <c r="E296" t="inlineStr">
        <is>
          <t>Chetan</t>
        </is>
      </c>
      <c r="F296" t="inlineStr">
        <is>
          <t>chetan@weekday.works</t>
        </is>
      </c>
      <c r="G296" s="36" t="inlineStr">
        <is>
          <t>+91 9920264452</t>
        </is>
      </c>
      <c r="H296" t="inlineStr">
        <is>
          <t>Round1</t>
        </is>
      </c>
      <c r="I296" t="inlineStr">
        <is>
          <t>&lt;calendly_link&gt;</t>
        </is>
      </c>
      <c r="J296" s="37" t="n">
        <v>44867.82708333333</v>
      </c>
      <c r="K296" t="inlineStr">
        <is>
          <t>Yes</t>
        </is>
      </c>
    </row>
    <row r="297">
      <c r="A297" t="inlineStr">
        <is>
          <t>REQ-0296</t>
        </is>
      </c>
      <c r="B297" t="inlineStr">
        <is>
          <t>Google</t>
        </is>
      </c>
      <c r="C297" t="inlineStr">
        <is>
          <t>Sundar Pichai</t>
        </is>
      </c>
      <c r="D297" t="inlineStr">
        <is>
          <t>sundar@google.com</t>
        </is>
      </c>
      <c r="E297" t="inlineStr">
        <is>
          <t>Chetan</t>
        </is>
      </c>
      <c r="F297" t="inlineStr">
        <is>
          <t>chetan@weekday.works</t>
        </is>
      </c>
      <c r="G297" s="36" t="inlineStr">
        <is>
          <t>+91 9920264452</t>
        </is>
      </c>
      <c r="H297" t="inlineStr">
        <is>
          <t>Round1</t>
        </is>
      </c>
      <c r="I297" t="inlineStr">
        <is>
          <t>&lt;calendly_link&gt;</t>
        </is>
      </c>
      <c r="J297" s="37" t="n">
        <v>44867.82708333333</v>
      </c>
      <c r="K297" t="inlineStr">
        <is>
          <t>Yes</t>
        </is>
      </c>
    </row>
    <row r="298">
      <c r="A298" t="inlineStr">
        <is>
          <t>REQ-0297</t>
        </is>
      </c>
      <c r="B298" t="inlineStr">
        <is>
          <t>Google</t>
        </is>
      </c>
      <c r="C298" t="inlineStr">
        <is>
          <t>Sundar Pichai</t>
        </is>
      </c>
      <c r="D298" t="inlineStr">
        <is>
          <t>sundar@google.com</t>
        </is>
      </c>
      <c r="E298" t="inlineStr">
        <is>
          <t>Chetan</t>
        </is>
      </c>
      <c r="F298" t="inlineStr">
        <is>
          <t>chetan@weekday.works</t>
        </is>
      </c>
      <c r="G298" s="36" t="inlineStr">
        <is>
          <t>+91 9920264452</t>
        </is>
      </c>
      <c r="H298" t="inlineStr">
        <is>
          <t>Round1</t>
        </is>
      </c>
      <c r="I298" t="inlineStr">
        <is>
          <t>&lt;calendly_link&gt;</t>
        </is>
      </c>
      <c r="J298" s="37" t="n">
        <v>44867.82708333333</v>
      </c>
      <c r="K298" t="inlineStr">
        <is>
          <t>Yes</t>
        </is>
      </c>
    </row>
    <row r="299">
      <c r="A299" t="inlineStr">
        <is>
          <t>REQ-0298</t>
        </is>
      </c>
      <c r="B299" t="inlineStr">
        <is>
          <t>Google</t>
        </is>
      </c>
      <c r="C299" t="inlineStr">
        <is>
          <t>Sundar Pichai</t>
        </is>
      </c>
      <c r="D299" t="inlineStr">
        <is>
          <t>sundar@google.com</t>
        </is>
      </c>
      <c r="E299" t="inlineStr">
        <is>
          <t>Chetan</t>
        </is>
      </c>
      <c r="F299" t="inlineStr">
        <is>
          <t>chetan@weekday.works</t>
        </is>
      </c>
      <c r="G299" s="36" t="inlineStr">
        <is>
          <t>+91 9920264452</t>
        </is>
      </c>
      <c r="H299" t="inlineStr">
        <is>
          <t>Round1</t>
        </is>
      </c>
      <c r="I299" t="inlineStr">
        <is>
          <t>&lt;calendly_link&gt;</t>
        </is>
      </c>
      <c r="J299" s="37" t="n">
        <v>44867.82708333333</v>
      </c>
      <c r="K299" t="inlineStr">
        <is>
          <t>Yes</t>
        </is>
      </c>
    </row>
    <row r="300">
      <c r="A300" t="inlineStr">
        <is>
          <t>REQ-0299</t>
        </is>
      </c>
      <c r="B300" t="inlineStr">
        <is>
          <t>Google</t>
        </is>
      </c>
      <c r="C300" t="inlineStr">
        <is>
          <t>Sundar Pichai</t>
        </is>
      </c>
      <c r="D300" t="inlineStr">
        <is>
          <t>sundar@google.com</t>
        </is>
      </c>
      <c r="E300" t="inlineStr">
        <is>
          <t>Chetan</t>
        </is>
      </c>
      <c r="F300" t="inlineStr">
        <is>
          <t>chetan@weekday.works</t>
        </is>
      </c>
      <c r="G300" s="36" t="inlineStr">
        <is>
          <t>+91 9920264452</t>
        </is>
      </c>
      <c r="H300" t="inlineStr">
        <is>
          <t>Round1</t>
        </is>
      </c>
      <c r="I300" t="inlineStr">
        <is>
          <t>&lt;calendly_link&gt;</t>
        </is>
      </c>
      <c r="J300" s="37" t="n">
        <v>44867.82708333333</v>
      </c>
      <c r="K300" t="inlineStr">
        <is>
          <t>Yes</t>
        </is>
      </c>
    </row>
    <row r="301">
      <c r="A301" t="inlineStr">
        <is>
          <t>REQ-0300</t>
        </is>
      </c>
      <c r="B301" t="inlineStr">
        <is>
          <t>Google</t>
        </is>
      </c>
      <c r="C301" t="inlineStr">
        <is>
          <t>Sundar Pichai</t>
        </is>
      </c>
      <c r="D301" t="inlineStr">
        <is>
          <t>sundar@google.com</t>
        </is>
      </c>
      <c r="E301" t="inlineStr">
        <is>
          <t>Chetan</t>
        </is>
      </c>
      <c r="F301" t="inlineStr">
        <is>
          <t>chetan@weekday.works</t>
        </is>
      </c>
      <c r="G301" s="36" t="inlineStr">
        <is>
          <t>+91 9920264452</t>
        </is>
      </c>
      <c r="H301" t="inlineStr">
        <is>
          <t>Round1</t>
        </is>
      </c>
      <c r="I301" t="inlineStr">
        <is>
          <t>&lt;calendly_link&gt;</t>
        </is>
      </c>
      <c r="J301" s="37" t="n">
        <v>44867.82708333333</v>
      </c>
      <c r="K301" t="inlineStr">
        <is>
          <t>Yes</t>
        </is>
      </c>
    </row>
    <row r="302">
      <c r="A302" t="inlineStr">
        <is>
          <t>REQ-0301</t>
        </is>
      </c>
      <c r="B302" t="inlineStr">
        <is>
          <t>Google</t>
        </is>
      </c>
      <c r="C302" t="inlineStr">
        <is>
          <t>Sundar Pichai</t>
        </is>
      </c>
      <c r="D302" t="inlineStr">
        <is>
          <t>sundar@google.com</t>
        </is>
      </c>
      <c r="E302" t="inlineStr">
        <is>
          <t>Chetan</t>
        </is>
      </c>
      <c r="F302" t="inlineStr">
        <is>
          <t>chetan@weekday.works</t>
        </is>
      </c>
      <c r="G302" s="36" t="inlineStr">
        <is>
          <t>+91 9920264452</t>
        </is>
      </c>
      <c r="H302" t="inlineStr">
        <is>
          <t>Round1</t>
        </is>
      </c>
      <c r="I302" t="inlineStr">
        <is>
          <t>&lt;calendly_link&gt;</t>
        </is>
      </c>
      <c r="J302" s="37" t="n">
        <v>44867.82708333333</v>
      </c>
      <c r="K302" t="inlineStr">
        <is>
          <t>Yes</t>
        </is>
      </c>
    </row>
    <row r="303">
      <c r="A303" t="inlineStr">
        <is>
          <t>REQ-0302</t>
        </is>
      </c>
      <c r="B303" t="inlineStr">
        <is>
          <t>Google</t>
        </is>
      </c>
      <c r="C303" t="inlineStr">
        <is>
          <t>Sundar Pichai</t>
        </is>
      </c>
      <c r="D303" t="inlineStr">
        <is>
          <t>sundar@google.com</t>
        </is>
      </c>
      <c r="E303" t="inlineStr">
        <is>
          <t>Chetan</t>
        </is>
      </c>
      <c r="F303" t="inlineStr">
        <is>
          <t>chetan@weekday.works</t>
        </is>
      </c>
      <c r="G303" s="36" t="inlineStr">
        <is>
          <t>+91 9920264452</t>
        </is>
      </c>
      <c r="H303" t="inlineStr">
        <is>
          <t>Round1</t>
        </is>
      </c>
      <c r="I303" t="inlineStr">
        <is>
          <t>&lt;calendly_link&gt;</t>
        </is>
      </c>
      <c r="J303" s="37" t="n">
        <v>44867.82708333333</v>
      </c>
      <c r="K303" t="inlineStr">
        <is>
          <t>Yes</t>
        </is>
      </c>
    </row>
    <row r="304">
      <c r="A304" t="inlineStr">
        <is>
          <t>REQ-0303</t>
        </is>
      </c>
      <c r="B304" t="inlineStr">
        <is>
          <t>Google</t>
        </is>
      </c>
      <c r="C304" t="inlineStr">
        <is>
          <t>Sundar Pichai</t>
        </is>
      </c>
      <c r="D304" t="inlineStr">
        <is>
          <t>sundar@google.com</t>
        </is>
      </c>
      <c r="E304" t="inlineStr">
        <is>
          <t>Chetan</t>
        </is>
      </c>
      <c r="F304" t="inlineStr">
        <is>
          <t>chetan@weekday.works</t>
        </is>
      </c>
      <c r="G304" s="36" t="inlineStr">
        <is>
          <t>+91 9920264452</t>
        </is>
      </c>
      <c r="H304" t="inlineStr">
        <is>
          <t>Round1</t>
        </is>
      </c>
      <c r="I304" t="inlineStr">
        <is>
          <t>&lt;calendly_link&gt;</t>
        </is>
      </c>
      <c r="J304" s="37" t="n">
        <v>44867.82708333333</v>
      </c>
      <c r="K304" t="inlineStr">
        <is>
          <t>Yes</t>
        </is>
      </c>
    </row>
    <row r="305">
      <c r="A305" t="inlineStr">
        <is>
          <t>REQ-0304</t>
        </is>
      </c>
      <c r="B305" t="inlineStr">
        <is>
          <t>Google</t>
        </is>
      </c>
      <c r="C305" t="inlineStr">
        <is>
          <t>Sundar Pichai</t>
        </is>
      </c>
      <c r="D305" t="inlineStr">
        <is>
          <t>sundar@google.com</t>
        </is>
      </c>
      <c r="E305" t="inlineStr">
        <is>
          <t>Chetan</t>
        </is>
      </c>
      <c r="F305" t="inlineStr">
        <is>
          <t>chetan@weekday.works</t>
        </is>
      </c>
      <c r="G305" s="36" t="inlineStr">
        <is>
          <t>+91 9920264452</t>
        </is>
      </c>
      <c r="H305" t="inlineStr">
        <is>
          <t>Round1</t>
        </is>
      </c>
      <c r="I305" t="inlineStr">
        <is>
          <t>&lt;calendly_link&gt;</t>
        </is>
      </c>
      <c r="J305" s="37" t="n">
        <v>44867.82708333333</v>
      </c>
      <c r="K305" t="inlineStr">
        <is>
          <t>Yes</t>
        </is>
      </c>
    </row>
    <row r="306">
      <c r="A306" t="inlineStr">
        <is>
          <t>REQ-0305</t>
        </is>
      </c>
      <c r="B306" t="inlineStr">
        <is>
          <t>Google</t>
        </is>
      </c>
      <c r="C306" t="inlineStr">
        <is>
          <t>Sundar Pichai</t>
        </is>
      </c>
      <c r="D306" t="inlineStr">
        <is>
          <t>sundar@google.com</t>
        </is>
      </c>
      <c r="E306" t="inlineStr">
        <is>
          <t>Chetan</t>
        </is>
      </c>
      <c r="F306" t="inlineStr">
        <is>
          <t>chetan@weekday.works</t>
        </is>
      </c>
      <c r="G306" s="36" t="inlineStr">
        <is>
          <t>+91 9920264452</t>
        </is>
      </c>
      <c r="H306" t="inlineStr">
        <is>
          <t>Round1</t>
        </is>
      </c>
      <c r="I306" t="inlineStr">
        <is>
          <t>&lt;calendly_link&gt;</t>
        </is>
      </c>
      <c r="J306" s="37" t="n">
        <v>44867.82708333333</v>
      </c>
      <c r="K306" t="inlineStr">
        <is>
          <t>Yes</t>
        </is>
      </c>
    </row>
    <row r="307">
      <c r="A307" t="inlineStr">
        <is>
          <t>REQ-0306</t>
        </is>
      </c>
      <c r="B307" t="inlineStr">
        <is>
          <t>Google</t>
        </is>
      </c>
      <c r="C307" t="inlineStr">
        <is>
          <t>Sundar Pichai</t>
        </is>
      </c>
      <c r="D307" t="inlineStr">
        <is>
          <t>sundar@google.com</t>
        </is>
      </c>
      <c r="E307" t="inlineStr">
        <is>
          <t>Chetan</t>
        </is>
      </c>
      <c r="F307" t="inlineStr">
        <is>
          <t>chetan@weekday.works</t>
        </is>
      </c>
      <c r="G307" s="36" t="inlineStr">
        <is>
          <t>+91 9920264452</t>
        </is>
      </c>
      <c r="H307" t="inlineStr">
        <is>
          <t>Round1</t>
        </is>
      </c>
      <c r="I307" t="inlineStr">
        <is>
          <t>&lt;calendly_link&gt;</t>
        </is>
      </c>
      <c r="J307" s="37" t="n">
        <v>44867.82708333333</v>
      </c>
      <c r="K307" t="inlineStr">
        <is>
          <t>Yes</t>
        </is>
      </c>
    </row>
    <row r="308">
      <c r="A308" t="inlineStr">
        <is>
          <t>REQ-0307</t>
        </is>
      </c>
      <c r="B308" t="inlineStr">
        <is>
          <t>Google</t>
        </is>
      </c>
      <c r="C308" t="inlineStr">
        <is>
          <t>Sundar Pichai</t>
        </is>
      </c>
      <c r="D308" t="inlineStr">
        <is>
          <t>sundar@google.com</t>
        </is>
      </c>
      <c r="E308" t="inlineStr">
        <is>
          <t>Chetan</t>
        </is>
      </c>
      <c r="F308" t="inlineStr">
        <is>
          <t>chetan@weekday.works</t>
        </is>
      </c>
      <c r="G308" s="36" t="inlineStr">
        <is>
          <t>+91 9920264452</t>
        </is>
      </c>
      <c r="H308" t="inlineStr">
        <is>
          <t>Round1</t>
        </is>
      </c>
      <c r="I308" t="inlineStr">
        <is>
          <t>&lt;calendly_link&gt;</t>
        </is>
      </c>
      <c r="J308" s="37" t="n">
        <v>44867.82708333333</v>
      </c>
      <c r="K308" t="inlineStr">
        <is>
          <t>Yes</t>
        </is>
      </c>
    </row>
    <row r="309">
      <c r="A309" t="inlineStr">
        <is>
          <t>REQ-0308</t>
        </is>
      </c>
      <c r="B309" t="inlineStr">
        <is>
          <t>Google</t>
        </is>
      </c>
      <c r="C309" t="inlineStr">
        <is>
          <t>Sundar Pichai</t>
        </is>
      </c>
      <c r="D309" t="inlineStr">
        <is>
          <t>sundar@google.com</t>
        </is>
      </c>
      <c r="E309" t="inlineStr">
        <is>
          <t>Chetan</t>
        </is>
      </c>
      <c r="F309" t="inlineStr">
        <is>
          <t>chetan@weekday.works</t>
        </is>
      </c>
      <c r="G309" s="36" t="inlineStr">
        <is>
          <t>+91 9920264452</t>
        </is>
      </c>
      <c r="H309" t="inlineStr">
        <is>
          <t>Round1</t>
        </is>
      </c>
      <c r="I309" t="inlineStr">
        <is>
          <t>&lt;calendly_link&gt;</t>
        </is>
      </c>
      <c r="J309" s="37" t="n">
        <v>44867.82708333333</v>
      </c>
      <c r="K309" t="inlineStr">
        <is>
          <t>Yes</t>
        </is>
      </c>
    </row>
    <row r="310">
      <c r="A310" t="inlineStr">
        <is>
          <t>REQ-0309</t>
        </is>
      </c>
      <c r="B310" t="inlineStr">
        <is>
          <t>Google</t>
        </is>
      </c>
      <c r="C310" t="inlineStr">
        <is>
          <t>Sundar Pichai</t>
        </is>
      </c>
      <c r="D310" t="inlineStr">
        <is>
          <t>sundar@google.com</t>
        </is>
      </c>
      <c r="E310" t="inlineStr">
        <is>
          <t>Chetan</t>
        </is>
      </c>
      <c r="F310" t="inlineStr">
        <is>
          <t>chetan@weekday.works</t>
        </is>
      </c>
      <c r="G310" s="36" t="inlineStr">
        <is>
          <t>+91 9920264452</t>
        </is>
      </c>
      <c r="H310" t="inlineStr">
        <is>
          <t>Round1</t>
        </is>
      </c>
      <c r="I310" t="inlineStr">
        <is>
          <t>&lt;calendly_link&gt;</t>
        </is>
      </c>
      <c r="J310" s="37" t="n">
        <v>44867.82708333333</v>
      </c>
      <c r="K310" t="inlineStr">
        <is>
          <t>Yes</t>
        </is>
      </c>
    </row>
    <row r="311">
      <c r="A311" t="inlineStr">
        <is>
          <t>REQ-0310</t>
        </is>
      </c>
      <c r="B311" t="inlineStr">
        <is>
          <t>Google</t>
        </is>
      </c>
      <c r="C311" t="inlineStr">
        <is>
          <t>Sundar Pichai</t>
        </is>
      </c>
      <c r="D311" t="inlineStr">
        <is>
          <t>sundar@google.com</t>
        </is>
      </c>
      <c r="E311" t="inlineStr">
        <is>
          <t>Chetan</t>
        </is>
      </c>
      <c r="F311" t="inlineStr">
        <is>
          <t>chetan@weekday.works</t>
        </is>
      </c>
      <c r="G311" s="36" t="inlineStr">
        <is>
          <t>+91 9920264452</t>
        </is>
      </c>
      <c r="H311" t="inlineStr">
        <is>
          <t>Round1</t>
        </is>
      </c>
      <c r="I311" t="inlineStr">
        <is>
          <t>&lt;calendly_link&gt;</t>
        </is>
      </c>
      <c r="J311" s="37" t="n">
        <v>44867.82708333333</v>
      </c>
      <c r="K311" t="inlineStr">
        <is>
          <t>Yes</t>
        </is>
      </c>
    </row>
    <row r="312">
      <c r="A312" t="inlineStr">
        <is>
          <t>REQ-0311</t>
        </is>
      </c>
      <c r="B312" t="inlineStr">
        <is>
          <t>Google</t>
        </is>
      </c>
      <c r="C312" t="inlineStr">
        <is>
          <t>Sundar Pichai</t>
        </is>
      </c>
      <c r="D312" t="inlineStr">
        <is>
          <t>sundar@google.com</t>
        </is>
      </c>
      <c r="E312" t="inlineStr">
        <is>
          <t>Chetan</t>
        </is>
      </c>
      <c r="F312" t="inlineStr">
        <is>
          <t>chetan@weekday.works</t>
        </is>
      </c>
      <c r="G312" s="36" t="inlineStr">
        <is>
          <t>+91 9920264452</t>
        </is>
      </c>
      <c r="H312" t="inlineStr">
        <is>
          <t>Round1</t>
        </is>
      </c>
      <c r="I312" t="inlineStr">
        <is>
          <t>&lt;calendly_link&gt;</t>
        </is>
      </c>
      <c r="J312" s="37" t="n">
        <v>44867.82708333333</v>
      </c>
      <c r="K312" t="inlineStr">
        <is>
          <t>Yes</t>
        </is>
      </c>
    </row>
    <row r="313">
      <c r="A313" t="inlineStr">
        <is>
          <t>REQ-0312</t>
        </is>
      </c>
      <c r="B313" t="inlineStr">
        <is>
          <t>Google</t>
        </is>
      </c>
      <c r="C313" t="inlineStr">
        <is>
          <t>Sundar Pichai</t>
        </is>
      </c>
      <c r="D313" t="inlineStr">
        <is>
          <t>sundar@google.com</t>
        </is>
      </c>
      <c r="E313" t="inlineStr">
        <is>
          <t>Chetan</t>
        </is>
      </c>
      <c r="F313" t="inlineStr">
        <is>
          <t>chetan@weekday.works</t>
        </is>
      </c>
      <c r="G313" s="36" t="inlineStr">
        <is>
          <t>+91 9920264452</t>
        </is>
      </c>
      <c r="H313" t="inlineStr">
        <is>
          <t>Round1</t>
        </is>
      </c>
      <c r="I313" t="inlineStr">
        <is>
          <t>&lt;calendly_link&gt;</t>
        </is>
      </c>
      <c r="J313" s="37" t="n">
        <v>44867.82708333333</v>
      </c>
      <c r="K313" t="inlineStr">
        <is>
          <t>Yes</t>
        </is>
      </c>
    </row>
    <row r="314">
      <c r="A314" t="inlineStr">
        <is>
          <t>REQ-0313</t>
        </is>
      </c>
      <c r="B314" t="inlineStr">
        <is>
          <t>Google</t>
        </is>
      </c>
      <c r="C314" t="inlineStr">
        <is>
          <t>Sundar Pichai</t>
        </is>
      </c>
      <c r="D314" t="inlineStr">
        <is>
          <t>sundar@google.com</t>
        </is>
      </c>
      <c r="E314" t="inlineStr">
        <is>
          <t>Chetan</t>
        </is>
      </c>
      <c r="F314" t="inlineStr">
        <is>
          <t>chetan@weekday.works</t>
        </is>
      </c>
      <c r="G314" s="36" t="inlineStr">
        <is>
          <t>+91 9920264452</t>
        </is>
      </c>
      <c r="H314" t="inlineStr">
        <is>
          <t>Round1</t>
        </is>
      </c>
      <c r="I314" t="inlineStr">
        <is>
          <t>&lt;calendly_link&gt;</t>
        </is>
      </c>
      <c r="J314" s="37" t="n">
        <v>44867.82708333333</v>
      </c>
      <c r="K314" t="inlineStr">
        <is>
          <t>Yes</t>
        </is>
      </c>
    </row>
    <row r="315">
      <c r="A315" t="inlineStr">
        <is>
          <t>REQ-0314</t>
        </is>
      </c>
      <c r="B315" t="inlineStr">
        <is>
          <t>Google</t>
        </is>
      </c>
      <c r="C315" t="inlineStr">
        <is>
          <t>Sundar Pichai</t>
        </is>
      </c>
      <c r="D315" t="inlineStr">
        <is>
          <t>sundar@google.com</t>
        </is>
      </c>
      <c r="E315" t="inlineStr">
        <is>
          <t>Chetan</t>
        </is>
      </c>
      <c r="F315" t="inlineStr">
        <is>
          <t>chetan@weekday.works</t>
        </is>
      </c>
      <c r="G315" s="36" t="inlineStr">
        <is>
          <t>+91 9920264452</t>
        </is>
      </c>
      <c r="H315" t="inlineStr">
        <is>
          <t>Round1</t>
        </is>
      </c>
      <c r="I315" t="inlineStr">
        <is>
          <t>&lt;calendly_link&gt;</t>
        </is>
      </c>
      <c r="J315" s="37" t="n">
        <v>44867.82708333333</v>
      </c>
      <c r="K315" t="inlineStr">
        <is>
          <t>Yes</t>
        </is>
      </c>
    </row>
    <row r="316">
      <c r="A316" t="inlineStr">
        <is>
          <t>REQ-0315</t>
        </is>
      </c>
      <c r="B316" t="inlineStr">
        <is>
          <t>Google</t>
        </is>
      </c>
      <c r="C316" t="inlineStr">
        <is>
          <t>Sundar Pichai</t>
        </is>
      </c>
      <c r="D316" t="inlineStr">
        <is>
          <t>sundar@google.com</t>
        </is>
      </c>
      <c r="E316" t="inlineStr">
        <is>
          <t>Chetan</t>
        </is>
      </c>
      <c r="F316" t="inlineStr">
        <is>
          <t>chetan@weekday.works</t>
        </is>
      </c>
      <c r="G316" s="36" t="inlineStr">
        <is>
          <t>+91 9920264452</t>
        </is>
      </c>
      <c r="H316" t="inlineStr">
        <is>
          <t>Round1</t>
        </is>
      </c>
      <c r="I316" t="inlineStr">
        <is>
          <t>&lt;calendly_link&gt;</t>
        </is>
      </c>
      <c r="J316" s="37" t="n">
        <v>44867.82708333333</v>
      </c>
      <c r="K316" t="inlineStr">
        <is>
          <t>Yes</t>
        </is>
      </c>
    </row>
    <row r="317">
      <c r="A317" t="inlineStr">
        <is>
          <t>REQ-0316</t>
        </is>
      </c>
      <c r="B317" t="inlineStr">
        <is>
          <t>Google</t>
        </is>
      </c>
      <c r="C317" t="inlineStr">
        <is>
          <t>Sundar Pichai</t>
        </is>
      </c>
      <c r="D317" t="inlineStr">
        <is>
          <t>sundar@google.com</t>
        </is>
      </c>
      <c r="E317" t="inlineStr">
        <is>
          <t>Chetan</t>
        </is>
      </c>
      <c r="F317" t="inlineStr">
        <is>
          <t>chetan@weekday.works</t>
        </is>
      </c>
      <c r="G317" s="36" t="inlineStr">
        <is>
          <t>+91 9920264452</t>
        </is>
      </c>
      <c r="H317" t="inlineStr">
        <is>
          <t>Round1</t>
        </is>
      </c>
      <c r="I317" t="inlineStr">
        <is>
          <t>&lt;calendly_link&gt;</t>
        </is>
      </c>
      <c r="J317" s="37" t="n">
        <v>44867.82708333333</v>
      </c>
      <c r="K317" t="inlineStr">
        <is>
          <t>Yes</t>
        </is>
      </c>
    </row>
    <row r="318">
      <c r="A318" t="inlineStr">
        <is>
          <t>REQ-0317</t>
        </is>
      </c>
      <c r="B318" t="inlineStr">
        <is>
          <t>Google</t>
        </is>
      </c>
      <c r="C318" t="inlineStr">
        <is>
          <t>Sundar Pichai</t>
        </is>
      </c>
      <c r="D318" t="inlineStr">
        <is>
          <t>sundar@google.com</t>
        </is>
      </c>
      <c r="E318" t="inlineStr">
        <is>
          <t>Chetan</t>
        </is>
      </c>
      <c r="F318" t="inlineStr">
        <is>
          <t>chetan@weekday.works</t>
        </is>
      </c>
      <c r="G318" s="36" t="inlineStr">
        <is>
          <t>+91 9920264452</t>
        </is>
      </c>
      <c r="H318" t="inlineStr">
        <is>
          <t>Round1</t>
        </is>
      </c>
      <c r="I318" t="inlineStr">
        <is>
          <t>&lt;calendly_link&gt;</t>
        </is>
      </c>
      <c r="J318" s="37" t="n">
        <v>44867.82708333333</v>
      </c>
      <c r="K318" t="inlineStr">
        <is>
          <t>Yes</t>
        </is>
      </c>
    </row>
    <row r="319">
      <c r="A319" t="inlineStr">
        <is>
          <t>REQ-0318</t>
        </is>
      </c>
      <c r="B319" t="inlineStr">
        <is>
          <t>Google</t>
        </is>
      </c>
      <c r="C319" t="inlineStr">
        <is>
          <t>Sundar Pichai</t>
        </is>
      </c>
      <c r="D319" t="inlineStr">
        <is>
          <t>sundar@google.com</t>
        </is>
      </c>
      <c r="E319" t="inlineStr">
        <is>
          <t>Chetan</t>
        </is>
      </c>
      <c r="F319" t="inlineStr">
        <is>
          <t>chetan@weekday.works</t>
        </is>
      </c>
      <c r="G319" s="36" t="inlineStr">
        <is>
          <t>+91 9920264452</t>
        </is>
      </c>
      <c r="H319" t="inlineStr">
        <is>
          <t>Round1</t>
        </is>
      </c>
      <c r="I319" t="inlineStr">
        <is>
          <t>&lt;calendly_link&gt;</t>
        </is>
      </c>
      <c r="J319" s="37" t="n">
        <v>44867.82708333333</v>
      </c>
      <c r="K319" t="inlineStr">
        <is>
          <t>Yes</t>
        </is>
      </c>
    </row>
    <row r="320">
      <c r="A320" t="inlineStr">
        <is>
          <t>REQ-0319</t>
        </is>
      </c>
      <c r="B320" t="inlineStr">
        <is>
          <t>Google</t>
        </is>
      </c>
      <c r="C320" t="inlineStr">
        <is>
          <t>Sundar Pichai</t>
        </is>
      </c>
      <c r="D320" t="inlineStr">
        <is>
          <t>sundar@google.com</t>
        </is>
      </c>
      <c r="E320" t="inlineStr">
        <is>
          <t>Chetan</t>
        </is>
      </c>
      <c r="F320" t="inlineStr">
        <is>
          <t>chetan@weekday.works</t>
        </is>
      </c>
      <c r="G320" s="36" t="inlineStr">
        <is>
          <t>+91 9920264452</t>
        </is>
      </c>
      <c r="H320" t="inlineStr">
        <is>
          <t>Round1</t>
        </is>
      </c>
      <c r="I320" t="inlineStr">
        <is>
          <t>&lt;calendly_link&gt;</t>
        </is>
      </c>
      <c r="J320" s="37" t="n">
        <v>44867.82708333333</v>
      </c>
      <c r="K320" t="inlineStr">
        <is>
          <t>Yes</t>
        </is>
      </c>
    </row>
    <row r="321">
      <c r="A321" t="inlineStr">
        <is>
          <t>REQ-0320</t>
        </is>
      </c>
      <c r="B321" t="inlineStr">
        <is>
          <t>Google</t>
        </is>
      </c>
      <c r="C321" t="inlineStr">
        <is>
          <t>Sundar Pichai</t>
        </is>
      </c>
      <c r="D321" t="inlineStr">
        <is>
          <t>sundar@google.com</t>
        </is>
      </c>
      <c r="E321" t="inlineStr">
        <is>
          <t>Chetan</t>
        </is>
      </c>
      <c r="F321" t="inlineStr">
        <is>
          <t>chetan@weekday.works</t>
        </is>
      </c>
      <c r="G321" s="36" t="inlineStr">
        <is>
          <t>+91 9920264452</t>
        </is>
      </c>
      <c r="H321" t="inlineStr">
        <is>
          <t>Round1</t>
        </is>
      </c>
      <c r="I321" t="inlineStr">
        <is>
          <t>&lt;calendly_link&gt;</t>
        </is>
      </c>
      <c r="J321" s="37" t="n">
        <v>44867.82708333333</v>
      </c>
      <c r="K321" t="inlineStr">
        <is>
          <t>Yes</t>
        </is>
      </c>
    </row>
    <row r="322">
      <c r="A322" t="inlineStr">
        <is>
          <t>REQ-0321</t>
        </is>
      </c>
      <c r="B322" t="inlineStr">
        <is>
          <t>Google</t>
        </is>
      </c>
      <c r="C322" t="inlineStr">
        <is>
          <t>Sundar Pichai</t>
        </is>
      </c>
      <c r="D322" t="inlineStr">
        <is>
          <t>sundar@google.com</t>
        </is>
      </c>
      <c r="E322" t="inlineStr">
        <is>
          <t>Chetan</t>
        </is>
      </c>
      <c r="F322" t="inlineStr">
        <is>
          <t>chetan@weekday.works</t>
        </is>
      </c>
      <c r="G322" s="36" t="inlineStr">
        <is>
          <t>+91 9920264452</t>
        </is>
      </c>
      <c r="H322" t="inlineStr">
        <is>
          <t>Round1</t>
        </is>
      </c>
      <c r="I322" t="inlineStr">
        <is>
          <t>&lt;calendly_link&gt;</t>
        </is>
      </c>
      <c r="J322" s="37" t="n">
        <v>44867.82708333333</v>
      </c>
      <c r="K322" t="inlineStr">
        <is>
          <t>Yes</t>
        </is>
      </c>
    </row>
    <row r="323">
      <c r="A323" t="inlineStr">
        <is>
          <t>REQ-0322</t>
        </is>
      </c>
      <c r="B323" t="inlineStr">
        <is>
          <t>Google</t>
        </is>
      </c>
      <c r="C323" t="inlineStr">
        <is>
          <t>Sundar Pichai</t>
        </is>
      </c>
      <c r="D323" t="inlineStr">
        <is>
          <t>sundar@google.com</t>
        </is>
      </c>
      <c r="E323" t="inlineStr">
        <is>
          <t>Chetan</t>
        </is>
      </c>
      <c r="F323" t="inlineStr">
        <is>
          <t>chetan@weekday.works</t>
        </is>
      </c>
      <c r="G323" s="36" t="inlineStr">
        <is>
          <t>+91 9920264452</t>
        </is>
      </c>
      <c r="H323" t="inlineStr">
        <is>
          <t>Round1</t>
        </is>
      </c>
      <c r="I323" t="inlineStr">
        <is>
          <t>&lt;calendly_link&gt;</t>
        </is>
      </c>
      <c r="J323" s="37" t="n">
        <v>44867.82708333333</v>
      </c>
      <c r="K323" t="inlineStr">
        <is>
          <t>Yes</t>
        </is>
      </c>
    </row>
    <row r="324">
      <c r="A324" t="inlineStr">
        <is>
          <t>REQ-0323</t>
        </is>
      </c>
      <c r="B324" t="inlineStr">
        <is>
          <t>Google</t>
        </is>
      </c>
      <c r="C324" t="inlineStr">
        <is>
          <t>Sundar Pichai</t>
        </is>
      </c>
      <c r="D324" t="inlineStr">
        <is>
          <t>sundar@google.com</t>
        </is>
      </c>
      <c r="E324" t="inlineStr">
        <is>
          <t>Chetan</t>
        </is>
      </c>
      <c r="F324" t="inlineStr">
        <is>
          <t>chetan@weekday.works</t>
        </is>
      </c>
      <c r="G324" s="36" t="inlineStr">
        <is>
          <t>+91 9920264452</t>
        </is>
      </c>
      <c r="H324" t="inlineStr">
        <is>
          <t>Round1</t>
        </is>
      </c>
      <c r="I324" t="inlineStr">
        <is>
          <t>&lt;calendly_link&gt;</t>
        </is>
      </c>
      <c r="J324" s="37" t="n">
        <v>44867.82708333333</v>
      </c>
      <c r="K324" t="inlineStr">
        <is>
          <t>Yes</t>
        </is>
      </c>
    </row>
    <row r="325">
      <c r="A325" t="inlineStr">
        <is>
          <t>REQ-0324</t>
        </is>
      </c>
      <c r="B325" t="inlineStr">
        <is>
          <t>Google</t>
        </is>
      </c>
      <c r="C325" t="inlineStr">
        <is>
          <t>Sundar Pichai</t>
        </is>
      </c>
      <c r="D325" t="inlineStr">
        <is>
          <t>sundar@google.com</t>
        </is>
      </c>
      <c r="E325" t="inlineStr">
        <is>
          <t>Chetan</t>
        </is>
      </c>
      <c r="F325" t="inlineStr">
        <is>
          <t>chetan@weekday.works</t>
        </is>
      </c>
      <c r="G325" s="36" t="inlineStr">
        <is>
          <t>+91 9920264452</t>
        </is>
      </c>
      <c r="H325" t="inlineStr">
        <is>
          <t>Round1</t>
        </is>
      </c>
      <c r="I325" t="inlineStr">
        <is>
          <t>&lt;calendly_link&gt;</t>
        </is>
      </c>
      <c r="J325" s="37" t="n">
        <v>44867.82708333333</v>
      </c>
      <c r="K325" t="inlineStr">
        <is>
          <t>Yes</t>
        </is>
      </c>
    </row>
    <row r="326">
      <c r="A326" t="inlineStr">
        <is>
          <t>REQ-0325</t>
        </is>
      </c>
      <c r="B326" t="inlineStr">
        <is>
          <t>Google</t>
        </is>
      </c>
      <c r="C326" t="inlineStr">
        <is>
          <t>Sundar Pichai</t>
        </is>
      </c>
      <c r="D326" t="inlineStr">
        <is>
          <t>sundar@google.com</t>
        </is>
      </c>
      <c r="E326" t="inlineStr">
        <is>
          <t>Chetan</t>
        </is>
      </c>
      <c r="F326" t="inlineStr">
        <is>
          <t>chetan@weekday.works</t>
        </is>
      </c>
      <c r="G326" s="36" t="inlineStr">
        <is>
          <t>+91 9920264452</t>
        </is>
      </c>
      <c r="H326" t="inlineStr">
        <is>
          <t>Round1</t>
        </is>
      </c>
      <c r="I326" t="inlineStr">
        <is>
          <t>&lt;calendly_link&gt;</t>
        </is>
      </c>
      <c r="J326" s="37" t="n">
        <v>44867.82708333333</v>
      </c>
      <c r="K326" t="inlineStr">
        <is>
          <t>Yes</t>
        </is>
      </c>
    </row>
    <row r="327">
      <c r="A327" t="inlineStr">
        <is>
          <t>REQ-0326</t>
        </is>
      </c>
      <c r="B327" t="inlineStr">
        <is>
          <t>Google</t>
        </is>
      </c>
      <c r="C327" t="inlineStr">
        <is>
          <t>Sundar Pichai</t>
        </is>
      </c>
      <c r="D327" t="inlineStr">
        <is>
          <t>sundar@google.com</t>
        </is>
      </c>
      <c r="E327" t="inlineStr">
        <is>
          <t>Chetan</t>
        </is>
      </c>
      <c r="F327" t="inlineStr">
        <is>
          <t>chetan@weekday.works</t>
        </is>
      </c>
      <c r="G327" s="36" t="inlineStr">
        <is>
          <t>+91 9920264452</t>
        </is>
      </c>
      <c r="H327" t="inlineStr">
        <is>
          <t>Round1</t>
        </is>
      </c>
      <c r="I327" t="inlineStr">
        <is>
          <t>&lt;calendly_link&gt;</t>
        </is>
      </c>
      <c r="J327" s="37" t="n">
        <v>44867.82708333333</v>
      </c>
      <c r="K327" t="inlineStr">
        <is>
          <t>Yes</t>
        </is>
      </c>
    </row>
    <row r="328">
      <c r="A328" t="inlineStr">
        <is>
          <t>REQ-0327</t>
        </is>
      </c>
      <c r="B328" t="inlineStr">
        <is>
          <t>Google</t>
        </is>
      </c>
      <c r="C328" t="inlineStr">
        <is>
          <t>Sundar Pichai</t>
        </is>
      </c>
      <c r="D328" t="inlineStr">
        <is>
          <t>sundar@google.com</t>
        </is>
      </c>
      <c r="E328" t="inlineStr">
        <is>
          <t>Chetan</t>
        </is>
      </c>
      <c r="F328" t="inlineStr">
        <is>
          <t>chetan@weekday.works</t>
        </is>
      </c>
      <c r="G328" s="36" t="inlineStr">
        <is>
          <t>+91 9920264452</t>
        </is>
      </c>
      <c r="H328" t="inlineStr">
        <is>
          <t>Round1</t>
        </is>
      </c>
      <c r="I328" t="inlineStr">
        <is>
          <t>&lt;calendly_link&gt;</t>
        </is>
      </c>
      <c r="J328" s="37" t="n">
        <v>44867.82708333333</v>
      </c>
      <c r="K328" t="inlineStr">
        <is>
          <t>Yes</t>
        </is>
      </c>
    </row>
    <row r="329">
      <c r="A329" t="inlineStr">
        <is>
          <t>REQ-0328</t>
        </is>
      </c>
      <c r="B329" t="inlineStr">
        <is>
          <t>Google</t>
        </is>
      </c>
      <c r="C329" t="inlineStr">
        <is>
          <t>Sundar Pichai</t>
        </is>
      </c>
      <c r="D329" t="inlineStr">
        <is>
          <t>sundar@google.com</t>
        </is>
      </c>
      <c r="E329" t="inlineStr">
        <is>
          <t>Chetan</t>
        </is>
      </c>
      <c r="F329" t="inlineStr">
        <is>
          <t>chetan@weekday.works</t>
        </is>
      </c>
      <c r="G329" s="36" t="inlineStr">
        <is>
          <t>+91 9920264452</t>
        </is>
      </c>
      <c r="H329" t="inlineStr">
        <is>
          <t>Round1</t>
        </is>
      </c>
      <c r="I329" t="inlineStr">
        <is>
          <t>&lt;calendly_link&gt;</t>
        </is>
      </c>
      <c r="J329" s="37" t="n">
        <v>44867.82708333333</v>
      </c>
      <c r="K329" t="inlineStr">
        <is>
          <t>Yes</t>
        </is>
      </c>
    </row>
    <row r="330">
      <c r="A330" t="inlineStr">
        <is>
          <t>REQ-0329</t>
        </is>
      </c>
      <c r="B330" t="inlineStr">
        <is>
          <t>Google</t>
        </is>
      </c>
      <c r="C330" t="inlineStr">
        <is>
          <t>Sundar Pichai</t>
        </is>
      </c>
      <c r="D330" t="inlineStr">
        <is>
          <t>sundar@google.com</t>
        </is>
      </c>
      <c r="E330" t="inlineStr">
        <is>
          <t>Chetan</t>
        </is>
      </c>
      <c r="F330" t="inlineStr">
        <is>
          <t>chetan@weekday.works</t>
        </is>
      </c>
      <c r="G330" s="36" t="inlineStr">
        <is>
          <t>+91 9920264452</t>
        </is>
      </c>
      <c r="H330" t="inlineStr">
        <is>
          <t>Round1</t>
        </is>
      </c>
      <c r="I330" t="inlineStr">
        <is>
          <t>&lt;calendly_link&gt;</t>
        </is>
      </c>
      <c r="J330" s="37" t="n">
        <v>44867.82708333333</v>
      </c>
      <c r="K330" t="inlineStr">
        <is>
          <t>Yes</t>
        </is>
      </c>
    </row>
    <row r="331">
      <c r="A331" t="inlineStr">
        <is>
          <t>REQ-0330</t>
        </is>
      </c>
      <c r="B331" t="inlineStr">
        <is>
          <t>Google</t>
        </is>
      </c>
      <c r="C331" t="inlineStr">
        <is>
          <t>Sundar Pichai</t>
        </is>
      </c>
      <c r="D331" t="inlineStr">
        <is>
          <t>sundar@google.com</t>
        </is>
      </c>
      <c r="E331" t="inlineStr">
        <is>
          <t>Chetan</t>
        </is>
      </c>
      <c r="F331" t="inlineStr">
        <is>
          <t>chetan@weekday.works</t>
        </is>
      </c>
      <c r="G331" s="36" t="inlineStr">
        <is>
          <t>+91 9920264452</t>
        </is>
      </c>
      <c r="H331" t="inlineStr">
        <is>
          <t>Round1</t>
        </is>
      </c>
      <c r="I331" t="inlineStr">
        <is>
          <t>&lt;calendly_link&gt;</t>
        </is>
      </c>
      <c r="J331" s="37" t="n">
        <v>44867.82708333333</v>
      </c>
      <c r="K331" t="inlineStr">
        <is>
          <t>Yes</t>
        </is>
      </c>
    </row>
    <row r="332">
      <c r="A332" t="inlineStr">
        <is>
          <t>REQ-0331</t>
        </is>
      </c>
      <c r="B332" t="inlineStr">
        <is>
          <t>Google</t>
        </is>
      </c>
      <c r="C332" t="inlineStr">
        <is>
          <t>Sundar Pichai</t>
        </is>
      </c>
      <c r="D332" t="inlineStr">
        <is>
          <t>sundar@google.com</t>
        </is>
      </c>
      <c r="E332" t="inlineStr">
        <is>
          <t>Chetan</t>
        </is>
      </c>
      <c r="F332" t="inlineStr">
        <is>
          <t>chetan@weekday.works</t>
        </is>
      </c>
      <c r="G332" s="36" t="inlineStr">
        <is>
          <t>+91 9920264452</t>
        </is>
      </c>
      <c r="H332" t="inlineStr">
        <is>
          <t>Round1</t>
        </is>
      </c>
      <c r="I332" t="inlineStr">
        <is>
          <t>&lt;calendly_link&gt;</t>
        </is>
      </c>
      <c r="J332" s="37" t="n">
        <v>44867.82708333333</v>
      </c>
      <c r="K332" t="inlineStr">
        <is>
          <t>Yes</t>
        </is>
      </c>
    </row>
    <row r="333">
      <c r="A333" t="inlineStr">
        <is>
          <t>REQ-0332</t>
        </is>
      </c>
      <c r="B333" t="inlineStr">
        <is>
          <t>Google</t>
        </is>
      </c>
      <c r="C333" t="inlineStr">
        <is>
          <t>Sundar Pichai</t>
        </is>
      </c>
      <c r="D333" t="inlineStr">
        <is>
          <t>sundar@google.com</t>
        </is>
      </c>
      <c r="E333" t="inlineStr">
        <is>
          <t>Chetan</t>
        </is>
      </c>
      <c r="F333" t="inlineStr">
        <is>
          <t>chetan@weekday.works</t>
        </is>
      </c>
      <c r="G333" s="36" t="inlineStr">
        <is>
          <t>+91 9920264452</t>
        </is>
      </c>
      <c r="H333" t="inlineStr">
        <is>
          <t>Round1</t>
        </is>
      </c>
      <c r="I333" t="inlineStr">
        <is>
          <t>&lt;calendly_link&gt;</t>
        </is>
      </c>
      <c r="J333" s="37" t="n">
        <v>44867.82708333333</v>
      </c>
      <c r="K333" t="inlineStr">
        <is>
          <t>Yes</t>
        </is>
      </c>
    </row>
    <row r="334">
      <c r="A334" t="inlineStr">
        <is>
          <t>REQ-0333</t>
        </is>
      </c>
      <c r="B334" t="inlineStr">
        <is>
          <t>Google</t>
        </is>
      </c>
      <c r="C334" t="inlineStr">
        <is>
          <t>Sundar Pichai</t>
        </is>
      </c>
      <c r="D334" t="inlineStr">
        <is>
          <t>sundar@google.com</t>
        </is>
      </c>
      <c r="E334" t="inlineStr">
        <is>
          <t>Chetan</t>
        </is>
      </c>
      <c r="F334" t="inlineStr">
        <is>
          <t>chetan@weekday.works</t>
        </is>
      </c>
      <c r="G334" s="36" t="inlineStr">
        <is>
          <t>+91 9920264452</t>
        </is>
      </c>
      <c r="H334" t="inlineStr">
        <is>
          <t>Round1</t>
        </is>
      </c>
      <c r="I334" t="inlineStr">
        <is>
          <t>&lt;calendly_link&gt;</t>
        </is>
      </c>
      <c r="J334" s="37" t="n">
        <v>44867.82708333333</v>
      </c>
      <c r="K334" t="inlineStr">
        <is>
          <t>Yes</t>
        </is>
      </c>
    </row>
    <row r="335">
      <c r="A335" t="inlineStr">
        <is>
          <t>REQ-0334</t>
        </is>
      </c>
      <c r="B335" t="inlineStr">
        <is>
          <t>Google</t>
        </is>
      </c>
      <c r="C335" t="inlineStr">
        <is>
          <t>Sundar Pichai</t>
        </is>
      </c>
      <c r="D335" t="inlineStr">
        <is>
          <t>sundar@google.com</t>
        </is>
      </c>
      <c r="E335" t="inlineStr">
        <is>
          <t>Chetan</t>
        </is>
      </c>
      <c r="F335" t="inlineStr">
        <is>
          <t>chetan@weekday.works</t>
        </is>
      </c>
      <c r="G335" s="36" t="inlineStr">
        <is>
          <t>+91 9920264452</t>
        </is>
      </c>
      <c r="H335" t="inlineStr">
        <is>
          <t>Round1</t>
        </is>
      </c>
      <c r="I335" t="inlineStr">
        <is>
          <t>&lt;calendly_link&gt;</t>
        </is>
      </c>
      <c r="J335" s="37" t="n">
        <v>44867.82708333333</v>
      </c>
      <c r="K335" t="inlineStr">
        <is>
          <t>Yes</t>
        </is>
      </c>
    </row>
    <row r="336">
      <c r="A336" t="inlineStr">
        <is>
          <t>REQ-0335</t>
        </is>
      </c>
      <c r="B336" t="inlineStr">
        <is>
          <t>Google</t>
        </is>
      </c>
      <c r="C336" t="inlineStr">
        <is>
          <t>Sundar Pichai</t>
        </is>
      </c>
      <c r="D336" t="inlineStr">
        <is>
          <t>sundar@google.com</t>
        </is>
      </c>
      <c r="E336" t="inlineStr">
        <is>
          <t>Chetan</t>
        </is>
      </c>
      <c r="F336" t="inlineStr">
        <is>
          <t>chetan@weekday.works</t>
        </is>
      </c>
      <c r="G336" s="36" t="inlineStr">
        <is>
          <t>+91 9920264452</t>
        </is>
      </c>
      <c r="H336" t="inlineStr">
        <is>
          <t>Round1</t>
        </is>
      </c>
      <c r="I336" t="inlineStr">
        <is>
          <t>&lt;calendly_link&gt;</t>
        </is>
      </c>
      <c r="J336" s="37" t="n">
        <v>44867.82708333333</v>
      </c>
      <c r="K336" t="inlineStr">
        <is>
          <t>Yes</t>
        </is>
      </c>
    </row>
    <row r="337">
      <c r="A337" t="inlineStr">
        <is>
          <t>REQ-0336</t>
        </is>
      </c>
      <c r="B337" t="inlineStr">
        <is>
          <t>Google</t>
        </is>
      </c>
      <c r="C337" t="inlineStr">
        <is>
          <t>Sundar Pichai</t>
        </is>
      </c>
      <c r="D337" t="inlineStr">
        <is>
          <t>sundar@google.com</t>
        </is>
      </c>
      <c r="E337" t="inlineStr">
        <is>
          <t>Chetan</t>
        </is>
      </c>
      <c r="F337" t="inlineStr">
        <is>
          <t>chetan@weekday.works</t>
        </is>
      </c>
      <c r="G337" s="36" t="inlineStr">
        <is>
          <t>+91 9920264452</t>
        </is>
      </c>
      <c r="H337" t="inlineStr">
        <is>
          <t>Round1</t>
        </is>
      </c>
      <c r="I337" t="inlineStr">
        <is>
          <t>&lt;calendly_link&gt;</t>
        </is>
      </c>
      <c r="J337" s="37" t="n">
        <v>44867.82708333333</v>
      </c>
      <c r="K337" t="inlineStr">
        <is>
          <t>Yes</t>
        </is>
      </c>
    </row>
    <row r="338">
      <c r="A338" t="inlineStr">
        <is>
          <t>REQ-0337</t>
        </is>
      </c>
      <c r="B338" t="inlineStr">
        <is>
          <t>Google</t>
        </is>
      </c>
      <c r="C338" t="inlineStr">
        <is>
          <t>Sundar Pichai</t>
        </is>
      </c>
      <c r="D338" t="inlineStr">
        <is>
          <t>sundar@google.com</t>
        </is>
      </c>
      <c r="E338" t="inlineStr">
        <is>
          <t>Chetan</t>
        </is>
      </c>
      <c r="F338" t="inlineStr">
        <is>
          <t>chetan@weekday.works</t>
        </is>
      </c>
      <c r="G338" s="36" t="inlineStr">
        <is>
          <t>+91 9920264452</t>
        </is>
      </c>
      <c r="H338" t="inlineStr">
        <is>
          <t>Round1</t>
        </is>
      </c>
      <c r="I338" t="inlineStr">
        <is>
          <t>&lt;calendly_link&gt;</t>
        </is>
      </c>
      <c r="J338" s="37" t="n">
        <v>44867.82708333333</v>
      </c>
      <c r="K338" t="inlineStr">
        <is>
          <t>Yes</t>
        </is>
      </c>
    </row>
    <row r="339">
      <c r="A339" t="inlineStr">
        <is>
          <t>REQ-0338</t>
        </is>
      </c>
      <c r="B339" t="inlineStr">
        <is>
          <t>Google</t>
        </is>
      </c>
      <c r="C339" t="inlineStr">
        <is>
          <t>Sundar Pichai</t>
        </is>
      </c>
      <c r="D339" t="inlineStr">
        <is>
          <t>sundar@google.com</t>
        </is>
      </c>
      <c r="E339" t="inlineStr">
        <is>
          <t>Chetan</t>
        </is>
      </c>
      <c r="F339" t="inlineStr">
        <is>
          <t>chetan@weekday.works</t>
        </is>
      </c>
      <c r="G339" s="36" t="inlineStr">
        <is>
          <t>+91 9920264452</t>
        </is>
      </c>
      <c r="H339" t="inlineStr">
        <is>
          <t>Round1</t>
        </is>
      </c>
      <c r="I339" t="inlineStr">
        <is>
          <t>&lt;calendly_link&gt;</t>
        </is>
      </c>
      <c r="J339" s="37" t="n">
        <v>44867.82708333333</v>
      </c>
      <c r="K339" t="inlineStr">
        <is>
          <t>Yes</t>
        </is>
      </c>
    </row>
    <row r="340">
      <c r="A340" t="inlineStr">
        <is>
          <t>REQ-0339</t>
        </is>
      </c>
      <c r="B340" t="inlineStr">
        <is>
          <t>Google</t>
        </is>
      </c>
      <c r="C340" t="inlineStr">
        <is>
          <t>Sundar Pichai</t>
        </is>
      </c>
      <c r="D340" t="inlineStr">
        <is>
          <t>sundar@google.com</t>
        </is>
      </c>
      <c r="E340" t="inlineStr">
        <is>
          <t>Chetan</t>
        </is>
      </c>
      <c r="F340" t="inlineStr">
        <is>
          <t>chetan@weekday.works</t>
        </is>
      </c>
      <c r="G340" s="36" t="inlineStr">
        <is>
          <t>+91 9920264452</t>
        </is>
      </c>
      <c r="H340" t="inlineStr">
        <is>
          <t>Round1</t>
        </is>
      </c>
      <c r="I340" t="inlineStr">
        <is>
          <t>&lt;calendly_link&gt;</t>
        </is>
      </c>
      <c r="J340" s="37" t="n">
        <v>44867.82708333333</v>
      </c>
      <c r="K340" t="inlineStr">
        <is>
          <t>Yes</t>
        </is>
      </c>
    </row>
    <row r="341">
      <c r="A341" t="inlineStr">
        <is>
          <t>REQ-0340</t>
        </is>
      </c>
      <c r="B341" t="inlineStr">
        <is>
          <t>Google</t>
        </is>
      </c>
      <c r="C341" t="inlineStr">
        <is>
          <t>Sundar Pichai</t>
        </is>
      </c>
      <c r="D341" t="inlineStr">
        <is>
          <t>sundar@google.com</t>
        </is>
      </c>
      <c r="E341" t="inlineStr">
        <is>
          <t>Chetan</t>
        </is>
      </c>
      <c r="F341" t="inlineStr">
        <is>
          <t>chetan@weekday.works</t>
        </is>
      </c>
      <c r="G341" s="36" t="inlineStr">
        <is>
          <t>+91 9920264452</t>
        </is>
      </c>
      <c r="H341" t="inlineStr">
        <is>
          <t>Round1</t>
        </is>
      </c>
      <c r="I341" t="inlineStr">
        <is>
          <t>&lt;calendly_link&gt;</t>
        </is>
      </c>
      <c r="J341" s="37" t="n">
        <v>44867.82708333333</v>
      </c>
      <c r="K341" t="inlineStr">
        <is>
          <t>Yes</t>
        </is>
      </c>
    </row>
    <row r="342">
      <c r="A342" t="inlineStr">
        <is>
          <t>REQ-0341</t>
        </is>
      </c>
      <c r="B342" t="inlineStr">
        <is>
          <t>Google</t>
        </is>
      </c>
      <c r="C342" t="inlineStr">
        <is>
          <t>Sundar Pichai</t>
        </is>
      </c>
      <c r="D342" t="inlineStr">
        <is>
          <t>sundar@google.com</t>
        </is>
      </c>
      <c r="E342" t="inlineStr">
        <is>
          <t>Chetan</t>
        </is>
      </c>
      <c r="F342" t="inlineStr">
        <is>
          <t>chetan@weekday.works</t>
        </is>
      </c>
      <c r="G342" s="36" t="inlineStr">
        <is>
          <t>+91 9920264452</t>
        </is>
      </c>
      <c r="H342" t="inlineStr">
        <is>
          <t>Round1</t>
        </is>
      </c>
      <c r="I342" t="inlineStr">
        <is>
          <t>&lt;calendly_link&gt;</t>
        </is>
      </c>
      <c r="J342" s="37" t="n">
        <v>44867.82708333333</v>
      </c>
      <c r="K342" t="inlineStr">
        <is>
          <t>Yes</t>
        </is>
      </c>
    </row>
    <row r="343">
      <c r="A343" t="inlineStr">
        <is>
          <t>REQ-0342</t>
        </is>
      </c>
      <c r="B343" t="inlineStr">
        <is>
          <t>Google</t>
        </is>
      </c>
      <c r="C343" t="inlineStr">
        <is>
          <t>Sundar Pichai</t>
        </is>
      </c>
      <c r="D343" t="inlineStr">
        <is>
          <t>sundar@google.com</t>
        </is>
      </c>
      <c r="E343" t="inlineStr">
        <is>
          <t>Chetan</t>
        </is>
      </c>
      <c r="F343" t="inlineStr">
        <is>
          <t>chetan@weekday.works</t>
        </is>
      </c>
      <c r="G343" s="36" t="inlineStr">
        <is>
          <t>+91 9920264452</t>
        </is>
      </c>
      <c r="H343" t="inlineStr">
        <is>
          <t>Round1</t>
        </is>
      </c>
      <c r="I343" t="inlineStr">
        <is>
          <t>&lt;calendly_link&gt;</t>
        </is>
      </c>
      <c r="J343" s="37" t="n">
        <v>44867.82708333333</v>
      </c>
      <c r="K343" t="inlineStr">
        <is>
          <t>Yes</t>
        </is>
      </c>
    </row>
    <row r="344">
      <c r="A344" t="inlineStr">
        <is>
          <t>REQ-0343</t>
        </is>
      </c>
      <c r="B344" t="inlineStr">
        <is>
          <t>Google</t>
        </is>
      </c>
      <c r="C344" t="inlineStr">
        <is>
          <t>Sundar Pichai</t>
        </is>
      </c>
      <c r="D344" t="inlineStr">
        <is>
          <t>sundar@google.com</t>
        </is>
      </c>
      <c r="E344" t="inlineStr">
        <is>
          <t>Chetan</t>
        </is>
      </c>
      <c r="F344" t="inlineStr">
        <is>
          <t>chetan@weekday.works</t>
        </is>
      </c>
      <c r="G344" s="36" t="inlineStr">
        <is>
          <t>+91 9920264452</t>
        </is>
      </c>
      <c r="H344" t="inlineStr">
        <is>
          <t>Round1</t>
        </is>
      </c>
      <c r="I344" t="inlineStr">
        <is>
          <t>&lt;calendly_link&gt;</t>
        </is>
      </c>
      <c r="J344" s="37" t="n">
        <v>44867.82708333333</v>
      </c>
      <c r="K344" t="inlineStr">
        <is>
          <t>Yes</t>
        </is>
      </c>
    </row>
    <row r="345">
      <c r="A345" t="inlineStr">
        <is>
          <t>REQ-0344</t>
        </is>
      </c>
      <c r="B345" t="inlineStr">
        <is>
          <t>Google</t>
        </is>
      </c>
      <c r="C345" t="inlineStr">
        <is>
          <t>Sundar Pichai</t>
        </is>
      </c>
      <c r="D345" t="inlineStr">
        <is>
          <t>sundar@google.com</t>
        </is>
      </c>
      <c r="E345" t="inlineStr">
        <is>
          <t>Chetan</t>
        </is>
      </c>
      <c r="F345" t="inlineStr">
        <is>
          <t>chetan@weekday.works</t>
        </is>
      </c>
      <c r="G345" s="36" t="inlineStr">
        <is>
          <t>+91 9920264452</t>
        </is>
      </c>
      <c r="H345" t="inlineStr">
        <is>
          <t>Round1</t>
        </is>
      </c>
      <c r="I345" t="inlineStr">
        <is>
          <t>&lt;calendly_link&gt;</t>
        </is>
      </c>
      <c r="J345" s="37" t="n">
        <v>44867.82708333333</v>
      </c>
      <c r="K345" t="inlineStr">
        <is>
          <t>Yes</t>
        </is>
      </c>
    </row>
    <row r="346">
      <c r="A346" t="inlineStr">
        <is>
          <t>REQ-0345</t>
        </is>
      </c>
      <c r="B346" t="inlineStr">
        <is>
          <t>Google</t>
        </is>
      </c>
      <c r="C346" t="inlineStr">
        <is>
          <t>Sundar Pichai</t>
        </is>
      </c>
      <c r="D346" t="inlineStr">
        <is>
          <t>sundar@google.com</t>
        </is>
      </c>
      <c r="E346" t="inlineStr">
        <is>
          <t>Chetan</t>
        </is>
      </c>
      <c r="F346" t="inlineStr">
        <is>
          <t>chetan@weekday.works</t>
        </is>
      </c>
      <c r="G346" s="36" t="inlineStr">
        <is>
          <t>+91 9920264452</t>
        </is>
      </c>
      <c r="H346" t="inlineStr">
        <is>
          <t>Round1</t>
        </is>
      </c>
      <c r="I346" t="inlineStr">
        <is>
          <t>&lt;calendly_link&gt;</t>
        </is>
      </c>
      <c r="J346" s="37" t="n">
        <v>44867.82708333333</v>
      </c>
      <c r="K346" t="inlineStr">
        <is>
          <t>Yes</t>
        </is>
      </c>
    </row>
    <row r="347">
      <c r="A347" t="inlineStr">
        <is>
          <t>REQ-0346</t>
        </is>
      </c>
      <c r="B347" t="inlineStr">
        <is>
          <t>Google</t>
        </is>
      </c>
      <c r="C347" t="inlineStr">
        <is>
          <t>Sundar Pichai</t>
        </is>
      </c>
      <c r="D347" t="inlineStr">
        <is>
          <t>sundar@google.com</t>
        </is>
      </c>
      <c r="E347" t="inlineStr">
        <is>
          <t>Chetan</t>
        </is>
      </c>
      <c r="F347" t="inlineStr">
        <is>
          <t>chetan@weekday.works</t>
        </is>
      </c>
      <c r="G347" s="36" t="inlineStr">
        <is>
          <t>+91 9920264452</t>
        </is>
      </c>
      <c r="H347" t="inlineStr">
        <is>
          <t>Round1</t>
        </is>
      </c>
      <c r="I347" t="inlineStr">
        <is>
          <t>&lt;calendly_link&gt;</t>
        </is>
      </c>
      <c r="J347" s="37" t="n">
        <v>44867.82708333333</v>
      </c>
      <c r="K347" t="inlineStr">
        <is>
          <t>Yes</t>
        </is>
      </c>
    </row>
    <row r="348">
      <c r="A348" t="inlineStr">
        <is>
          <t>REQ-0347</t>
        </is>
      </c>
      <c r="B348" t="inlineStr">
        <is>
          <t>Google</t>
        </is>
      </c>
      <c r="C348" t="inlineStr">
        <is>
          <t>Sundar Pichai</t>
        </is>
      </c>
      <c r="D348" t="inlineStr">
        <is>
          <t>sundar@google.com</t>
        </is>
      </c>
      <c r="E348" t="inlineStr">
        <is>
          <t>Chetan</t>
        </is>
      </c>
      <c r="F348" t="inlineStr">
        <is>
          <t>chetan@weekday.works</t>
        </is>
      </c>
      <c r="G348" s="36" t="inlineStr">
        <is>
          <t>+91 9920264452</t>
        </is>
      </c>
      <c r="H348" t="inlineStr">
        <is>
          <t>Round1</t>
        </is>
      </c>
      <c r="I348" t="inlineStr">
        <is>
          <t>&lt;calendly_link&gt;</t>
        </is>
      </c>
      <c r="J348" s="37" t="n">
        <v>44867.82708333333</v>
      </c>
      <c r="K348" t="inlineStr">
        <is>
          <t>Yes</t>
        </is>
      </c>
    </row>
    <row r="349">
      <c r="A349" t="inlineStr">
        <is>
          <t>REQ-0348</t>
        </is>
      </c>
      <c r="B349" t="inlineStr">
        <is>
          <t>Google</t>
        </is>
      </c>
      <c r="C349" t="inlineStr">
        <is>
          <t>Sundar Pichai</t>
        </is>
      </c>
      <c r="D349" t="inlineStr">
        <is>
          <t>sundar@google.com</t>
        </is>
      </c>
      <c r="E349" t="inlineStr">
        <is>
          <t>Chetan</t>
        </is>
      </c>
      <c r="F349" t="inlineStr">
        <is>
          <t>chetan@weekday.works</t>
        </is>
      </c>
      <c r="G349" s="36" t="inlineStr">
        <is>
          <t>+91 9920264452</t>
        </is>
      </c>
      <c r="H349" t="inlineStr">
        <is>
          <t>Round1</t>
        </is>
      </c>
      <c r="I349" t="inlineStr">
        <is>
          <t>&lt;calendly_link&gt;</t>
        </is>
      </c>
      <c r="J349" s="37" t="n">
        <v>44867.82708333333</v>
      </c>
      <c r="K349" t="inlineStr">
        <is>
          <t>Yes</t>
        </is>
      </c>
    </row>
    <row r="350">
      <c r="A350" t="inlineStr">
        <is>
          <t>REQ-0349</t>
        </is>
      </c>
      <c r="B350" t="inlineStr">
        <is>
          <t>Google</t>
        </is>
      </c>
      <c r="C350" t="inlineStr">
        <is>
          <t>Sundar Pichai</t>
        </is>
      </c>
      <c r="D350" t="inlineStr">
        <is>
          <t>sundar@google.com</t>
        </is>
      </c>
      <c r="E350" t="inlineStr">
        <is>
          <t>Chetan</t>
        </is>
      </c>
      <c r="F350" t="inlineStr">
        <is>
          <t>chetan@weekday.works</t>
        </is>
      </c>
      <c r="G350" s="36" t="inlineStr">
        <is>
          <t>+91 9920264452</t>
        </is>
      </c>
      <c r="H350" t="inlineStr">
        <is>
          <t>Round1</t>
        </is>
      </c>
      <c r="I350" t="inlineStr">
        <is>
          <t>&lt;calendly_link&gt;</t>
        </is>
      </c>
      <c r="J350" s="37" t="n">
        <v>44867.82708333333</v>
      </c>
      <c r="K350" t="inlineStr">
        <is>
          <t>Yes</t>
        </is>
      </c>
    </row>
    <row r="351">
      <c r="A351" t="inlineStr">
        <is>
          <t>REQ-0350</t>
        </is>
      </c>
      <c r="B351" t="inlineStr">
        <is>
          <t>Google</t>
        </is>
      </c>
      <c r="C351" t="inlineStr">
        <is>
          <t>Sundar Pichai</t>
        </is>
      </c>
      <c r="D351" t="inlineStr">
        <is>
          <t>sundar@google.com</t>
        </is>
      </c>
      <c r="E351" t="inlineStr">
        <is>
          <t>Chetan</t>
        </is>
      </c>
      <c r="F351" t="inlineStr">
        <is>
          <t>chetan@weekday.works</t>
        </is>
      </c>
      <c r="G351" s="36" t="inlineStr">
        <is>
          <t>+91 9920264452</t>
        </is>
      </c>
      <c r="H351" t="inlineStr">
        <is>
          <t>Round1</t>
        </is>
      </c>
      <c r="I351" t="inlineStr">
        <is>
          <t>&lt;calendly_link&gt;</t>
        </is>
      </c>
      <c r="J351" s="37" t="n">
        <v>44867.82708333333</v>
      </c>
      <c r="K351" t="inlineStr">
        <is>
          <t>Yes</t>
        </is>
      </c>
    </row>
    <row r="352">
      <c r="A352" t="inlineStr">
        <is>
          <t>REQ-0351</t>
        </is>
      </c>
      <c r="B352" t="inlineStr">
        <is>
          <t>Google</t>
        </is>
      </c>
      <c r="C352" t="inlineStr">
        <is>
          <t>Sundar Pichai</t>
        </is>
      </c>
      <c r="D352" t="inlineStr">
        <is>
          <t>sundar@google.com</t>
        </is>
      </c>
      <c r="E352" t="inlineStr">
        <is>
          <t>Chetan</t>
        </is>
      </c>
      <c r="F352" t="inlineStr">
        <is>
          <t>chetan@weekday.works</t>
        </is>
      </c>
      <c r="G352" s="36" t="inlineStr">
        <is>
          <t>+91 9920264452</t>
        </is>
      </c>
      <c r="H352" t="inlineStr">
        <is>
          <t>Round1</t>
        </is>
      </c>
      <c r="I352" t="inlineStr">
        <is>
          <t>&lt;calendly_link&gt;</t>
        </is>
      </c>
      <c r="J352" s="37" t="n">
        <v>44867.82708333333</v>
      </c>
      <c r="K352" t="inlineStr">
        <is>
          <t>Yes</t>
        </is>
      </c>
    </row>
    <row r="353">
      <c r="A353" t="inlineStr">
        <is>
          <t>REQ-0352</t>
        </is>
      </c>
      <c r="B353" t="inlineStr">
        <is>
          <t>Google</t>
        </is>
      </c>
      <c r="C353" t="inlineStr">
        <is>
          <t>Sundar Pichai</t>
        </is>
      </c>
      <c r="D353" t="inlineStr">
        <is>
          <t>sundar@google.com</t>
        </is>
      </c>
      <c r="E353" t="inlineStr">
        <is>
          <t>Chetan</t>
        </is>
      </c>
      <c r="F353" t="inlineStr">
        <is>
          <t>chetan@weekday.works</t>
        </is>
      </c>
      <c r="G353" s="36" t="inlineStr">
        <is>
          <t>+91 9920264452</t>
        </is>
      </c>
      <c r="H353" t="inlineStr">
        <is>
          <t>Round1</t>
        </is>
      </c>
      <c r="I353" t="inlineStr">
        <is>
          <t>&lt;calendly_link&gt;</t>
        </is>
      </c>
      <c r="J353" s="37" t="n">
        <v>44867.82708333333</v>
      </c>
      <c r="K353" t="inlineStr">
        <is>
          <t>Yes</t>
        </is>
      </c>
    </row>
    <row r="354">
      <c r="A354" t="inlineStr">
        <is>
          <t>REQ-0353</t>
        </is>
      </c>
      <c r="B354" t="inlineStr">
        <is>
          <t>Google</t>
        </is>
      </c>
      <c r="C354" t="inlineStr">
        <is>
          <t>Sundar Pichai</t>
        </is>
      </c>
      <c r="D354" t="inlineStr">
        <is>
          <t>sundar@google.com</t>
        </is>
      </c>
      <c r="E354" t="inlineStr">
        <is>
          <t>Chetan</t>
        </is>
      </c>
      <c r="F354" t="inlineStr">
        <is>
          <t>chetan@weekday.works</t>
        </is>
      </c>
      <c r="G354" s="36" t="inlineStr">
        <is>
          <t>+91 9920264452</t>
        </is>
      </c>
      <c r="H354" t="inlineStr">
        <is>
          <t>Round1</t>
        </is>
      </c>
      <c r="I354" t="inlineStr">
        <is>
          <t>&lt;calendly_link&gt;</t>
        </is>
      </c>
      <c r="J354" s="37" t="n">
        <v>44867.82708333333</v>
      </c>
      <c r="K354" t="inlineStr">
        <is>
          <t>Yes</t>
        </is>
      </c>
    </row>
    <row r="355">
      <c r="A355" t="inlineStr">
        <is>
          <t>REQ-0354</t>
        </is>
      </c>
      <c r="B355" t="inlineStr">
        <is>
          <t>Google</t>
        </is>
      </c>
      <c r="C355" t="inlineStr">
        <is>
          <t>Sundar Pichai</t>
        </is>
      </c>
      <c r="D355" t="inlineStr">
        <is>
          <t>sundar@google.com</t>
        </is>
      </c>
      <c r="E355" t="inlineStr">
        <is>
          <t>Chetan</t>
        </is>
      </c>
      <c r="F355" t="inlineStr">
        <is>
          <t>chetan@weekday.works</t>
        </is>
      </c>
      <c r="G355" s="36" t="inlineStr">
        <is>
          <t>+91 9920264452</t>
        </is>
      </c>
      <c r="H355" t="inlineStr">
        <is>
          <t>Round1</t>
        </is>
      </c>
      <c r="I355" t="inlineStr">
        <is>
          <t>&lt;calendly_link&gt;</t>
        </is>
      </c>
      <c r="J355" s="37" t="n">
        <v>44867.82708333333</v>
      </c>
      <c r="K355" t="inlineStr">
        <is>
          <t>Yes</t>
        </is>
      </c>
    </row>
    <row r="356">
      <c r="A356" t="inlineStr">
        <is>
          <t>REQ-0355</t>
        </is>
      </c>
      <c r="B356" t="inlineStr">
        <is>
          <t>Google</t>
        </is>
      </c>
      <c r="C356" t="inlineStr">
        <is>
          <t>Sundar Pichai</t>
        </is>
      </c>
      <c r="D356" t="inlineStr">
        <is>
          <t>sundar@google.com</t>
        </is>
      </c>
      <c r="E356" t="inlineStr">
        <is>
          <t>Chetan</t>
        </is>
      </c>
      <c r="F356" t="inlineStr">
        <is>
          <t>chetan@weekday.works</t>
        </is>
      </c>
      <c r="G356" s="36" t="inlineStr">
        <is>
          <t>+91 9920264452</t>
        </is>
      </c>
      <c r="H356" t="inlineStr">
        <is>
          <t>Round1</t>
        </is>
      </c>
      <c r="I356" t="inlineStr">
        <is>
          <t>&lt;calendly_link&gt;</t>
        </is>
      </c>
      <c r="J356" s="37" t="n">
        <v>44867.82708333333</v>
      </c>
      <c r="K356" t="inlineStr">
        <is>
          <t>Yes</t>
        </is>
      </c>
    </row>
    <row r="357">
      <c r="A357" t="inlineStr">
        <is>
          <t>REQ-0356</t>
        </is>
      </c>
      <c r="B357" t="inlineStr">
        <is>
          <t>Google</t>
        </is>
      </c>
      <c r="C357" t="inlineStr">
        <is>
          <t>Sundar Pichai</t>
        </is>
      </c>
      <c r="D357" t="inlineStr">
        <is>
          <t>sundar@google.com</t>
        </is>
      </c>
      <c r="E357" t="inlineStr">
        <is>
          <t>Chetan</t>
        </is>
      </c>
      <c r="F357" t="inlineStr">
        <is>
          <t>chetan@weekday.works</t>
        </is>
      </c>
      <c r="G357" s="36" t="inlineStr">
        <is>
          <t>+91 9920264452</t>
        </is>
      </c>
      <c r="H357" t="inlineStr">
        <is>
          <t>Round1</t>
        </is>
      </c>
      <c r="I357" t="inlineStr">
        <is>
          <t>&lt;calendly_link&gt;</t>
        </is>
      </c>
      <c r="J357" s="37" t="n">
        <v>44867.82708333333</v>
      </c>
      <c r="K357" t="inlineStr">
        <is>
          <t>Yes</t>
        </is>
      </c>
    </row>
    <row r="358">
      <c r="A358" t="inlineStr">
        <is>
          <t>REQ-0357</t>
        </is>
      </c>
      <c r="B358" t="inlineStr">
        <is>
          <t>Google</t>
        </is>
      </c>
      <c r="C358" t="inlineStr">
        <is>
          <t>Sundar Pichai</t>
        </is>
      </c>
      <c r="D358" t="inlineStr">
        <is>
          <t>sundar@google.com</t>
        </is>
      </c>
      <c r="E358" t="inlineStr">
        <is>
          <t>Chetan</t>
        </is>
      </c>
      <c r="F358" t="inlineStr">
        <is>
          <t>chetan@weekday.works</t>
        </is>
      </c>
      <c r="G358" s="36" t="inlineStr">
        <is>
          <t>+91 9920264452</t>
        </is>
      </c>
      <c r="H358" t="inlineStr">
        <is>
          <t>Round1</t>
        </is>
      </c>
      <c r="I358" t="inlineStr">
        <is>
          <t>&lt;calendly_link&gt;</t>
        </is>
      </c>
      <c r="J358" s="37" t="n">
        <v>44867.82708333333</v>
      </c>
      <c r="K358" t="inlineStr">
        <is>
          <t>Yes</t>
        </is>
      </c>
    </row>
    <row r="359">
      <c r="A359" t="inlineStr">
        <is>
          <t>REQ-0358</t>
        </is>
      </c>
      <c r="B359" t="inlineStr">
        <is>
          <t>Google</t>
        </is>
      </c>
      <c r="C359" t="inlineStr">
        <is>
          <t>Sundar Pichai</t>
        </is>
      </c>
      <c r="D359" t="inlineStr">
        <is>
          <t>sundar@google.com</t>
        </is>
      </c>
      <c r="E359" t="inlineStr">
        <is>
          <t>Chetan</t>
        </is>
      </c>
      <c r="F359" t="inlineStr">
        <is>
          <t>chetan@weekday.works</t>
        </is>
      </c>
      <c r="G359" s="36" t="inlineStr">
        <is>
          <t>+91 9920264452</t>
        </is>
      </c>
      <c r="H359" t="inlineStr">
        <is>
          <t>Round1</t>
        </is>
      </c>
      <c r="I359" t="inlineStr">
        <is>
          <t>&lt;calendly_link&gt;</t>
        </is>
      </c>
      <c r="J359" s="37" t="n">
        <v>44867.82708333333</v>
      </c>
      <c r="K359" t="inlineStr">
        <is>
          <t>Yes</t>
        </is>
      </c>
    </row>
    <row r="360">
      <c r="A360" t="inlineStr">
        <is>
          <t>REQ-0359</t>
        </is>
      </c>
      <c r="B360" t="inlineStr">
        <is>
          <t>Google</t>
        </is>
      </c>
      <c r="C360" t="inlineStr">
        <is>
          <t>Sundar Pichai</t>
        </is>
      </c>
      <c r="D360" t="inlineStr">
        <is>
          <t>sundar@google.com</t>
        </is>
      </c>
      <c r="E360" t="inlineStr">
        <is>
          <t>Chetan</t>
        </is>
      </c>
      <c r="F360" t="inlineStr">
        <is>
          <t>chetan@weekday.works</t>
        </is>
      </c>
      <c r="G360" s="36" t="inlineStr">
        <is>
          <t>+91 9920264452</t>
        </is>
      </c>
      <c r="H360" t="inlineStr">
        <is>
          <t>Round1</t>
        </is>
      </c>
      <c r="I360" t="inlineStr">
        <is>
          <t>&lt;calendly_link&gt;</t>
        </is>
      </c>
      <c r="J360" s="37" t="n">
        <v>44867.82708333333</v>
      </c>
      <c r="K360" t="inlineStr">
        <is>
          <t>Yes</t>
        </is>
      </c>
    </row>
    <row r="361">
      <c r="A361" t="inlineStr">
        <is>
          <t>REQ-0360</t>
        </is>
      </c>
      <c r="B361" t="inlineStr">
        <is>
          <t>Google</t>
        </is>
      </c>
      <c r="C361" t="inlineStr">
        <is>
          <t>Sundar Pichai</t>
        </is>
      </c>
      <c r="D361" t="inlineStr">
        <is>
          <t>sundar@google.com</t>
        </is>
      </c>
      <c r="E361" t="inlineStr">
        <is>
          <t>Chetan</t>
        </is>
      </c>
      <c r="F361" t="inlineStr">
        <is>
          <t>chetan@weekday.works</t>
        </is>
      </c>
      <c r="G361" s="36" t="inlineStr">
        <is>
          <t>+91 9920264452</t>
        </is>
      </c>
      <c r="H361" t="inlineStr">
        <is>
          <t>Round1</t>
        </is>
      </c>
      <c r="I361" t="inlineStr">
        <is>
          <t>&lt;calendly_link&gt;</t>
        </is>
      </c>
      <c r="J361" s="37" t="n">
        <v>44867.82708333333</v>
      </c>
      <c r="K361" t="inlineStr">
        <is>
          <t>Yes</t>
        </is>
      </c>
    </row>
    <row r="362">
      <c r="A362" t="inlineStr">
        <is>
          <t>REQ-0361</t>
        </is>
      </c>
      <c r="B362" t="inlineStr">
        <is>
          <t>Google</t>
        </is>
      </c>
      <c r="C362" t="inlineStr">
        <is>
          <t>Sundar Pichai</t>
        </is>
      </c>
      <c r="D362" t="inlineStr">
        <is>
          <t>sundar@google.com</t>
        </is>
      </c>
      <c r="E362" t="inlineStr">
        <is>
          <t>Chetan</t>
        </is>
      </c>
      <c r="F362" t="inlineStr">
        <is>
          <t>chetan@weekday.works</t>
        </is>
      </c>
      <c r="G362" s="36" t="inlineStr">
        <is>
          <t>+91 9920264452</t>
        </is>
      </c>
      <c r="H362" t="inlineStr">
        <is>
          <t>Round1</t>
        </is>
      </c>
      <c r="I362" t="inlineStr">
        <is>
          <t>&lt;calendly_link&gt;</t>
        </is>
      </c>
      <c r="J362" s="37" t="n">
        <v>44867.82708333333</v>
      </c>
      <c r="K362" t="inlineStr">
        <is>
          <t>Yes</t>
        </is>
      </c>
    </row>
    <row r="363">
      <c r="A363" t="inlineStr">
        <is>
          <t>REQ-0362</t>
        </is>
      </c>
      <c r="B363" t="inlineStr">
        <is>
          <t>Google</t>
        </is>
      </c>
      <c r="C363" t="inlineStr">
        <is>
          <t>Sundar Pichai</t>
        </is>
      </c>
      <c r="D363" t="inlineStr">
        <is>
          <t>sundar@google.com</t>
        </is>
      </c>
      <c r="E363" t="inlineStr">
        <is>
          <t>Chetan</t>
        </is>
      </c>
      <c r="F363" t="inlineStr">
        <is>
          <t>chetan@weekday.works</t>
        </is>
      </c>
      <c r="G363" s="36" t="inlineStr">
        <is>
          <t>+91 9920264452</t>
        </is>
      </c>
      <c r="H363" t="inlineStr">
        <is>
          <t>Round1</t>
        </is>
      </c>
      <c r="I363" t="inlineStr">
        <is>
          <t>&lt;calendly_link&gt;</t>
        </is>
      </c>
      <c r="J363" s="37" t="n">
        <v>44867.82708333333</v>
      </c>
      <c r="K363" t="inlineStr">
        <is>
          <t>Yes</t>
        </is>
      </c>
    </row>
    <row r="364">
      <c r="A364" t="inlineStr">
        <is>
          <t>REQ-0363</t>
        </is>
      </c>
      <c r="B364" t="inlineStr">
        <is>
          <t>Google</t>
        </is>
      </c>
      <c r="C364" t="inlineStr">
        <is>
          <t>Sundar Pichai</t>
        </is>
      </c>
      <c r="D364" t="inlineStr">
        <is>
          <t>sundar@google.com</t>
        </is>
      </c>
      <c r="E364" t="inlineStr">
        <is>
          <t>Chetan</t>
        </is>
      </c>
      <c r="F364" t="inlineStr">
        <is>
          <t>chetan@weekday.works</t>
        </is>
      </c>
      <c r="G364" s="36" t="inlineStr">
        <is>
          <t>+91 9920264452</t>
        </is>
      </c>
      <c r="H364" t="inlineStr">
        <is>
          <t>Round1</t>
        </is>
      </c>
      <c r="I364" t="inlineStr">
        <is>
          <t>&lt;calendly_link&gt;</t>
        </is>
      </c>
      <c r="J364" s="37" t="n">
        <v>44867.82708333333</v>
      </c>
      <c r="K364" t="inlineStr">
        <is>
          <t>Yes</t>
        </is>
      </c>
    </row>
    <row r="365">
      <c r="A365" t="inlineStr">
        <is>
          <t>REQ-0364</t>
        </is>
      </c>
      <c r="B365" t="inlineStr">
        <is>
          <t>Google</t>
        </is>
      </c>
      <c r="C365" t="inlineStr">
        <is>
          <t>Sundar Pichai</t>
        </is>
      </c>
      <c r="D365" t="inlineStr">
        <is>
          <t>sundar@google.com</t>
        </is>
      </c>
      <c r="E365" t="inlineStr">
        <is>
          <t>Chetan</t>
        </is>
      </c>
      <c r="F365" t="inlineStr">
        <is>
          <t>chetan@weekday.works</t>
        </is>
      </c>
      <c r="G365" s="36" t="inlineStr">
        <is>
          <t>+91 9920264452</t>
        </is>
      </c>
      <c r="H365" t="inlineStr">
        <is>
          <t>Round1</t>
        </is>
      </c>
      <c r="I365" t="inlineStr">
        <is>
          <t>&lt;calendly_link&gt;</t>
        </is>
      </c>
      <c r="J365" s="37" t="n">
        <v>44867.82708333333</v>
      </c>
      <c r="K365" t="inlineStr">
        <is>
          <t>Yes</t>
        </is>
      </c>
    </row>
    <row r="366">
      <c r="A366" t="inlineStr">
        <is>
          <t>REQ-0365</t>
        </is>
      </c>
      <c r="B366" t="inlineStr">
        <is>
          <t>Google</t>
        </is>
      </c>
      <c r="C366" t="inlineStr">
        <is>
          <t>Sundar Pichai</t>
        </is>
      </c>
      <c r="D366" t="inlineStr">
        <is>
          <t>sundar@google.com</t>
        </is>
      </c>
      <c r="E366" t="inlineStr">
        <is>
          <t>Chetan</t>
        </is>
      </c>
      <c r="F366" t="inlineStr">
        <is>
          <t>chetan@weekday.works</t>
        </is>
      </c>
      <c r="G366" s="36" t="inlineStr">
        <is>
          <t>+91 9920264452</t>
        </is>
      </c>
      <c r="H366" t="inlineStr">
        <is>
          <t>Round1</t>
        </is>
      </c>
      <c r="I366" t="inlineStr">
        <is>
          <t>&lt;calendly_link&gt;</t>
        </is>
      </c>
      <c r="J366" s="37" t="n">
        <v>44867.82708333333</v>
      </c>
      <c r="K366" t="inlineStr">
        <is>
          <t>Yes</t>
        </is>
      </c>
    </row>
    <row r="367">
      <c r="A367" t="inlineStr">
        <is>
          <t>REQ-0366</t>
        </is>
      </c>
      <c r="B367" t="inlineStr">
        <is>
          <t>Google</t>
        </is>
      </c>
      <c r="C367" t="inlineStr">
        <is>
          <t>Sundar Pichai</t>
        </is>
      </c>
      <c r="D367" t="inlineStr">
        <is>
          <t>sundar@google.com</t>
        </is>
      </c>
      <c r="E367" t="inlineStr">
        <is>
          <t>Chetan</t>
        </is>
      </c>
      <c r="F367" t="inlineStr">
        <is>
          <t>chetan@weekday.works</t>
        </is>
      </c>
      <c r="G367" s="36" t="inlineStr">
        <is>
          <t>+91 9920264452</t>
        </is>
      </c>
      <c r="H367" t="inlineStr">
        <is>
          <t>Round1</t>
        </is>
      </c>
      <c r="I367" t="inlineStr">
        <is>
          <t>&lt;calendly_link&gt;</t>
        </is>
      </c>
      <c r="J367" s="37" t="n">
        <v>44867.82708333333</v>
      </c>
      <c r="K367" t="inlineStr">
        <is>
          <t>Yes</t>
        </is>
      </c>
    </row>
    <row r="368">
      <c r="A368" t="inlineStr">
        <is>
          <t>REQ-0367</t>
        </is>
      </c>
      <c r="B368" t="inlineStr">
        <is>
          <t>Google</t>
        </is>
      </c>
      <c r="C368" t="inlineStr">
        <is>
          <t>Sundar Pichai</t>
        </is>
      </c>
      <c r="D368" t="inlineStr">
        <is>
          <t>sundar@google.com</t>
        </is>
      </c>
      <c r="E368" t="inlineStr">
        <is>
          <t>Chetan</t>
        </is>
      </c>
      <c r="F368" t="inlineStr">
        <is>
          <t>chetan@weekday.works</t>
        </is>
      </c>
      <c r="G368" s="36" t="inlineStr">
        <is>
          <t>+91 9920264452</t>
        </is>
      </c>
      <c r="H368" t="inlineStr">
        <is>
          <t>Round1</t>
        </is>
      </c>
      <c r="I368" t="inlineStr">
        <is>
          <t>&lt;calendly_link&gt;</t>
        </is>
      </c>
      <c r="J368" s="37" t="n">
        <v>44867.82708333333</v>
      </c>
      <c r="K368" t="inlineStr">
        <is>
          <t>Yes</t>
        </is>
      </c>
    </row>
    <row r="369">
      <c r="A369" t="inlineStr">
        <is>
          <t>REQ-0368</t>
        </is>
      </c>
      <c r="B369" t="inlineStr">
        <is>
          <t>Google</t>
        </is>
      </c>
      <c r="C369" t="inlineStr">
        <is>
          <t>Sundar Pichai</t>
        </is>
      </c>
      <c r="D369" t="inlineStr">
        <is>
          <t>sundar@google.com</t>
        </is>
      </c>
      <c r="E369" t="inlineStr">
        <is>
          <t>Chetan</t>
        </is>
      </c>
      <c r="F369" t="inlineStr">
        <is>
          <t>chetan@weekday.works</t>
        </is>
      </c>
      <c r="G369" s="36" t="inlineStr">
        <is>
          <t>+91 9920264452</t>
        </is>
      </c>
      <c r="H369" t="inlineStr">
        <is>
          <t>Round1</t>
        </is>
      </c>
      <c r="I369" t="inlineStr">
        <is>
          <t>&lt;calendly_link&gt;</t>
        </is>
      </c>
      <c r="J369" s="37" t="n">
        <v>44867.82708333333</v>
      </c>
      <c r="K369" t="inlineStr">
        <is>
          <t>Yes</t>
        </is>
      </c>
    </row>
    <row r="370">
      <c r="A370" t="inlineStr">
        <is>
          <t>REQ-0369</t>
        </is>
      </c>
      <c r="B370" t="inlineStr">
        <is>
          <t>Google</t>
        </is>
      </c>
      <c r="C370" t="inlineStr">
        <is>
          <t>Sundar Pichai</t>
        </is>
      </c>
      <c r="D370" t="inlineStr">
        <is>
          <t>sundar@google.com</t>
        </is>
      </c>
      <c r="E370" t="inlineStr">
        <is>
          <t>Chetan</t>
        </is>
      </c>
      <c r="F370" t="inlineStr">
        <is>
          <t>chetan@weekday.works</t>
        </is>
      </c>
      <c r="G370" s="36" t="inlineStr">
        <is>
          <t>+91 9920264452</t>
        </is>
      </c>
      <c r="H370" t="inlineStr">
        <is>
          <t>Round1</t>
        </is>
      </c>
      <c r="I370" t="inlineStr">
        <is>
          <t>&lt;calendly_link&gt;</t>
        </is>
      </c>
      <c r="J370" s="37" t="n">
        <v>44867.82708333333</v>
      </c>
      <c r="K370" t="inlineStr">
        <is>
          <t>Yes</t>
        </is>
      </c>
    </row>
    <row r="371">
      <c r="A371" t="inlineStr">
        <is>
          <t>REQ-0370</t>
        </is>
      </c>
      <c r="B371" t="inlineStr">
        <is>
          <t>Google</t>
        </is>
      </c>
      <c r="C371" t="inlineStr">
        <is>
          <t>Sundar Pichai</t>
        </is>
      </c>
      <c r="D371" t="inlineStr">
        <is>
          <t>sundar@google.com</t>
        </is>
      </c>
      <c r="E371" t="inlineStr">
        <is>
          <t>Chetan</t>
        </is>
      </c>
      <c r="F371" t="inlineStr">
        <is>
          <t>chetan@weekday.works</t>
        </is>
      </c>
      <c r="G371" s="36" t="inlineStr">
        <is>
          <t>+91 9920264452</t>
        </is>
      </c>
      <c r="H371" t="inlineStr">
        <is>
          <t>Round1</t>
        </is>
      </c>
      <c r="I371" t="inlineStr">
        <is>
          <t>&lt;calendly_link&gt;</t>
        </is>
      </c>
      <c r="J371" s="37" t="n">
        <v>44867.82708333333</v>
      </c>
      <c r="K371" t="inlineStr">
        <is>
          <t>Yes</t>
        </is>
      </c>
    </row>
    <row r="372">
      <c r="A372" t="inlineStr">
        <is>
          <t>REQ-0371</t>
        </is>
      </c>
      <c r="B372" t="inlineStr">
        <is>
          <t>Google</t>
        </is>
      </c>
      <c r="C372" t="inlineStr">
        <is>
          <t>Sundar Pichai</t>
        </is>
      </c>
      <c r="D372" t="inlineStr">
        <is>
          <t>sundar@google.com</t>
        </is>
      </c>
      <c r="E372" t="inlineStr">
        <is>
          <t>Chetan</t>
        </is>
      </c>
      <c r="F372" t="inlineStr">
        <is>
          <t>chetan@weekday.works</t>
        </is>
      </c>
      <c r="G372" s="36" t="inlineStr">
        <is>
          <t>+91 9920264452</t>
        </is>
      </c>
      <c r="H372" t="inlineStr">
        <is>
          <t>Round1</t>
        </is>
      </c>
      <c r="I372" t="inlineStr">
        <is>
          <t>&lt;calendly_link&gt;</t>
        </is>
      </c>
      <c r="J372" s="37" t="n">
        <v>44867.82708333333</v>
      </c>
      <c r="K372" t="inlineStr">
        <is>
          <t>Yes</t>
        </is>
      </c>
    </row>
    <row r="373">
      <c r="A373" t="inlineStr">
        <is>
          <t>REQ-0372</t>
        </is>
      </c>
      <c r="B373" t="inlineStr">
        <is>
          <t>Google</t>
        </is>
      </c>
      <c r="C373" t="inlineStr">
        <is>
          <t>Sundar Pichai</t>
        </is>
      </c>
      <c r="D373" t="inlineStr">
        <is>
          <t>sundar@google.com</t>
        </is>
      </c>
      <c r="E373" t="inlineStr">
        <is>
          <t>Chetan</t>
        </is>
      </c>
      <c r="F373" t="inlineStr">
        <is>
          <t>chetan@weekday.works</t>
        </is>
      </c>
      <c r="G373" s="36" t="inlineStr">
        <is>
          <t>+91 9920264452</t>
        </is>
      </c>
      <c r="H373" t="inlineStr">
        <is>
          <t>Round1</t>
        </is>
      </c>
      <c r="I373" t="inlineStr">
        <is>
          <t>&lt;calendly_link&gt;</t>
        </is>
      </c>
      <c r="J373" s="37" t="n">
        <v>44867.82708333333</v>
      </c>
      <c r="K373" t="inlineStr">
        <is>
          <t>Yes</t>
        </is>
      </c>
    </row>
    <row r="374">
      <c r="A374" t="inlineStr">
        <is>
          <t>REQ-0373</t>
        </is>
      </c>
      <c r="B374" t="inlineStr">
        <is>
          <t>Google</t>
        </is>
      </c>
      <c r="C374" t="inlineStr">
        <is>
          <t>Sundar Pichai</t>
        </is>
      </c>
      <c r="D374" t="inlineStr">
        <is>
          <t>sundar@google.com</t>
        </is>
      </c>
      <c r="E374" t="inlineStr">
        <is>
          <t>Chetan</t>
        </is>
      </c>
      <c r="F374" t="inlineStr">
        <is>
          <t>chetan@weekday.works</t>
        </is>
      </c>
      <c r="G374" s="36" t="inlineStr">
        <is>
          <t>+91 9920264452</t>
        </is>
      </c>
      <c r="H374" t="inlineStr">
        <is>
          <t>Round1</t>
        </is>
      </c>
      <c r="I374" t="inlineStr">
        <is>
          <t>&lt;calendly_link&gt;</t>
        </is>
      </c>
      <c r="J374" s="37" t="n">
        <v>44867.82708333333</v>
      </c>
      <c r="K374" t="inlineStr">
        <is>
          <t>Yes</t>
        </is>
      </c>
    </row>
    <row r="375">
      <c r="A375" t="inlineStr">
        <is>
          <t>REQ-0374</t>
        </is>
      </c>
      <c r="B375" t="inlineStr">
        <is>
          <t>Google</t>
        </is>
      </c>
      <c r="C375" t="inlineStr">
        <is>
          <t>Sundar Pichai</t>
        </is>
      </c>
      <c r="D375" t="inlineStr">
        <is>
          <t>sundar@google.com</t>
        </is>
      </c>
      <c r="E375" t="inlineStr">
        <is>
          <t>Chetan</t>
        </is>
      </c>
      <c r="F375" t="inlineStr">
        <is>
          <t>chetan@weekday.works</t>
        </is>
      </c>
      <c r="G375" s="36" t="inlineStr">
        <is>
          <t>+91 9920264452</t>
        </is>
      </c>
      <c r="H375" t="inlineStr">
        <is>
          <t>Round1</t>
        </is>
      </c>
      <c r="I375" t="inlineStr">
        <is>
          <t>&lt;calendly_link&gt;</t>
        </is>
      </c>
      <c r="J375" s="37" t="n">
        <v>44867.82708333333</v>
      </c>
      <c r="K375" t="inlineStr">
        <is>
          <t>Yes</t>
        </is>
      </c>
    </row>
    <row r="376">
      <c r="A376" t="inlineStr">
        <is>
          <t>REQ-0375</t>
        </is>
      </c>
      <c r="B376" t="inlineStr">
        <is>
          <t>Google</t>
        </is>
      </c>
      <c r="C376" t="inlineStr">
        <is>
          <t>Sundar Pichai</t>
        </is>
      </c>
      <c r="D376" t="inlineStr">
        <is>
          <t>sundar@google.com</t>
        </is>
      </c>
      <c r="E376" t="inlineStr">
        <is>
          <t>Chetan</t>
        </is>
      </c>
      <c r="F376" t="inlineStr">
        <is>
          <t>chetan@weekday.works</t>
        </is>
      </c>
      <c r="G376" s="36" t="inlineStr">
        <is>
          <t>+91 9920264452</t>
        </is>
      </c>
      <c r="H376" t="inlineStr">
        <is>
          <t>Round1</t>
        </is>
      </c>
      <c r="I376" t="inlineStr">
        <is>
          <t>&lt;calendly_link&gt;</t>
        </is>
      </c>
      <c r="J376" s="37" t="n">
        <v>44867.82708333333</v>
      </c>
      <c r="K376" t="inlineStr">
        <is>
          <t>Yes</t>
        </is>
      </c>
    </row>
    <row r="377">
      <c r="A377" t="inlineStr">
        <is>
          <t>REQ-0376</t>
        </is>
      </c>
      <c r="B377" t="inlineStr">
        <is>
          <t>Google</t>
        </is>
      </c>
      <c r="C377" t="inlineStr">
        <is>
          <t>Sundar Pichai</t>
        </is>
      </c>
      <c r="D377" t="inlineStr">
        <is>
          <t>sundar@google.com</t>
        </is>
      </c>
      <c r="E377" t="inlineStr">
        <is>
          <t>Chetan</t>
        </is>
      </c>
      <c r="F377" t="inlineStr">
        <is>
          <t>chetan@weekday.works</t>
        </is>
      </c>
      <c r="G377" s="36" t="inlineStr">
        <is>
          <t>+91 9920264452</t>
        </is>
      </c>
      <c r="H377" t="inlineStr">
        <is>
          <t>Round1</t>
        </is>
      </c>
      <c r="I377" t="inlineStr">
        <is>
          <t>&lt;calendly_link&gt;</t>
        </is>
      </c>
      <c r="J377" s="37" t="n">
        <v>44867.82708333333</v>
      </c>
      <c r="K377" t="inlineStr">
        <is>
          <t>Yes</t>
        </is>
      </c>
    </row>
    <row r="378">
      <c r="A378" t="inlineStr">
        <is>
          <t>REQ-0377</t>
        </is>
      </c>
      <c r="B378" t="inlineStr">
        <is>
          <t>Google</t>
        </is>
      </c>
      <c r="C378" t="inlineStr">
        <is>
          <t>Sundar Pichai</t>
        </is>
      </c>
      <c r="D378" t="inlineStr">
        <is>
          <t>sundar@google.com</t>
        </is>
      </c>
      <c r="E378" t="inlineStr">
        <is>
          <t>Chetan</t>
        </is>
      </c>
      <c r="F378" t="inlineStr">
        <is>
          <t>chetan@weekday.works</t>
        </is>
      </c>
      <c r="G378" s="36" t="inlineStr">
        <is>
          <t>+91 9920264452</t>
        </is>
      </c>
      <c r="H378" t="inlineStr">
        <is>
          <t>Round1</t>
        </is>
      </c>
      <c r="I378" t="inlineStr">
        <is>
          <t>&lt;calendly_link&gt;</t>
        </is>
      </c>
      <c r="J378" s="37" t="n">
        <v>44867.82708333333</v>
      </c>
      <c r="K378" t="inlineStr">
        <is>
          <t>Yes</t>
        </is>
      </c>
    </row>
    <row r="379">
      <c r="A379" t="inlineStr">
        <is>
          <t>REQ-0378</t>
        </is>
      </c>
      <c r="B379" t="inlineStr">
        <is>
          <t>Google</t>
        </is>
      </c>
      <c r="C379" t="inlineStr">
        <is>
          <t>Sundar Pichai</t>
        </is>
      </c>
      <c r="D379" t="inlineStr">
        <is>
          <t>sundar@google.com</t>
        </is>
      </c>
      <c r="E379" t="inlineStr">
        <is>
          <t>Chetan</t>
        </is>
      </c>
      <c r="F379" t="inlineStr">
        <is>
          <t>chetan@weekday.works</t>
        </is>
      </c>
      <c r="G379" s="36" t="inlineStr">
        <is>
          <t>+91 9920264452</t>
        </is>
      </c>
      <c r="H379" t="inlineStr">
        <is>
          <t>Round1</t>
        </is>
      </c>
      <c r="I379" t="inlineStr">
        <is>
          <t>&lt;calendly_link&gt;</t>
        </is>
      </c>
      <c r="J379" s="37" t="n">
        <v>44867.82708333333</v>
      </c>
      <c r="K379" t="inlineStr">
        <is>
          <t>Yes</t>
        </is>
      </c>
    </row>
    <row r="380">
      <c r="A380" t="inlineStr">
        <is>
          <t>REQ-0379</t>
        </is>
      </c>
      <c r="B380" t="inlineStr">
        <is>
          <t>Google</t>
        </is>
      </c>
      <c r="C380" t="inlineStr">
        <is>
          <t>Sundar Pichai</t>
        </is>
      </c>
      <c r="D380" t="inlineStr">
        <is>
          <t>sundar@google.com</t>
        </is>
      </c>
      <c r="E380" t="inlineStr">
        <is>
          <t>Chetan</t>
        </is>
      </c>
      <c r="F380" t="inlineStr">
        <is>
          <t>chetan@weekday.works</t>
        </is>
      </c>
      <c r="G380" s="36" t="inlineStr">
        <is>
          <t>+91 9920264452</t>
        </is>
      </c>
      <c r="H380" t="inlineStr">
        <is>
          <t>Round1</t>
        </is>
      </c>
      <c r="I380" t="inlineStr">
        <is>
          <t>&lt;calendly_link&gt;</t>
        </is>
      </c>
      <c r="J380" s="37" t="n">
        <v>44867.82708333333</v>
      </c>
      <c r="K380" t="inlineStr">
        <is>
          <t>Yes</t>
        </is>
      </c>
    </row>
    <row r="381">
      <c r="A381" t="inlineStr">
        <is>
          <t>REQ-0380</t>
        </is>
      </c>
      <c r="B381" t="inlineStr">
        <is>
          <t>Google</t>
        </is>
      </c>
      <c r="C381" t="inlineStr">
        <is>
          <t>Sundar Pichai</t>
        </is>
      </c>
      <c r="D381" t="inlineStr">
        <is>
          <t>sundar@google.com</t>
        </is>
      </c>
      <c r="E381" t="inlineStr">
        <is>
          <t>Chetan</t>
        </is>
      </c>
      <c r="F381" t="inlineStr">
        <is>
          <t>chetan@weekday.works</t>
        </is>
      </c>
      <c r="G381" s="36" t="inlineStr">
        <is>
          <t>+91 9920264452</t>
        </is>
      </c>
      <c r="H381" t="inlineStr">
        <is>
          <t>Round1</t>
        </is>
      </c>
      <c r="I381" t="inlineStr">
        <is>
          <t>&lt;calendly_link&gt;</t>
        </is>
      </c>
      <c r="J381" s="37" t="n">
        <v>44867.82708333333</v>
      </c>
      <c r="K381" t="inlineStr">
        <is>
          <t>Yes</t>
        </is>
      </c>
    </row>
    <row r="382">
      <c r="A382" t="inlineStr">
        <is>
          <t>REQ-0381</t>
        </is>
      </c>
      <c r="B382" t="inlineStr">
        <is>
          <t>Google</t>
        </is>
      </c>
      <c r="C382" t="inlineStr">
        <is>
          <t>Sundar Pichai</t>
        </is>
      </c>
      <c r="D382" t="inlineStr">
        <is>
          <t>sundar@google.com</t>
        </is>
      </c>
      <c r="E382" t="inlineStr">
        <is>
          <t>Chetan</t>
        </is>
      </c>
      <c r="F382" t="inlineStr">
        <is>
          <t>chetan@weekday.works</t>
        </is>
      </c>
      <c r="G382" s="36" t="inlineStr">
        <is>
          <t>+91 9920264452</t>
        </is>
      </c>
      <c r="H382" t="inlineStr">
        <is>
          <t>Round1</t>
        </is>
      </c>
      <c r="I382" t="inlineStr">
        <is>
          <t>&lt;calendly_link&gt;</t>
        </is>
      </c>
      <c r="J382" s="37" t="n">
        <v>44867.82708333333</v>
      </c>
      <c r="K382" t="inlineStr">
        <is>
          <t>Yes</t>
        </is>
      </c>
    </row>
    <row r="383">
      <c r="A383" t="inlineStr">
        <is>
          <t>REQ-0382</t>
        </is>
      </c>
      <c r="B383" t="inlineStr">
        <is>
          <t>Google</t>
        </is>
      </c>
      <c r="C383" t="inlineStr">
        <is>
          <t>Sundar Pichai</t>
        </is>
      </c>
      <c r="D383" t="inlineStr">
        <is>
          <t>sundar@google.com</t>
        </is>
      </c>
      <c r="E383" t="inlineStr">
        <is>
          <t>Chetan</t>
        </is>
      </c>
      <c r="F383" t="inlineStr">
        <is>
          <t>chetan@weekday.works</t>
        </is>
      </c>
      <c r="G383" s="36" t="inlineStr">
        <is>
          <t>+91 9920264452</t>
        </is>
      </c>
      <c r="H383" t="inlineStr">
        <is>
          <t>Round1</t>
        </is>
      </c>
      <c r="I383" t="inlineStr">
        <is>
          <t>&lt;calendly_link&gt;</t>
        </is>
      </c>
      <c r="J383" s="37" t="n">
        <v>44867.82708333333</v>
      </c>
      <c r="K383" t="inlineStr">
        <is>
          <t>Yes</t>
        </is>
      </c>
    </row>
    <row r="384">
      <c r="A384" t="inlineStr">
        <is>
          <t>REQ-0383</t>
        </is>
      </c>
      <c r="B384" t="inlineStr">
        <is>
          <t>Google</t>
        </is>
      </c>
      <c r="C384" t="inlineStr">
        <is>
          <t>Sundar Pichai</t>
        </is>
      </c>
      <c r="D384" t="inlineStr">
        <is>
          <t>sundar@google.com</t>
        </is>
      </c>
      <c r="E384" t="inlineStr">
        <is>
          <t>Chetan</t>
        </is>
      </c>
      <c r="F384" t="inlineStr">
        <is>
          <t>chetan@weekday.works</t>
        </is>
      </c>
      <c r="G384" s="36" t="inlineStr">
        <is>
          <t>+91 9920264452</t>
        </is>
      </c>
      <c r="H384" t="inlineStr">
        <is>
          <t>Round1</t>
        </is>
      </c>
      <c r="I384" t="inlineStr">
        <is>
          <t>&lt;calendly_link&gt;</t>
        </is>
      </c>
      <c r="J384" s="37" t="n">
        <v>44867.82708333333</v>
      </c>
      <c r="K384" t="inlineStr">
        <is>
          <t>Yes</t>
        </is>
      </c>
    </row>
    <row r="385">
      <c r="A385" t="inlineStr">
        <is>
          <t>REQ-0384</t>
        </is>
      </c>
      <c r="B385" t="inlineStr">
        <is>
          <t>Google</t>
        </is>
      </c>
      <c r="C385" t="inlineStr">
        <is>
          <t>Sundar Pichai</t>
        </is>
      </c>
      <c r="D385" t="inlineStr">
        <is>
          <t>sundar@google.com</t>
        </is>
      </c>
      <c r="E385" t="inlineStr">
        <is>
          <t>Chetan</t>
        </is>
      </c>
      <c r="F385" t="inlineStr">
        <is>
          <t>chetan@weekday.works</t>
        </is>
      </c>
      <c r="G385" s="36" t="inlineStr">
        <is>
          <t>+91 9920264452</t>
        </is>
      </c>
      <c r="H385" t="inlineStr">
        <is>
          <t>Round1</t>
        </is>
      </c>
      <c r="I385" t="inlineStr">
        <is>
          <t>&lt;calendly_link&gt;</t>
        </is>
      </c>
      <c r="J385" s="37" t="n">
        <v>44867.82708333333</v>
      </c>
      <c r="K385" t="inlineStr">
        <is>
          <t>Yes</t>
        </is>
      </c>
    </row>
    <row r="386">
      <c r="A386" t="inlineStr">
        <is>
          <t>REQ-0385</t>
        </is>
      </c>
      <c r="B386" t="inlineStr">
        <is>
          <t>Google</t>
        </is>
      </c>
      <c r="C386" t="inlineStr">
        <is>
          <t>Sundar Pichai</t>
        </is>
      </c>
      <c r="D386" t="inlineStr">
        <is>
          <t>sundar@google.com</t>
        </is>
      </c>
      <c r="E386" t="inlineStr">
        <is>
          <t>Chetan</t>
        </is>
      </c>
      <c r="F386" t="inlineStr">
        <is>
          <t>chetan@weekday.works</t>
        </is>
      </c>
      <c r="G386" s="36" t="inlineStr">
        <is>
          <t>+91 9920264452</t>
        </is>
      </c>
      <c r="H386" t="inlineStr">
        <is>
          <t>Round1</t>
        </is>
      </c>
      <c r="I386" t="inlineStr">
        <is>
          <t>&lt;calendly_link&gt;</t>
        </is>
      </c>
      <c r="J386" s="37" t="n">
        <v>44867.82708333333</v>
      </c>
      <c r="K386" t="inlineStr">
        <is>
          <t>Yes</t>
        </is>
      </c>
    </row>
    <row r="387">
      <c r="A387" t="inlineStr">
        <is>
          <t>REQ-0386</t>
        </is>
      </c>
      <c r="B387" t="inlineStr">
        <is>
          <t>Google</t>
        </is>
      </c>
      <c r="C387" t="inlineStr">
        <is>
          <t>Sundar Pichai</t>
        </is>
      </c>
      <c r="D387" t="inlineStr">
        <is>
          <t>sundar@google.com</t>
        </is>
      </c>
      <c r="E387" t="inlineStr">
        <is>
          <t>Chetan</t>
        </is>
      </c>
      <c r="F387" t="inlineStr">
        <is>
          <t>chetan@weekday.works</t>
        </is>
      </c>
      <c r="G387" s="36" t="inlineStr">
        <is>
          <t>+91 9920264452</t>
        </is>
      </c>
      <c r="H387" t="inlineStr">
        <is>
          <t>Round1</t>
        </is>
      </c>
      <c r="I387" t="inlineStr">
        <is>
          <t>&lt;calendly_link&gt;</t>
        </is>
      </c>
      <c r="J387" s="37" t="n">
        <v>44867.82708333333</v>
      </c>
      <c r="K387" t="inlineStr">
        <is>
          <t>Yes</t>
        </is>
      </c>
    </row>
    <row r="388">
      <c r="A388" t="inlineStr">
        <is>
          <t>REQ-0387</t>
        </is>
      </c>
      <c r="B388" t="inlineStr">
        <is>
          <t>Google</t>
        </is>
      </c>
      <c r="C388" t="inlineStr">
        <is>
          <t>Sundar Pichai</t>
        </is>
      </c>
      <c r="D388" t="inlineStr">
        <is>
          <t>sundar@google.com</t>
        </is>
      </c>
      <c r="E388" t="inlineStr">
        <is>
          <t>Chetan</t>
        </is>
      </c>
      <c r="F388" t="inlineStr">
        <is>
          <t>chetan@weekday.works</t>
        </is>
      </c>
      <c r="G388" s="36" t="inlineStr">
        <is>
          <t>+91 9920264452</t>
        </is>
      </c>
      <c r="H388" t="inlineStr">
        <is>
          <t>Round1</t>
        </is>
      </c>
      <c r="I388" t="inlineStr">
        <is>
          <t>&lt;calendly_link&gt;</t>
        </is>
      </c>
      <c r="J388" s="37" t="n">
        <v>44867.82708333333</v>
      </c>
      <c r="K388" t="inlineStr">
        <is>
          <t>Yes</t>
        </is>
      </c>
    </row>
    <row r="389">
      <c r="A389" t="inlineStr">
        <is>
          <t>REQ-0388</t>
        </is>
      </c>
      <c r="B389" t="inlineStr">
        <is>
          <t>Google</t>
        </is>
      </c>
      <c r="C389" t="inlineStr">
        <is>
          <t>Sundar Pichai</t>
        </is>
      </c>
      <c r="D389" t="inlineStr">
        <is>
          <t>sundar@google.com</t>
        </is>
      </c>
      <c r="E389" t="inlineStr">
        <is>
          <t>Chetan</t>
        </is>
      </c>
      <c r="F389" t="inlineStr">
        <is>
          <t>chetan@weekday.works</t>
        </is>
      </c>
      <c r="G389" s="36" t="inlineStr">
        <is>
          <t>+91 9920264452</t>
        </is>
      </c>
      <c r="H389" t="inlineStr">
        <is>
          <t>Round1</t>
        </is>
      </c>
      <c r="I389" t="inlineStr">
        <is>
          <t>&lt;calendly_link&gt;</t>
        </is>
      </c>
      <c r="J389" s="37" t="n">
        <v>44867.82708333333</v>
      </c>
      <c r="K389" t="inlineStr">
        <is>
          <t>Yes</t>
        </is>
      </c>
    </row>
    <row r="390">
      <c r="A390" t="inlineStr">
        <is>
          <t>REQ-0389</t>
        </is>
      </c>
      <c r="B390" t="inlineStr">
        <is>
          <t>Google</t>
        </is>
      </c>
      <c r="C390" t="inlineStr">
        <is>
          <t>Sundar Pichai</t>
        </is>
      </c>
      <c r="D390" t="inlineStr">
        <is>
          <t>sundar@google.com</t>
        </is>
      </c>
      <c r="E390" t="inlineStr">
        <is>
          <t>Chetan</t>
        </is>
      </c>
      <c r="F390" t="inlineStr">
        <is>
          <t>chetan@weekday.works</t>
        </is>
      </c>
      <c r="G390" s="36" t="inlineStr">
        <is>
          <t>+91 9920264452</t>
        </is>
      </c>
      <c r="H390" t="inlineStr">
        <is>
          <t>Round1</t>
        </is>
      </c>
      <c r="I390" t="inlineStr">
        <is>
          <t>&lt;calendly_link&gt;</t>
        </is>
      </c>
      <c r="J390" s="37" t="n">
        <v>44867.82708333333</v>
      </c>
      <c r="K390" t="inlineStr">
        <is>
          <t>Yes</t>
        </is>
      </c>
    </row>
    <row r="391">
      <c r="A391" t="inlineStr">
        <is>
          <t>REQ-0390</t>
        </is>
      </c>
      <c r="B391" t="inlineStr">
        <is>
          <t>Google</t>
        </is>
      </c>
      <c r="C391" t="inlineStr">
        <is>
          <t>Sundar Pichai</t>
        </is>
      </c>
      <c r="D391" t="inlineStr">
        <is>
          <t>sundar@google.com</t>
        </is>
      </c>
      <c r="E391" t="inlineStr">
        <is>
          <t>Chetan</t>
        </is>
      </c>
      <c r="F391" t="inlineStr">
        <is>
          <t>chetan@weekday.works</t>
        </is>
      </c>
      <c r="G391" s="36" t="inlineStr">
        <is>
          <t>+91 9920264452</t>
        </is>
      </c>
      <c r="H391" t="inlineStr">
        <is>
          <t>Round1</t>
        </is>
      </c>
      <c r="I391" t="inlineStr">
        <is>
          <t>&lt;calendly_link&gt;</t>
        </is>
      </c>
      <c r="J391" s="37" t="n">
        <v>44867.82708333333</v>
      </c>
      <c r="K391" t="inlineStr">
        <is>
          <t>Yes</t>
        </is>
      </c>
    </row>
    <row r="392">
      <c r="A392" t="inlineStr">
        <is>
          <t>REQ-0391</t>
        </is>
      </c>
      <c r="B392" t="inlineStr">
        <is>
          <t>Google</t>
        </is>
      </c>
      <c r="C392" t="inlineStr">
        <is>
          <t>Sundar Pichai</t>
        </is>
      </c>
      <c r="D392" t="inlineStr">
        <is>
          <t>sundar@google.com</t>
        </is>
      </c>
      <c r="E392" t="inlineStr">
        <is>
          <t>Chetan</t>
        </is>
      </c>
      <c r="F392" t="inlineStr">
        <is>
          <t>chetan@weekday.works</t>
        </is>
      </c>
      <c r="G392" s="36" t="inlineStr">
        <is>
          <t>+91 9920264452</t>
        </is>
      </c>
      <c r="H392" t="inlineStr">
        <is>
          <t>Round1</t>
        </is>
      </c>
      <c r="I392" t="inlineStr">
        <is>
          <t>&lt;calendly_link&gt;</t>
        </is>
      </c>
      <c r="J392" s="37" t="n">
        <v>44867.82708333333</v>
      </c>
      <c r="K392" t="inlineStr">
        <is>
          <t>Yes</t>
        </is>
      </c>
    </row>
    <row r="393">
      <c r="A393" t="inlineStr">
        <is>
          <t>REQ-0392</t>
        </is>
      </c>
      <c r="B393" t="inlineStr">
        <is>
          <t>Google</t>
        </is>
      </c>
      <c r="C393" t="inlineStr">
        <is>
          <t>Sundar Pichai</t>
        </is>
      </c>
      <c r="D393" t="inlineStr">
        <is>
          <t>sundar@google.com</t>
        </is>
      </c>
      <c r="E393" t="inlineStr">
        <is>
          <t>Chetan</t>
        </is>
      </c>
      <c r="F393" t="inlineStr">
        <is>
          <t>chetan@weekday.works</t>
        </is>
      </c>
      <c r="G393" s="36" t="inlineStr">
        <is>
          <t>+91 9920264452</t>
        </is>
      </c>
      <c r="H393" t="inlineStr">
        <is>
          <t>Round1</t>
        </is>
      </c>
      <c r="I393" t="inlineStr">
        <is>
          <t>&lt;calendly_link&gt;</t>
        </is>
      </c>
      <c r="J393" s="37" t="n">
        <v>44867.82708333333</v>
      </c>
      <c r="K393" t="inlineStr">
        <is>
          <t>Yes</t>
        </is>
      </c>
    </row>
    <row r="394">
      <c r="A394" t="inlineStr">
        <is>
          <t>REQ-0393</t>
        </is>
      </c>
      <c r="B394" t="inlineStr">
        <is>
          <t>Google</t>
        </is>
      </c>
      <c r="C394" t="inlineStr">
        <is>
          <t>Sundar Pichai</t>
        </is>
      </c>
      <c r="D394" t="inlineStr">
        <is>
          <t>sundar@google.com</t>
        </is>
      </c>
      <c r="E394" t="inlineStr">
        <is>
          <t>Chetan</t>
        </is>
      </c>
      <c r="F394" t="inlineStr">
        <is>
          <t>chetan@weekday.works</t>
        </is>
      </c>
      <c r="G394" s="36" t="inlineStr">
        <is>
          <t>+91 9920264452</t>
        </is>
      </c>
      <c r="H394" t="inlineStr">
        <is>
          <t>Round1</t>
        </is>
      </c>
      <c r="I394" t="inlineStr">
        <is>
          <t>&lt;calendly_link&gt;</t>
        </is>
      </c>
      <c r="J394" s="37" t="n">
        <v>44867.82708333333</v>
      </c>
      <c r="K394" t="inlineStr">
        <is>
          <t>Yes</t>
        </is>
      </c>
    </row>
    <row r="395">
      <c r="A395" t="inlineStr">
        <is>
          <t>REQ-0394</t>
        </is>
      </c>
      <c r="B395" t="inlineStr">
        <is>
          <t>Google</t>
        </is>
      </c>
      <c r="C395" t="inlineStr">
        <is>
          <t>Sundar Pichai</t>
        </is>
      </c>
      <c r="D395" t="inlineStr">
        <is>
          <t>sundar@google.com</t>
        </is>
      </c>
      <c r="E395" t="inlineStr">
        <is>
          <t>Chetan</t>
        </is>
      </c>
      <c r="F395" t="inlineStr">
        <is>
          <t>chetan@weekday.works</t>
        </is>
      </c>
      <c r="G395" s="36" t="inlineStr">
        <is>
          <t>+91 9920264452</t>
        </is>
      </c>
      <c r="H395" t="inlineStr">
        <is>
          <t>Round1</t>
        </is>
      </c>
      <c r="I395" t="inlineStr">
        <is>
          <t>&lt;calendly_link&gt;</t>
        </is>
      </c>
      <c r="J395" s="37" t="n">
        <v>44867.82708333333</v>
      </c>
      <c r="K395" t="inlineStr">
        <is>
          <t>Yes</t>
        </is>
      </c>
    </row>
    <row r="396">
      <c r="A396" t="inlineStr">
        <is>
          <t>REQ-0395</t>
        </is>
      </c>
      <c r="B396" t="inlineStr">
        <is>
          <t>Google</t>
        </is>
      </c>
      <c r="C396" t="inlineStr">
        <is>
          <t>Sundar Pichai</t>
        </is>
      </c>
      <c r="D396" t="inlineStr">
        <is>
          <t>sundar@google.com</t>
        </is>
      </c>
      <c r="E396" t="inlineStr">
        <is>
          <t>Chetan</t>
        </is>
      </c>
      <c r="F396" t="inlineStr">
        <is>
          <t>chetan@weekday.works</t>
        </is>
      </c>
      <c r="G396" s="36" t="inlineStr">
        <is>
          <t>+91 9920264452</t>
        </is>
      </c>
      <c r="H396" t="inlineStr">
        <is>
          <t>Round1</t>
        </is>
      </c>
      <c r="I396" t="inlineStr">
        <is>
          <t>&lt;calendly_link&gt;</t>
        </is>
      </c>
      <c r="J396" s="37" t="n">
        <v>44867.82708333333</v>
      </c>
      <c r="K396" t="inlineStr">
        <is>
          <t>Yes</t>
        </is>
      </c>
    </row>
    <row r="397">
      <c r="A397" t="inlineStr">
        <is>
          <t>REQ-0396</t>
        </is>
      </c>
      <c r="B397" t="inlineStr">
        <is>
          <t>Google</t>
        </is>
      </c>
      <c r="C397" t="inlineStr">
        <is>
          <t>Sundar Pichai</t>
        </is>
      </c>
      <c r="D397" t="inlineStr">
        <is>
          <t>sundar@google.com</t>
        </is>
      </c>
      <c r="E397" t="inlineStr">
        <is>
          <t>Chetan</t>
        </is>
      </c>
      <c r="F397" t="inlineStr">
        <is>
          <t>chetan@weekday.works</t>
        </is>
      </c>
      <c r="G397" s="36" t="inlineStr">
        <is>
          <t>+91 9920264452</t>
        </is>
      </c>
      <c r="H397" t="inlineStr">
        <is>
          <t>Round1</t>
        </is>
      </c>
      <c r="I397" t="inlineStr">
        <is>
          <t>&lt;calendly_link&gt;</t>
        </is>
      </c>
      <c r="J397" s="37" t="n">
        <v>44867.82708333333</v>
      </c>
      <c r="K397" t="inlineStr">
        <is>
          <t>Yes</t>
        </is>
      </c>
    </row>
    <row r="398">
      <c r="A398" t="inlineStr">
        <is>
          <t>REQ-0397</t>
        </is>
      </c>
      <c r="B398" t="inlineStr">
        <is>
          <t>Google</t>
        </is>
      </c>
      <c r="C398" t="inlineStr">
        <is>
          <t>Sundar Pichai</t>
        </is>
      </c>
      <c r="D398" t="inlineStr">
        <is>
          <t>sundar@google.com</t>
        </is>
      </c>
      <c r="E398" t="inlineStr">
        <is>
          <t>Chetan</t>
        </is>
      </c>
      <c r="F398" t="inlineStr">
        <is>
          <t>chetan@weekday.works</t>
        </is>
      </c>
      <c r="G398" s="36" t="inlineStr">
        <is>
          <t>+91 9920264452</t>
        </is>
      </c>
      <c r="H398" t="inlineStr">
        <is>
          <t>Round1</t>
        </is>
      </c>
      <c r="I398" t="inlineStr">
        <is>
          <t>&lt;calendly_link&gt;</t>
        </is>
      </c>
      <c r="J398" s="37" t="n">
        <v>44867.82708333333</v>
      </c>
      <c r="K398" t="inlineStr">
        <is>
          <t>Yes</t>
        </is>
      </c>
    </row>
    <row r="399">
      <c r="A399" t="inlineStr">
        <is>
          <t>REQ-0398</t>
        </is>
      </c>
      <c r="B399" t="inlineStr">
        <is>
          <t>Google</t>
        </is>
      </c>
      <c r="C399" t="inlineStr">
        <is>
          <t>Sundar Pichai</t>
        </is>
      </c>
      <c r="D399" t="inlineStr">
        <is>
          <t>sundar@google.com</t>
        </is>
      </c>
      <c r="E399" t="inlineStr">
        <is>
          <t>Chetan</t>
        </is>
      </c>
      <c r="F399" t="inlineStr">
        <is>
          <t>chetan@weekday.works</t>
        </is>
      </c>
      <c r="G399" s="36" t="inlineStr">
        <is>
          <t>+91 9920264452</t>
        </is>
      </c>
      <c r="H399" t="inlineStr">
        <is>
          <t>Round1</t>
        </is>
      </c>
      <c r="I399" t="inlineStr">
        <is>
          <t>&lt;calendly_link&gt;</t>
        </is>
      </c>
      <c r="J399" s="37" t="n">
        <v>44867.82708333333</v>
      </c>
      <c r="K399" t="inlineStr">
        <is>
          <t>Yes</t>
        </is>
      </c>
    </row>
    <row r="400">
      <c r="A400" t="inlineStr">
        <is>
          <t>REQ-0399</t>
        </is>
      </c>
      <c r="B400" t="inlineStr">
        <is>
          <t>Google</t>
        </is>
      </c>
      <c r="C400" t="inlineStr">
        <is>
          <t>Sundar Pichai</t>
        </is>
      </c>
      <c r="D400" t="inlineStr">
        <is>
          <t>sundar@google.com</t>
        </is>
      </c>
      <c r="E400" t="inlineStr">
        <is>
          <t>Chetan</t>
        </is>
      </c>
      <c r="F400" t="inlineStr">
        <is>
          <t>chetan@weekday.works</t>
        </is>
      </c>
      <c r="G400" s="36" t="inlineStr">
        <is>
          <t>+91 9920264452</t>
        </is>
      </c>
      <c r="H400" t="inlineStr">
        <is>
          <t>Round1</t>
        </is>
      </c>
      <c r="I400" t="inlineStr">
        <is>
          <t>&lt;calendly_link&gt;</t>
        </is>
      </c>
      <c r="J400" s="37" t="n">
        <v>44867.82708333333</v>
      </c>
      <c r="K400" t="inlineStr">
        <is>
          <t>Yes</t>
        </is>
      </c>
    </row>
    <row r="401">
      <c r="A401" t="inlineStr">
        <is>
          <t>REQ-0400</t>
        </is>
      </c>
      <c r="B401" t="inlineStr">
        <is>
          <t>Google</t>
        </is>
      </c>
      <c r="C401" t="inlineStr">
        <is>
          <t>Sundar Pichai</t>
        </is>
      </c>
      <c r="D401" t="inlineStr">
        <is>
          <t>sundar@google.com</t>
        </is>
      </c>
      <c r="E401" t="inlineStr">
        <is>
          <t>Chetan</t>
        </is>
      </c>
      <c r="F401" t="inlineStr">
        <is>
          <t>chetan@weekday.works</t>
        </is>
      </c>
      <c r="G401" s="36" t="inlineStr">
        <is>
          <t>+91 9920264452</t>
        </is>
      </c>
      <c r="H401" t="inlineStr">
        <is>
          <t>Round1</t>
        </is>
      </c>
      <c r="I401" t="inlineStr">
        <is>
          <t>&lt;calendly_link&gt;</t>
        </is>
      </c>
      <c r="J401" s="37" t="n">
        <v>44867.82708333333</v>
      </c>
      <c r="K401" t="inlineStr">
        <is>
          <t>Yes</t>
        </is>
      </c>
    </row>
    <row r="402">
      <c r="A402" t="inlineStr">
        <is>
          <t>REQ-0401</t>
        </is>
      </c>
      <c r="B402" t="inlineStr">
        <is>
          <t>Google</t>
        </is>
      </c>
      <c r="C402" t="inlineStr">
        <is>
          <t>Sundar Pichai</t>
        </is>
      </c>
      <c r="D402" t="inlineStr">
        <is>
          <t>sundar@google.com</t>
        </is>
      </c>
      <c r="E402" t="inlineStr">
        <is>
          <t>Chetan</t>
        </is>
      </c>
      <c r="F402" t="inlineStr">
        <is>
          <t>chetan@weekday.works</t>
        </is>
      </c>
      <c r="G402" s="36" t="inlineStr">
        <is>
          <t>+91 9920264452</t>
        </is>
      </c>
      <c r="H402" t="inlineStr">
        <is>
          <t>Round1</t>
        </is>
      </c>
      <c r="I402" t="inlineStr">
        <is>
          <t>&lt;calendly_link&gt;</t>
        </is>
      </c>
      <c r="J402" s="37" t="n">
        <v>44867.82708333333</v>
      </c>
      <c r="K402" t="inlineStr">
        <is>
          <t>Yes</t>
        </is>
      </c>
    </row>
    <row r="403">
      <c r="A403" t="inlineStr">
        <is>
          <t>REQ-0402</t>
        </is>
      </c>
      <c r="B403" t="inlineStr">
        <is>
          <t>Google</t>
        </is>
      </c>
      <c r="C403" t="inlineStr">
        <is>
          <t>Sundar Pichai</t>
        </is>
      </c>
      <c r="D403" t="inlineStr">
        <is>
          <t>sundar@google.com</t>
        </is>
      </c>
      <c r="E403" t="inlineStr">
        <is>
          <t>Chetan</t>
        </is>
      </c>
      <c r="F403" t="inlineStr">
        <is>
          <t>chetan@weekday.works</t>
        </is>
      </c>
      <c r="G403" s="36" t="inlineStr">
        <is>
          <t>+91 9920264452</t>
        </is>
      </c>
      <c r="H403" t="inlineStr">
        <is>
          <t>Round1</t>
        </is>
      </c>
      <c r="I403" t="inlineStr">
        <is>
          <t>&lt;calendly_link&gt;</t>
        </is>
      </c>
      <c r="J403" s="37" t="n">
        <v>44867.82708333333</v>
      </c>
      <c r="K403" t="inlineStr">
        <is>
          <t>Yes</t>
        </is>
      </c>
    </row>
    <row r="404">
      <c r="A404" t="inlineStr">
        <is>
          <t>REQ-0403</t>
        </is>
      </c>
      <c r="B404" t="inlineStr">
        <is>
          <t>Google</t>
        </is>
      </c>
      <c r="C404" t="inlineStr">
        <is>
          <t>Sundar Pichai</t>
        </is>
      </c>
      <c r="D404" t="inlineStr">
        <is>
          <t>sundar@google.com</t>
        </is>
      </c>
      <c r="E404" t="inlineStr">
        <is>
          <t>Chetan</t>
        </is>
      </c>
      <c r="F404" t="inlineStr">
        <is>
          <t>chetan@weekday.works</t>
        </is>
      </c>
      <c r="G404" s="36" t="inlineStr">
        <is>
          <t>+91 9920264452</t>
        </is>
      </c>
      <c r="H404" t="inlineStr">
        <is>
          <t>Round1</t>
        </is>
      </c>
      <c r="I404" t="inlineStr">
        <is>
          <t>&lt;calendly_link&gt;</t>
        </is>
      </c>
      <c r="J404" s="37" t="n">
        <v>44867.82708333333</v>
      </c>
      <c r="K404" t="inlineStr">
        <is>
          <t>Yes</t>
        </is>
      </c>
    </row>
    <row r="405">
      <c r="A405" t="inlineStr">
        <is>
          <t>REQ-0404</t>
        </is>
      </c>
      <c r="B405" t="inlineStr">
        <is>
          <t>Google</t>
        </is>
      </c>
      <c r="C405" t="inlineStr">
        <is>
          <t>Sundar Pichai</t>
        </is>
      </c>
      <c r="D405" t="inlineStr">
        <is>
          <t>sundar@google.com</t>
        </is>
      </c>
      <c r="E405" t="inlineStr">
        <is>
          <t>Chetan</t>
        </is>
      </c>
      <c r="F405" t="inlineStr">
        <is>
          <t>chetan@weekday.works</t>
        </is>
      </c>
      <c r="G405" s="36" t="inlineStr">
        <is>
          <t>+91 9920264452</t>
        </is>
      </c>
      <c r="H405" t="inlineStr">
        <is>
          <t>Round1</t>
        </is>
      </c>
      <c r="I405" t="inlineStr">
        <is>
          <t>&lt;calendly_link&gt;</t>
        </is>
      </c>
      <c r="J405" s="37" t="n">
        <v>44867.82708333333</v>
      </c>
      <c r="K405" t="inlineStr">
        <is>
          <t>Yes</t>
        </is>
      </c>
    </row>
    <row r="406">
      <c r="A406" t="inlineStr">
        <is>
          <t>REQ-0405</t>
        </is>
      </c>
      <c r="B406" t="inlineStr">
        <is>
          <t>Google</t>
        </is>
      </c>
      <c r="C406" t="inlineStr">
        <is>
          <t>Sundar Pichai</t>
        </is>
      </c>
      <c r="D406" t="inlineStr">
        <is>
          <t>sundar@google.com</t>
        </is>
      </c>
      <c r="E406" t="inlineStr">
        <is>
          <t>Chetan</t>
        </is>
      </c>
      <c r="F406" t="inlineStr">
        <is>
          <t>chetan@weekday.works</t>
        </is>
      </c>
      <c r="G406" s="36" t="inlineStr">
        <is>
          <t>+91 9920264452</t>
        </is>
      </c>
      <c r="H406" t="inlineStr">
        <is>
          <t>Round1</t>
        </is>
      </c>
      <c r="I406" t="inlineStr">
        <is>
          <t>&lt;calendly_link&gt;</t>
        </is>
      </c>
      <c r="J406" s="37" t="n">
        <v>44867.82708333333</v>
      </c>
      <c r="K406" t="inlineStr">
        <is>
          <t>Yes</t>
        </is>
      </c>
    </row>
    <row r="407">
      <c r="A407" t="inlineStr">
        <is>
          <t>REQ-0406</t>
        </is>
      </c>
      <c r="B407" t="inlineStr">
        <is>
          <t>Google</t>
        </is>
      </c>
      <c r="C407" t="inlineStr">
        <is>
          <t>Sundar Pichai</t>
        </is>
      </c>
      <c r="D407" t="inlineStr">
        <is>
          <t>sundar@google.com</t>
        </is>
      </c>
      <c r="E407" t="inlineStr">
        <is>
          <t>Chetan</t>
        </is>
      </c>
      <c r="F407" t="inlineStr">
        <is>
          <t>chetan@weekday.works</t>
        </is>
      </c>
      <c r="G407" s="36" t="inlineStr">
        <is>
          <t>+91 9920264452</t>
        </is>
      </c>
      <c r="H407" t="inlineStr">
        <is>
          <t>Round1</t>
        </is>
      </c>
      <c r="I407" t="inlineStr">
        <is>
          <t>&lt;calendly_link&gt;</t>
        </is>
      </c>
      <c r="J407" s="37" t="n">
        <v>44867.82708333333</v>
      </c>
      <c r="K407" t="inlineStr">
        <is>
          <t>Yes</t>
        </is>
      </c>
    </row>
    <row r="408">
      <c r="A408" t="inlineStr">
        <is>
          <t>REQ-0407</t>
        </is>
      </c>
      <c r="B408" t="inlineStr">
        <is>
          <t>Google</t>
        </is>
      </c>
      <c r="C408" t="inlineStr">
        <is>
          <t>Sundar Pichai</t>
        </is>
      </c>
      <c r="D408" t="inlineStr">
        <is>
          <t>sundar@google.com</t>
        </is>
      </c>
      <c r="E408" t="inlineStr">
        <is>
          <t>Chetan</t>
        </is>
      </c>
      <c r="F408" t="inlineStr">
        <is>
          <t>chetan@weekday.works</t>
        </is>
      </c>
      <c r="G408" s="36" t="inlineStr">
        <is>
          <t>+91 9920264452</t>
        </is>
      </c>
      <c r="H408" t="inlineStr">
        <is>
          <t>Round1</t>
        </is>
      </c>
      <c r="I408" t="inlineStr">
        <is>
          <t>&lt;calendly_link&gt;</t>
        </is>
      </c>
      <c r="J408" s="37" t="n">
        <v>44867.82708333333</v>
      </c>
      <c r="K408" t="inlineStr">
        <is>
          <t>Yes</t>
        </is>
      </c>
    </row>
    <row r="409">
      <c r="A409" t="inlineStr">
        <is>
          <t>REQ-0408</t>
        </is>
      </c>
      <c r="B409" t="inlineStr">
        <is>
          <t>Google</t>
        </is>
      </c>
      <c r="C409" t="inlineStr">
        <is>
          <t>Sundar Pichai</t>
        </is>
      </c>
      <c r="D409" t="inlineStr">
        <is>
          <t>sundar@google.com</t>
        </is>
      </c>
      <c r="E409" t="inlineStr">
        <is>
          <t>Chetan</t>
        </is>
      </c>
      <c r="F409" t="inlineStr">
        <is>
          <t>chetan@weekday.works</t>
        </is>
      </c>
      <c r="G409" s="36" t="inlineStr">
        <is>
          <t>+91 9920264452</t>
        </is>
      </c>
      <c r="H409" t="inlineStr">
        <is>
          <t>Round1</t>
        </is>
      </c>
      <c r="I409" t="inlineStr">
        <is>
          <t>&lt;calendly_link&gt;</t>
        </is>
      </c>
      <c r="J409" s="37" t="n">
        <v>44867.82708333333</v>
      </c>
      <c r="K409" t="inlineStr">
        <is>
          <t>Yes</t>
        </is>
      </c>
    </row>
    <row r="410">
      <c r="A410" t="inlineStr">
        <is>
          <t>REQ-0409</t>
        </is>
      </c>
      <c r="B410" t="inlineStr">
        <is>
          <t>Google</t>
        </is>
      </c>
      <c r="C410" t="inlineStr">
        <is>
          <t>Sundar Pichai</t>
        </is>
      </c>
      <c r="D410" t="inlineStr">
        <is>
          <t>sundar@google.com</t>
        </is>
      </c>
      <c r="E410" t="inlineStr">
        <is>
          <t>Chetan</t>
        </is>
      </c>
      <c r="F410" t="inlineStr">
        <is>
          <t>chetan@weekday.works</t>
        </is>
      </c>
      <c r="G410" s="36" t="inlineStr">
        <is>
          <t>+91 9920264452</t>
        </is>
      </c>
      <c r="H410" t="inlineStr">
        <is>
          <t>Round1</t>
        </is>
      </c>
      <c r="I410" t="inlineStr">
        <is>
          <t>&lt;calendly_link&gt;</t>
        </is>
      </c>
      <c r="J410" s="37" t="n">
        <v>44867.82708333333</v>
      </c>
      <c r="K410" t="inlineStr">
        <is>
          <t>Yes</t>
        </is>
      </c>
    </row>
    <row r="411">
      <c r="A411" t="inlineStr">
        <is>
          <t>REQ-0410</t>
        </is>
      </c>
      <c r="B411" t="inlineStr">
        <is>
          <t>Google</t>
        </is>
      </c>
      <c r="C411" t="inlineStr">
        <is>
          <t>Sundar Pichai</t>
        </is>
      </c>
      <c r="D411" t="inlineStr">
        <is>
          <t>sundar@google.com</t>
        </is>
      </c>
      <c r="E411" t="inlineStr">
        <is>
          <t>Chetan</t>
        </is>
      </c>
      <c r="F411" t="inlineStr">
        <is>
          <t>chetan@weekday.works</t>
        </is>
      </c>
      <c r="G411" s="36" t="inlineStr">
        <is>
          <t>+91 9920264452</t>
        </is>
      </c>
      <c r="H411" t="inlineStr">
        <is>
          <t>Round1</t>
        </is>
      </c>
      <c r="I411" t="inlineStr">
        <is>
          <t>&lt;calendly_link&gt;</t>
        </is>
      </c>
      <c r="J411" s="37" t="n">
        <v>44867.82708333333</v>
      </c>
      <c r="K411" t="inlineStr">
        <is>
          <t>Yes</t>
        </is>
      </c>
    </row>
    <row r="412">
      <c r="A412" t="inlineStr">
        <is>
          <t>REQ-0411</t>
        </is>
      </c>
      <c r="B412" t="inlineStr">
        <is>
          <t>Google</t>
        </is>
      </c>
      <c r="C412" t="inlineStr">
        <is>
          <t>Sundar Pichai</t>
        </is>
      </c>
      <c r="D412" t="inlineStr">
        <is>
          <t>sundar@google.com</t>
        </is>
      </c>
      <c r="E412" t="inlineStr">
        <is>
          <t>Chetan</t>
        </is>
      </c>
      <c r="F412" t="inlineStr">
        <is>
          <t>chetan@weekday.works</t>
        </is>
      </c>
      <c r="G412" s="36" t="inlineStr">
        <is>
          <t>+91 9920264452</t>
        </is>
      </c>
      <c r="H412" t="inlineStr">
        <is>
          <t>Round1</t>
        </is>
      </c>
      <c r="I412" t="inlineStr">
        <is>
          <t>&lt;calendly_link&gt;</t>
        </is>
      </c>
      <c r="J412" s="37" t="n">
        <v>44867.82708333333</v>
      </c>
      <c r="K412" t="inlineStr">
        <is>
          <t>Yes</t>
        </is>
      </c>
    </row>
    <row r="413">
      <c r="A413" t="inlineStr">
        <is>
          <t>REQ-0412</t>
        </is>
      </c>
      <c r="B413" t="inlineStr">
        <is>
          <t>Google</t>
        </is>
      </c>
      <c r="C413" t="inlineStr">
        <is>
          <t>Sundar Pichai</t>
        </is>
      </c>
      <c r="D413" t="inlineStr">
        <is>
          <t>sundar@google.com</t>
        </is>
      </c>
      <c r="E413" t="inlineStr">
        <is>
          <t>Chetan</t>
        </is>
      </c>
      <c r="F413" t="inlineStr">
        <is>
          <t>chetan@weekday.works</t>
        </is>
      </c>
      <c r="G413" s="36" t="inlineStr">
        <is>
          <t>+91 9920264452</t>
        </is>
      </c>
      <c r="H413" t="inlineStr">
        <is>
          <t>Round1</t>
        </is>
      </c>
      <c r="I413" t="inlineStr">
        <is>
          <t>&lt;calendly_link&gt;</t>
        </is>
      </c>
      <c r="J413" s="37" t="n">
        <v>44867.82708333333</v>
      </c>
      <c r="K413" t="inlineStr">
        <is>
          <t>Yes</t>
        </is>
      </c>
    </row>
    <row r="414">
      <c r="A414" t="inlineStr">
        <is>
          <t>REQ-0413</t>
        </is>
      </c>
      <c r="B414" t="inlineStr">
        <is>
          <t>Google</t>
        </is>
      </c>
      <c r="C414" t="inlineStr">
        <is>
          <t>Sundar Pichai</t>
        </is>
      </c>
      <c r="D414" t="inlineStr">
        <is>
          <t>sundar@google.com</t>
        </is>
      </c>
      <c r="E414" t="inlineStr">
        <is>
          <t>Chetan</t>
        </is>
      </c>
      <c r="F414" t="inlineStr">
        <is>
          <t>chetan@weekday.works</t>
        </is>
      </c>
      <c r="G414" s="36" t="inlineStr">
        <is>
          <t>+91 9920264452</t>
        </is>
      </c>
      <c r="H414" t="inlineStr">
        <is>
          <t>Round1</t>
        </is>
      </c>
      <c r="I414" t="inlineStr">
        <is>
          <t>&lt;calendly_link&gt;</t>
        </is>
      </c>
      <c r="J414" s="37" t="n">
        <v>44867.82708333333</v>
      </c>
      <c r="K414" t="inlineStr">
        <is>
          <t>Yes</t>
        </is>
      </c>
    </row>
    <row r="415">
      <c r="A415" t="inlineStr">
        <is>
          <t>REQ-0414</t>
        </is>
      </c>
      <c r="B415" t="inlineStr">
        <is>
          <t>Google</t>
        </is>
      </c>
      <c r="C415" t="inlineStr">
        <is>
          <t>Sundar Pichai</t>
        </is>
      </c>
      <c r="D415" t="inlineStr">
        <is>
          <t>sundar@google.com</t>
        </is>
      </c>
      <c r="E415" t="inlineStr">
        <is>
          <t>Chetan</t>
        </is>
      </c>
      <c r="F415" t="inlineStr">
        <is>
          <t>chetan@weekday.works</t>
        </is>
      </c>
      <c r="G415" s="36" t="inlineStr">
        <is>
          <t>+91 9920264452</t>
        </is>
      </c>
      <c r="H415" t="inlineStr">
        <is>
          <t>Round1</t>
        </is>
      </c>
      <c r="I415" t="inlineStr">
        <is>
          <t>&lt;calendly_link&gt;</t>
        </is>
      </c>
      <c r="J415" s="37" t="n">
        <v>44867.82708333333</v>
      </c>
      <c r="K415" t="inlineStr">
        <is>
          <t>Yes</t>
        </is>
      </c>
    </row>
    <row r="416">
      <c r="A416" t="inlineStr">
        <is>
          <t>REQ-0415</t>
        </is>
      </c>
      <c r="B416" t="inlineStr">
        <is>
          <t>Google</t>
        </is>
      </c>
      <c r="C416" t="inlineStr">
        <is>
          <t>Sundar Pichai</t>
        </is>
      </c>
      <c r="D416" t="inlineStr">
        <is>
          <t>sundar@google.com</t>
        </is>
      </c>
      <c r="E416" t="inlineStr">
        <is>
          <t>Chetan</t>
        </is>
      </c>
      <c r="F416" t="inlineStr">
        <is>
          <t>chetan@weekday.works</t>
        </is>
      </c>
      <c r="G416" s="36" t="inlineStr">
        <is>
          <t>+91 9920264452</t>
        </is>
      </c>
      <c r="H416" t="inlineStr">
        <is>
          <t>Round1</t>
        </is>
      </c>
      <c r="I416" t="inlineStr">
        <is>
          <t>&lt;calendly_link&gt;</t>
        </is>
      </c>
      <c r="J416" s="37" t="n">
        <v>44867.82708333333</v>
      </c>
      <c r="K416" t="inlineStr">
        <is>
          <t>Yes</t>
        </is>
      </c>
    </row>
    <row r="417">
      <c r="A417" t="inlineStr">
        <is>
          <t>REQ-0416</t>
        </is>
      </c>
      <c r="B417" t="inlineStr">
        <is>
          <t>Google</t>
        </is>
      </c>
      <c r="C417" t="inlineStr">
        <is>
          <t>Sundar Pichai</t>
        </is>
      </c>
      <c r="D417" t="inlineStr">
        <is>
          <t>sundar@google.com</t>
        </is>
      </c>
      <c r="E417" t="inlineStr">
        <is>
          <t>Chetan</t>
        </is>
      </c>
      <c r="F417" t="inlineStr">
        <is>
          <t>chetan@weekday.works</t>
        </is>
      </c>
      <c r="G417" s="36" t="inlineStr">
        <is>
          <t>+91 9920264452</t>
        </is>
      </c>
      <c r="H417" t="inlineStr">
        <is>
          <t>Round1</t>
        </is>
      </c>
      <c r="I417" t="inlineStr">
        <is>
          <t>&lt;calendly_link&gt;</t>
        </is>
      </c>
      <c r="J417" s="37" t="n">
        <v>44867.82708333333</v>
      </c>
      <c r="K417" t="inlineStr">
        <is>
          <t>Yes</t>
        </is>
      </c>
    </row>
    <row r="418">
      <c r="A418" t="inlineStr">
        <is>
          <t>REQ-0417</t>
        </is>
      </c>
      <c r="B418" t="inlineStr">
        <is>
          <t>Google</t>
        </is>
      </c>
      <c r="C418" t="inlineStr">
        <is>
          <t>Sundar Pichai</t>
        </is>
      </c>
      <c r="D418" t="inlineStr">
        <is>
          <t>sundar@google.com</t>
        </is>
      </c>
      <c r="E418" t="inlineStr">
        <is>
          <t>Chetan</t>
        </is>
      </c>
      <c r="F418" t="inlineStr">
        <is>
          <t>chetan@weekday.works</t>
        </is>
      </c>
      <c r="G418" s="36" t="inlineStr">
        <is>
          <t>+91 9920264452</t>
        </is>
      </c>
      <c r="H418" t="inlineStr">
        <is>
          <t>Round1</t>
        </is>
      </c>
      <c r="I418" t="inlineStr">
        <is>
          <t>&lt;calendly_link&gt;</t>
        </is>
      </c>
      <c r="J418" s="37" t="n">
        <v>44867.82708333333</v>
      </c>
      <c r="K418" t="inlineStr">
        <is>
          <t>Yes</t>
        </is>
      </c>
    </row>
    <row r="419">
      <c r="A419" t="inlineStr">
        <is>
          <t>REQ-0418</t>
        </is>
      </c>
      <c r="B419" t="inlineStr">
        <is>
          <t>Google</t>
        </is>
      </c>
      <c r="C419" t="inlineStr">
        <is>
          <t>Sundar Pichai</t>
        </is>
      </c>
      <c r="D419" t="inlineStr">
        <is>
          <t>sundar@google.com</t>
        </is>
      </c>
      <c r="E419" t="inlineStr">
        <is>
          <t>Chetan</t>
        </is>
      </c>
      <c r="F419" t="inlineStr">
        <is>
          <t>chetan@weekday.works</t>
        </is>
      </c>
      <c r="G419" s="36" t="inlineStr">
        <is>
          <t>+91 9920264452</t>
        </is>
      </c>
      <c r="H419" t="inlineStr">
        <is>
          <t>Round1</t>
        </is>
      </c>
      <c r="I419" t="inlineStr">
        <is>
          <t>&lt;calendly_link&gt;</t>
        </is>
      </c>
      <c r="J419" s="37" t="n">
        <v>44867.82708333333</v>
      </c>
      <c r="K419" t="inlineStr">
        <is>
          <t>Yes</t>
        </is>
      </c>
    </row>
    <row r="420">
      <c r="A420" t="inlineStr">
        <is>
          <t>REQ-0419</t>
        </is>
      </c>
      <c r="B420" t="inlineStr">
        <is>
          <t>Google</t>
        </is>
      </c>
      <c r="C420" t="inlineStr">
        <is>
          <t>Sundar Pichai</t>
        </is>
      </c>
      <c r="D420" t="inlineStr">
        <is>
          <t>sundar@google.com</t>
        </is>
      </c>
      <c r="E420" t="inlineStr">
        <is>
          <t>Chetan</t>
        </is>
      </c>
      <c r="F420" t="inlineStr">
        <is>
          <t>chetan@weekday.works</t>
        </is>
      </c>
      <c r="G420" s="36" t="inlineStr">
        <is>
          <t>+91 9920264452</t>
        </is>
      </c>
      <c r="H420" t="inlineStr">
        <is>
          <t>Round1</t>
        </is>
      </c>
      <c r="I420" t="inlineStr">
        <is>
          <t>&lt;calendly_link&gt;</t>
        </is>
      </c>
      <c r="J420" s="37" t="n">
        <v>44867.82708333333</v>
      </c>
      <c r="K420" t="inlineStr">
        <is>
          <t>Yes</t>
        </is>
      </c>
    </row>
    <row r="421">
      <c r="A421" t="inlineStr">
        <is>
          <t>REQ-0420</t>
        </is>
      </c>
      <c r="B421" t="inlineStr">
        <is>
          <t>Google</t>
        </is>
      </c>
      <c r="C421" t="inlineStr">
        <is>
          <t>Sundar Pichai</t>
        </is>
      </c>
      <c r="D421" t="inlineStr">
        <is>
          <t>sundar@google.com</t>
        </is>
      </c>
      <c r="E421" t="inlineStr">
        <is>
          <t>Chetan</t>
        </is>
      </c>
      <c r="F421" t="inlineStr">
        <is>
          <t>chetan@weekday.works</t>
        </is>
      </c>
      <c r="G421" s="36" t="inlineStr">
        <is>
          <t>+91 9920264452</t>
        </is>
      </c>
      <c r="H421" t="inlineStr">
        <is>
          <t>Round1</t>
        </is>
      </c>
      <c r="I421" t="inlineStr">
        <is>
          <t>&lt;calendly_link&gt;</t>
        </is>
      </c>
      <c r="J421" s="37" t="n">
        <v>44867.82708333333</v>
      </c>
      <c r="K421" t="inlineStr">
        <is>
          <t>Yes</t>
        </is>
      </c>
    </row>
    <row r="422">
      <c r="A422" t="inlineStr">
        <is>
          <t>REQ-0421</t>
        </is>
      </c>
      <c r="B422" t="inlineStr">
        <is>
          <t>Google</t>
        </is>
      </c>
      <c r="C422" t="inlineStr">
        <is>
          <t>Sundar Pichai</t>
        </is>
      </c>
      <c r="D422" t="inlineStr">
        <is>
          <t>sundar@google.com</t>
        </is>
      </c>
      <c r="E422" t="inlineStr">
        <is>
          <t>Chetan</t>
        </is>
      </c>
      <c r="F422" t="inlineStr">
        <is>
          <t>chetan@weekday.works</t>
        </is>
      </c>
      <c r="G422" s="36" t="inlineStr">
        <is>
          <t>+91 9920264452</t>
        </is>
      </c>
      <c r="H422" t="inlineStr">
        <is>
          <t>Round1</t>
        </is>
      </c>
      <c r="I422" t="inlineStr">
        <is>
          <t>&lt;calendly_link&gt;</t>
        </is>
      </c>
      <c r="J422" s="37" t="n">
        <v>44867.82708333333</v>
      </c>
      <c r="K422" t="inlineStr">
        <is>
          <t>Yes</t>
        </is>
      </c>
    </row>
    <row r="423">
      <c r="A423" t="inlineStr">
        <is>
          <t>REQ-0422</t>
        </is>
      </c>
      <c r="B423" t="inlineStr">
        <is>
          <t>Google</t>
        </is>
      </c>
      <c r="C423" t="inlineStr">
        <is>
          <t>Sundar Pichai</t>
        </is>
      </c>
      <c r="D423" t="inlineStr">
        <is>
          <t>sundar@google.com</t>
        </is>
      </c>
      <c r="E423" t="inlineStr">
        <is>
          <t>Chetan</t>
        </is>
      </c>
      <c r="F423" t="inlineStr">
        <is>
          <t>chetan@weekday.works</t>
        </is>
      </c>
      <c r="G423" s="36" t="inlineStr">
        <is>
          <t>+91 9920264452</t>
        </is>
      </c>
      <c r="H423" t="inlineStr">
        <is>
          <t>Round1</t>
        </is>
      </c>
      <c r="I423" t="inlineStr">
        <is>
          <t>&lt;calendly_link&gt;</t>
        </is>
      </c>
      <c r="J423" s="37" t="n">
        <v>44867.82708333333</v>
      </c>
      <c r="K423" t="inlineStr">
        <is>
          <t>Yes</t>
        </is>
      </c>
    </row>
    <row r="424">
      <c r="A424" t="inlineStr">
        <is>
          <t>REQ-0423</t>
        </is>
      </c>
      <c r="B424" t="inlineStr">
        <is>
          <t>Google</t>
        </is>
      </c>
      <c r="C424" t="inlineStr">
        <is>
          <t>Sundar Pichai</t>
        </is>
      </c>
      <c r="D424" t="inlineStr">
        <is>
          <t>sundar@google.com</t>
        </is>
      </c>
      <c r="E424" t="inlineStr">
        <is>
          <t>Chetan</t>
        </is>
      </c>
      <c r="F424" t="inlineStr">
        <is>
          <t>chetan@weekday.works</t>
        </is>
      </c>
      <c r="G424" s="36" t="inlineStr">
        <is>
          <t>+91 9920264452</t>
        </is>
      </c>
      <c r="H424" t="inlineStr">
        <is>
          <t>Round1</t>
        </is>
      </c>
      <c r="I424" t="inlineStr">
        <is>
          <t>&lt;calendly_link&gt;</t>
        </is>
      </c>
      <c r="J424" s="37" t="n">
        <v>44867.82708333333</v>
      </c>
      <c r="K424" t="inlineStr">
        <is>
          <t>Yes</t>
        </is>
      </c>
    </row>
    <row r="425">
      <c r="A425" t="inlineStr">
        <is>
          <t>REQ-0424</t>
        </is>
      </c>
      <c r="B425" t="inlineStr">
        <is>
          <t>Google</t>
        </is>
      </c>
      <c r="C425" t="inlineStr">
        <is>
          <t>Sundar Pichai</t>
        </is>
      </c>
      <c r="D425" t="inlineStr">
        <is>
          <t>sundar@google.com</t>
        </is>
      </c>
      <c r="E425" t="inlineStr">
        <is>
          <t>Chetan</t>
        </is>
      </c>
      <c r="F425" t="inlineStr">
        <is>
          <t>chetan@weekday.works</t>
        </is>
      </c>
      <c r="G425" s="36" t="inlineStr">
        <is>
          <t>+91 9920264452</t>
        </is>
      </c>
      <c r="H425" t="inlineStr">
        <is>
          <t>Round1</t>
        </is>
      </c>
      <c r="I425" t="inlineStr">
        <is>
          <t>&lt;calendly_link&gt;</t>
        </is>
      </c>
      <c r="J425" s="37" t="n">
        <v>44867.82708333333</v>
      </c>
      <c r="K425" t="inlineStr">
        <is>
          <t>Yes</t>
        </is>
      </c>
    </row>
    <row r="426">
      <c r="A426" t="inlineStr">
        <is>
          <t>REQ-0425</t>
        </is>
      </c>
      <c r="B426" t="inlineStr">
        <is>
          <t>Google</t>
        </is>
      </c>
      <c r="C426" t="inlineStr">
        <is>
          <t>Sundar Pichai</t>
        </is>
      </c>
      <c r="D426" t="inlineStr">
        <is>
          <t>sundar@google.com</t>
        </is>
      </c>
      <c r="E426" t="inlineStr">
        <is>
          <t>Chetan</t>
        </is>
      </c>
      <c r="F426" t="inlineStr">
        <is>
          <t>chetan@weekday.works</t>
        </is>
      </c>
      <c r="G426" s="36" t="inlineStr">
        <is>
          <t>+91 9920264452</t>
        </is>
      </c>
      <c r="H426" t="inlineStr">
        <is>
          <t>Round1</t>
        </is>
      </c>
      <c r="I426" t="inlineStr">
        <is>
          <t>&lt;calendly_link&gt;</t>
        </is>
      </c>
      <c r="J426" s="37" t="n">
        <v>44867.82708333333</v>
      </c>
      <c r="K426" t="inlineStr">
        <is>
          <t>Yes</t>
        </is>
      </c>
    </row>
    <row r="427">
      <c r="A427" t="inlineStr">
        <is>
          <t>REQ-0426</t>
        </is>
      </c>
      <c r="B427" t="inlineStr">
        <is>
          <t>Google</t>
        </is>
      </c>
      <c r="C427" t="inlineStr">
        <is>
          <t>Sundar Pichai</t>
        </is>
      </c>
      <c r="D427" t="inlineStr">
        <is>
          <t>sundar@google.com</t>
        </is>
      </c>
      <c r="E427" t="inlineStr">
        <is>
          <t>Chetan</t>
        </is>
      </c>
      <c r="F427" t="inlineStr">
        <is>
          <t>chetan@weekday.works</t>
        </is>
      </c>
      <c r="G427" s="36" t="inlineStr">
        <is>
          <t>+91 9920264452</t>
        </is>
      </c>
      <c r="H427" t="inlineStr">
        <is>
          <t>Round1</t>
        </is>
      </c>
      <c r="I427" t="inlineStr">
        <is>
          <t>&lt;calendly_link&gt;</t>
        </is>
      </c>
      <c r="J427" s="37" t="n">
        <v>44867.82708333333</v>
      </c>
      <c r="K427" t="inlineStr">
        <is>
          <t>Yes</t>
        </is>
      </c>
    </row>
    <row r="428">
      <c r="A428" t="inlineStr">
        <is>
          <t>REQ-0427</t>
        </is>
      </c>
      <c r="B428" t="inlineStr">
        <is>
          <t>Google</t>
        </is>
      </c>
      <c r="C428" t="inlineStr">
        <is>
          <t>Sundar Pichai</t>
        </is>
      </c>
      <c r="D428" t="inlineStr">
        <is>
          <t>sundar@google.com</t>
        </is>
      </c>
      <c r="E428" t="inlineStr">
        <is>
          <t>Chetan</t>
        </is>
      </c>
      <c r="F428" t="inlineStr">
        <is>
          <t>chetan@weekday.works</t>
        </is>
      </c>
      <c r="G428" s="36" t="inlineStr">
        <is>
          <t>+91 9920264452</t>
        </is>
      </c>
      <c r="H428" t="inlineStr">
        <is>
          <t>Round1</t>
        </is>
      </c>
      <c r="I428" t="inlineStr">
        <is>
          <t>&lt;calendly_link&gt;</t>
        </is>
      </c>
      <c r="J428" s="37" t="n">
        <v>44867.82708333333</v>
      </c>
      <c r="K428" t="inlineStr">
        <is>
          <t>Yes</t>
        </is>
      </c>
    </row>
    <row r="429">
      <c r="A429" t="inlineStr">
        <is>
          <t>REQ-0428</t>
        </is>
      </c>
      <c r="B429" t="inlineStr">
        <is>
          <t>Google</t>
        </is>
      </c>
      <c r="C429" t="inlineStr">
        <is>
          <t>Sundar Pichai</t>
        </is>
      </c>
      <c r="D429" t="inlineStr">
        <is>
          <t>sundar@google.com</t>
        </is>
      </c>
      <c r="E429" t="inlineStr">
        <is>
          <t>Chetan</t>
        </is>
      </c>
      <c r="F429" t="inlineStr">
        <is>
          <t>chetan@weekday.works</t>
        </is>
      </c>
      <c r="G429" s="36" t="inlineStr">
        <is>
          <t>+91 9920264452</t>
        </is>
      </c>
      <c r="H429" t="inlineStr">
        <is>
          <t>Round1</t>
        </is>
      </c>
      <c r="I429" t="inlineStr">
        <is>
          <t>&lt;calendly_link&gt;</t>
        </is>
      </c>
      <c r="J429" s="37" t="n">
        <v>44867.82708333333</v>
      </c>
      <c r="K429" t="inlineStr">
        <is>
          <t>Yes</t>
        </is>
      </c>
    </row>
    <row r="430">
      <c r="A430" t="inlineStr">
        <is>
          <t>REQ-0429</t>
        </is>
      </c>
      <c r="B430" t="inlineStr">
        <is>
          <t>Google</t>
        </is>
      </c>
      <c r="C430" t="inlineStr">
        <is>
          <t>Sundar Pichai</t>
        </is>
      </c>
      <c r="D430" t="inlineStr">
        <is>
          <t>sundar@google.com</t>
        </is>
      </c>
      <c r="E430" t="inlineStr">
        <is>
          <t>Chetan</t>
        </is>
      </c>
      <c r="F430" t="inlineStr">
        <is>
          <t>chetan@weekday.works</t>
        </is>
      </c>
      <c r="G430" s="36" t="inlineStr">
        <is>
          <t>+91 9920264452</t>
        </is>
      </c>
      <c r="H430" t="inlineStr">
        <is>
          <t>Round1</t>
        </is>
      </c>
      <c r="I430" t="inlineStr">
        <is>
          <t>&lt;calendly_link&gt;</t>
        </is>
      </c>
      <c r="J430" s="37" t="n">
        <v>44867.82708333333</v>
      </c>
      <c r="K430" t="inlineStr">
        <is>
          <t>Yes</t>
        </is>
      </c>
    </row>
    <row r="431">
      <c r="A431" t="inlineStr">
        <is>
          <t>REQ-0430</t>
        </is>
      </c>
      <c r="B431" t="inlineStr">
        <is>
          <t>Google</t>
        </is>
      </c>
      <c r="C431" t="inlineStr">
        <is>
          <t>Sundar Pichai</t>
        </is>
      </c>
      <c r="D431" t="inlineStr">
        <is>
          <t>sundar@google.com</t>
        </is>
      </c>
      <c r="E431" t="inlineStr">
        <is>
          <t>Chetan</t>
        </is>
      </c>
      <c r="F431" t="inlineStr">
        <is>
          <t>chetan@weekday.works</t>
        </is>
      </c>
      <c r="G431" s="36" t="inlineStr">
        <is>
          <t>+91 9920264452</t>
        </is>
      </c>
      <c r="H431" t="inlineStr">
        <is>
          <t>Round1</t>
        </is>
      </c>
      <c r="I431" t="inlineStr">
        <is>
          <t>&lt;calendly_link&gt;</t>
        </is>
      </c>
      <c r="J431" s="37" t="n">
        <v>44867.82708333333</v>
      </c>
      <c r="K431" t="inlineStr">
        <is>
          <t>Yes</t>
        </is>
      </c>
    </row>
    <row r="432">
      <c r="A432" t="inlineStr">
        <is>
          <t>REQ-0431</t>
        </is>
      </c>
      <c r="B432" t="inlineStr">
        <is>
          <t>Google</t>
        </is>
      </c>
      <c r="C432" t="inlineStr">
        <is>
          <t>Sundar Pichai</t>
        </is>
      </c>
      <c r="D432" t="inlineStr">
        <is>
          <t>sundar@google.com</t>
        </is>
      </c>
      <c r="E432" t="inlineStr">
        <is>
          <t>Chetan</t>
        </is>
      </c>
      <c r="F432" t="inlineStr">
        <is>
          <t>chetan@weekday.works</t>
        </is>
      </c>
      <c r="G432" s="36" t="inlineStr">
        <is>
          <t>+91 9920264452</t>
        </is>
      </c>
      <c r="H432" t="inlineStr">
        <is>
          <t>Round1</t>
        </is>
      </c>
      <c r="I432" t="inlineStr">
        <is>
          <t>&lt;calendly_link&gt;</t>
        </is>
      </c>
      <c r="J432" s="37" t="n">
        <v>44867.82708333333</v>
      </c>
      <c r="K432" t="inlineStr">
        <is>
          <t>Yes</t>
        </is>
      </c>
    </row>
    <row r="433">
      <c r="A433" t="inlineStr">
        <is>
          <t>REQ-0432</t>
        </is>
      </c>
      <c r="B433" t="inlineStr">
        <is>
          <t>Google</t>
        </is>
      </c>
      <c r="C433" t="inlineStr">
        <is>
          <t>Sundar Pichai</t>
        </is>
      </c>
      <c r="D433" t="inlineStr">
        <is>
          <t>sundar@google.com</t>
        </is>
      </c>
      <c r="E433" t="inlineStr">
        <is>
          <t>Chetan</t>
        </is>
      </c>
      <c r="F433" t="inlineStr">
        <is>
          <t>chetan@weekday.works</t>
        </is>
      </c>
      <c r="G433" s="36" t="inlineStr">
        <is>
          <t>+91 9920264452</t>
        </is>
      </c>
      <c r="H433" t="inlineStr">
        <is>
          <t>Round1</t>
        </is>
      </c>
      <c r="I433" t="inlineStr">
        <is>
          <t>&lt;calendly_link&gt;</t>
        </is>
      </c>
      <c r="J433" s="37" t="n">
        <v>44867.82708333333</v>
      </c>
      <c r="K433" t="inlineStr">
        <is>
          <t>Yes</t>
        </is>
      </c>
    </row>
    <row r="434">
      <c r="A434" t="inlineStr">
        <is>
          <t>REQ-0433</t>
        </is>
      </c>
      <c r="B434" t="inlineStr">
        <is>
          <t>Google</t>
        </is>
      </c>
      <c r="C434" t="inlineStr">
        <is>
          <t>Sundar Pichai</t>
        </is>
      </c>
      <c r="D434" t="inlineStr">
        <is>
          <t>sundar@google.com</t>
        </is>
      </c>
      <c r="E434" t="inlineStr">
        <is>
          <t>Chetan</t>
        </is>
      </c>
      <c r="F434" t="inlineStr">
        <is>
          <t>chetan@weekday.works</t>
        </is>
      </c>
      <c r="G434" s="36" t="inlineStr">
        <is>
          <t>+91 9920264452</t>
        </is>
      </c>
      <c r="H434" t="inlineStr">
        <is>
          <t>Round1</t>
        </is>
      </c>
      <c r="I434" t="inlineStr">
        <is>
          <t>&lt;calendly_link&gt;</t>
        </is>
      </c>
      <c r="J434" s="37" t="n">
        <v>44867.82708333333</v>
      </c>
      <c r="K434" t="inlineStr">
        <is>
          <t>Yes</t>
        </is>
      </c>
    </row>
    <row r="435">
      <c r="A435" t="inlineStr">
        <is>
          <t>REQ-0434</t>
        </is>
      </c>
      <c r="B435" t="inlineStr">
        <is>
          <t>Google</t>
        </is>
      </c>
      <c r="C435" t="inlineStr">
        <is>
          <t>Sundar Pichai</t>
        </is>
      </c>
      <c r="D435" t="inlineStr">
        <is>
          <t>sundar@google.com</t>
        </is>
      </c>
      <c r="E435" t="inlineStr">
        <is>
          <t>Chetan</t>
        </is>
      </c>
      <c r="F435" t="inlineStr">
        <is>
          <t>chetan@weekday.works</t>
        </is>
      </c>
      <c r="G435" s="36" t="inlineStr">
        <is>
          <t>+91 9920264452</t>
        </is>
      </c>
      <c r="H435" t="inlineStr">
        <is>
          <t>Round1</t>
        </is>
      </c>
      <c r="I435" t="inlineStr">
        <is>
          <t>&lt;calendly_link&gt;</t>
        </is>
      </c>
      <c r="J435" s="37" t="n">
        <v>44867.82708333333</v>
      </c>
      <c r="K435" t="inlineStr">
        <is>
          <t>Yes</t>
        </is>
      </c>
    </row>
    <row r="436">
      <c r="A436" t="inlineStr">
        <is>
          <t>REQ-0435</t>
        </is>
      </c>
      <c r="B436" t="inlineStr">
        <is>
          <t>Google</t>
        </is>
      </c>
      <c r="C436" t="inlineStr">
        <is>
          <t>Sundar Pichai</t>
        </is>
      </c>
      <c r="D436" t="inlineStr">
        <is>
          <t>sundar@google.com</t>
        </is>
      </c>
      <c r="E436" t="inlineStr">
        <is>
          <t>Chetan</t>
        </is>
      </c>
      <c r="F436" t="inlineStr">
        <is>
          <t>chetan@weekday.works</t>
        </is>
      </c>
      <c r="G436" s="36" t="inlineStr">
        <is>
          <t>+91 9920264452</t>
        </is>
      </c>
      <c r="H436" t="inlineStr">
        <is>
          <t>Round1</t>
        </is>
      </c>
      <c r="I436" t="inlineStr">
        <is>
          <t>&lt;calendly_link&gt;</t>
        </is>
      </c>
      <c r="J436" s="37" t="n">
        <v>44867.82708333333</v>
      </c>
      <c r="K436" t="inlineStr">
        <is>
          <t>Yes</t>
        </is>
      </c>
    </row>
    <row r="437">
      <c r="A437" t="inlineStr">
        <is>
          <t>REQ-0436</t>
        </is>
      </c>
      <c r="B437" t="inlineStr">
        <is>
          <t>Google</t>
        </is>
      </c>
      <c r="C437" t="inlineStr">
        <is>
          <t>Sundar Pichai</t>
        </is>
      </c>
      <c r="D437" t="inlineStr">
        <is>
          <t>sundar@google.com</t>
        </is>
      </c>
      <c r="E437" t="inlineStr">
        <is>
          <t>Chetan</t>
        </is>
      </c>
      <c r="F437" t="inlineStr">
        <is>
          <t>chetan@weekday.works</t>
        </is>
      </c>
      <c r="G437" s="36" t="inlineStr">
        <is>
          <t>+91 9920264452</t>
        </is>
      </c>
      <c r="H437" t="inlineStr">
        <is>
          <t>Round1</t>
        </is>
      </c>
      <c r="I437" t="inlineStr">
        <is>
          <t>&lt;calendly_link&gt;</t>
        </is>
      </c>
      <c r="J437" s="37" t="n">
        <v>44867.82708333333</v>
      </c>
      <c r="K437" t="inlineStr">
        <is>
          <t>Yes</t>
        </is>
      </c>
    </row>
    <row r="438">
      <c r="A438" t="inlineStr">
        <is>
          <t>REQ-0437</t>
        </is>
      </c>
      <c r="B438" t="inlineStr">
        <is>
          <t>Google</t>
        </is>
      </c>
      <c r="C438" t="inlineStr">
        <is>
          <t>Sundar Pichai</t>
        </is>
      </c>
      <c r="D438" t="inlineStr">
        <is>
          <t>sundar@google.com</t>
        </is>
      </c>
      <c r="E438" t="inlineStr">
        <is>
          <t>Chetan</t>
        </is>
      </c>
      <c r="F438" t="inlineStr">
        <is>
          <t>chetan@weekday.works</t>
        </is>
      </c>
      <c r="G438" s="36" t="inlineStr">
        <is>
          <t>+91 9920264452</t>
        </is>
      </c>
      <c r="H438" t="inlineStr">
        <is>
          <t>Round1</t>
        </is>
      </c>
      <c r="I438" t="inlineStr">
        <is>
          <t>&lt;calendly_link&gt;</t>
        </is>
      </c>
      <c r="J438" s="37" t="n">
        <v>44867.82708333333</v>
      </c>
      <c r="K438" t="inlineStr">
        <is>
          <t>Yes</t>
        </is>
      </c>
    </row>
    <row r="439">
      <c r="A439" t="inlineStr">
        <is>
          <t>REQ-0438</t>
        </is>
      </c>
      <c r="B439" t="inlineStr">
        <is>
          <t>Google</t>
        </is>
      </c>
      <c r="C439" t="inlineStr">
        <is>
          <t>Sundar Pichai</t>
        </is>
      </c>
      <c r="D439" t="inlineStr">
        <is>
          <t>sundar@google.com</t>
        </is>
      </c>
      <c r="E439" t="inlineStr">
        <is>
          <t>Chetan</t>
        </is>
      </c>
      <c r="F439" t="inlineStr">
        <is>
          <t>chetan@weekday.works</t>
        </is>
      </c>
      <c r="G439" s="36" t="inlineStr">
        <is>
          <t>+91 9920264452</t>
        </is>
      </c>
      <c r="H439" t="inlineStr">
        <is>
          <t>Round1</t>
        </is>
      </c>
      <c r="I439" t="inlineStr">
        <is>
          <t>&lt;calendly_link&gt;</t>
        </is>
      </c>
      <c r="J439" s="37" t="n">
        <v>44867.82708333333</v>
      </c>
      <c r="K439" t="inlineStr">
        <is>
          <t>Yes</t>
        </is>
      </c>
    </row>
    <row r="440">
      <c r="A440" t="inlineStr">
        <is>
          <t>REQ-0439</t>
        </is>
      </c>
      <c r="B440" t="inlineStr">
        <is>
          <t>Google</t>
        </is>
      </c>
      <c r="C440" t="inlineStr">
        <is>
          <t>Sundar Pichai</t>
        </is>
      </c>
      <c r="D440" t="inlineStr">
        <is>
          <t>sundar@google.com</t>
        </is>
      </c>
      <c r="E440" t="inlineStr">
        <is>
          <t>Chetan</t>
        </is>
      </c>
      <c r="F440" t="inlineStr">
        <is>
          <t>chetan@weekday.works</t>
        </is>
      </c>
      <c r="G440" s="36" t="inlineStr">
        <is>
          <t>+91 9920264452</t>
        </is>
      </c>
      <c r="H440" t="inlineStr">
        <is>
          <t>Round1</t>
        </is>
      </c>
      <c r="I440" t="inlineStr">
        <is>
          <t>&lt;calendly_link&gt;</t>
        </is>
      </c>
      <c r="J440" s="37" t="n">
        <v>44867.82708333333</v>
      </c>
      <c r="K440" t="inlineStr">
        <is>
          <t>Yes</t>
        </is>
      </c>
    </row>
    <row r="441">
      <c r="A441" t="inlineStr">
        <is>
          <t>REQ-0440</t>
        </is>
      </c>
      <c r="B441" t="inlineStr">
        <is>
          <t>Google</t>
        </is>
      </c>
      <c r="C441" t="inlineStr">
        <is>
          <t>Sundar Pichai</t>
        </is>
      </c>
      <c r="D441" t="inlineStr">
        <is>
          <t>sundar@google.com</t>
        </is>
      </c>
      <c r="E441" t="inlineStr">
        <is>
          <t>Chetan</t>
        </is>
      </c>
      <c r="F441" t="inlineStr">
        <is>
          <t>chetan@weekday.works</t>
        </is>
      </c>
      <c r="G441" s="36" t="inlineStr">
        <is>
          <t>+91 9920264452</t>
        </is>
      </c>
      <c r="H441" t="inlineStr">
        <is>
          <t>Round1</t>
        </is>
      </c>
      <c r="I441" t="inlineStr">
        <is>
          <t>&lt;calendly_link&gt;</t>
        </is>
      </c>
      <c r="J441" s="37" t="n">
        <v>44867.82708333333</v>
      </c>
      <c r="K441" t="inlineStr">
        <is>
          <t>Yes</t>
        </is>
      </c>
    </row>
    <row r="442">
      <c r="A442" t="inlineStr">
        <is>
          <t>REQ-0441</t>
        </is>
      </c>
      <c r="B442" t="inlineStr">
        <is>
          <t>Google</t>
        </is>
      </c>
      <c r="C442" t="inlineStr">
        <is>
          <t>Sundar Pichai</t>
        </is>
      </c>
      <c r="D442" t="inlineStr">
        <is>
          <t>sundar@google.com</t>
        </is>
      </c>
      <c r="E442" t="inlineStr">
        <is>
          <t>Chetan</t>
        </is>
      </c>
      <c r="F442" t="inlineStr">
        <is>
          <t>chetan@weekday.works</t>
        </is>
      </c>
      <c r="G442" s="36" t="inlineStr">
        <is>
          <t>+91 9920264452</t>
        </is>
      </c>
      <c r="H442" t="inlineStr">
        <is>
          <t>Round1</t>
        </is>
      </c>
      <c r="I442" t="inlineStr">
        <is>
          <t>&lt;calendly_link&gt;</t>
        </is>
      </c>
      <c r="J442" s="37" t="n">
        <v>44867.82708333333</v>
      </c>
      <c r="K442" t="inlineStr">
        <is>
          <t>Yes</t>
        </is>
      </c>
    </row>
    <row r="443">
      <c r="A443" t="inlineStr">
        <is>
          <t>REQ-0442</t>
        </is>
      </c>
      <c r="B443" t="inlineStr">
        <is>
          <t>Google</t>
        </is>
      </c>
      <c r="C443" t="inlineStr">
        <is>
          <t>Sundar Pichai</t>
        </is>
      </c>
      <c r="D443" t="inlineStr">
        <is>
          <t>sundar@google.com</t>
        </is>
      </c>
      <c r="E443" t="inlineStr">
        <is>
          <t>Chetan</t>
        </is>
      </c>
      <c r="F443" t="inlineStr">
        <is>
          <t>chetan@weekday.works</t>
        </is>
      </c>
      <c r="G443" s="36" t="inlineStr">
        <is>
          <t>+91 9920264452</t>
        </is>
      </c>
      <c r="H443" t="inlineStr">
        <is>
          <t>Round1</t>
        </is>
      </c>
      <c r="I443" t="inlineStr">
        <is>
          <t>&lt;calendly_link&gt;</t>
        </is>
      </c>
      <c r="J443" s="37" t="n">
        <v>44867.82708333333</v>
      </c>
      <c r="K443" t="inlineStr">
        <is>
          <t>Yes</t>
        </is>
      </c>
    </row>
    <row r="444">
      <c r="A444" t="inlineStr">
        <is>
          <t>REQ-0443</t>
        </is>
      </c>
      <c r="B444" t="inlineStr">
        <is>
          <t>Google</t>
        </is>
      </c>
      <c r="C444" t="inlineStr">
        <is>
          <t>Sundar Pichai</t>
        </is>
      </c>
      <c r="D444" t="inlineStr">
        <is>
          <t>sundar@google.com</t>
        </is>
      </c>
      <c r="E444" t="inlineStr">
        <is>
          <t>Chetan</t>
        </is>
      </c>
      <c r="F444" t="inlineStr">
        <is>
          <t>chetan@weekday.works</t>
        </is>
      </c>
      <c r="G444" s="36" t="inlineStr">
        <is>
          <t>+91 9920264452</t>
        </is>
      </c>
      <c r="H444" t="inlineStr">
        <is>
          <t>Round1</t>
        </is>
      </c>
      <c r="I444" t="inlineStr">
        <is>
          <t>&lt;calendly_link&gt;</t>
        </is>
      </c>
      <c r="J444" s="37" t="n">
        <v>44867.82708333333</v>
      </c>
      <c r="K444" t="inlineStr">
        <is>
          <t>Yes</t>
        </is>
      </c>
    </row>
    <row r="445">
      <c r="A445" t="inlineStr">
        <is>
          <t>REQ-0444</t>
        </is>
      </c>
      <c r="B445" t="inlineStr">
        <is>
          <t>Google</t>
        </is>
      </c>
      <c r="C445" t="inlineStr">
        <is>
          <t>Sundar Pichai</t>
        </is>
      </c>
      <c r="D445" t="inlineStr">
        <is>
          <t>sundar@google.com</t>
        </is>
      </c>
      <c r="E445" t="inlineStr">
        <is>
          <t>Chetan</t>
        </is>
      </c>
      <c r="F445" t="inlineStr">
        <is>
          <t>chetan@weekday.works</t>
        </is>
      </c>
      <c r="G445" s="36" t="inlineStr">
        <is>
          <t>+91 9920264452</t>
        </is>
      </c>
      <c r="H445" t="inlineStr">
        <is>
          <t>Round1</t>
        </is>
      </c>
      <c r="I445" t="inlineStr">
        <is>
          <t>&lt;calendly_link&gt;</t>
        </is>
      </c>
      <c r="J445" s="37" t="n">
        <v>44867.82708333333</v>
      </c>
      <c r="K445" t="inlineStr">
        <is>
          <t>Yes</t>
        </is>
      </c>
    </row>
    <row r="446">
      <c r="A446" t="inlineStr">
        <is>
          <t>REQ-0445</t>
        </is>
      </c>
      <c r="B446" t="inlineStr">
        <is>
          <t>Google</t>
        </is>
      </c>
      <c r="C446" t="inlineStr">
        <is>
          <t>Sundar Pichai</t>
        </is>
      </c>
      <c r="D446" t="inlineStr">
        <is>
          <t>sundar@google.com</t>
        </is>
      </c>
      <c r="E446" t="inlineStr">
        <is>
          <t>Chetan</t>
        </is>
      </c>
      <c r="F446" t="inlineStr">
        <is>
          <t>chetan@weekday.works</t>
        </is>
      </c>
      <c r="G446" s="36" t="inlineStr">
        <is>
          <t>+91 9920264452</t>
        </is>
      </c>
      <c r="H446" t="inlineStr">
        <is>
          <t>Round1</t>
        </is>
      </c>
      <c r="I446" t="inlineStr">
        <is>
          <t>&lt;calendly_link&gt;</t>
        </is>
      </c>
      <c r="J446" s="37" t="n">
        <v>44867.82708333333</v>
      </c>
      <c r="K446" t="inlineStr">
        <is>
          <t>Yes</t>
        </is>
      </c>
    </row>
    <row r="447">
      <c r="A447" t="inlineStr">
        <is>
          <t>REQ-0446</t>
        </is>
      </c>
      <c r="B447" t="inlineStr">
        <is>
          <t>Google</t>
        </is>
      </c>
      <c r="C447" t="inlineStr">
        <is>
          <t>Sundar Pichai</t>
        </is>
      </c>
      <c r="D447" t="inlineStr">
        <is>
          <t>sundar@google.com</t>
        </is>
      </c>
      <c r="E447" t="inlineStr">
        <is>
          <t>Chetan</t>
        </is>
      </c>
      <c r="F447" t="inlineStr">
        <is>
          <t>chetan@weekday.works</t>
        </is>
      </c>
      <c r="G447" s="36" t="inlineStr">
        <is>
          <t>+91 9920264452</t>
        </is>
      </c>
      <c r="H447" t="inlineStr">
        <is>
          <t>Round1</t>
        </is>
      </c>
      <c r="I447" t="inlineStr">
        <is>
          <t>&lt;calendly_link&gt;</t>
        </is>
      </c>
      <c r="J447" s="37" t="n">
        <v>44867.82708333333</v>
      </c>
      <c r="K447" t="inlineStr">
        <is>
          <t>Yes</t>
        </is>
      </c>
    </row>
    <row r="448">
      <c r="A448" t="inlineStr">
        <is>
          <t>REQ-0447</t>
        </is>
      </c>
      <c r="B448" t="inlineStr">
        <is>
          <t>Google</t>
        </is>
      </c>
      <c r="C448" t="inlineStr">
        <is>
          <t>Sundar Pichai</t>
        </is>
      </c>
      <c r="D448" t="inlineStr">
        <is>
          <t>sundar@google.com</t>
        </is>
      </c>
      <c r="E448" t="inlineStr">
        <is>
          <t>Chetan</t>
        </is>
      </c>
      <c r="F448" t="inlineStr">
        <is>
          <t>chetan@weekday.works</t>
        </is>
      </c>
      <c r="G448" s="36" t="inlineStr">
        <is>
          <t>+91 9920264452</t>
        </is>
      </c>
      <c r="H448" t="inlineStr">
        <is>
          <t>Round1</t>
        </is>
      </c>
      <c r="I448" t="inlineStr">
        <is>
          <t>&lt;calendly_link&gt;</t>
        </is>
      </c>
      <c r="J448" s="37" t="n">
        <v>44867.82708333333</v>
      </c>
      <c r="K448" t="inlineStr">
        <is>
          <t>Yes</t>
        </is>
      </c>
    </row>
    <row r="449">
      <c r="A449" t="inlineStr">
        <is>
          <t>REQ-0448</t>
        </is>
      </c>
      <c r="B449" t="inlineStr">
        <is>
          <t>Google</t>
        </is>
      </c>
      <c r="C449" t="inlineStr">
        <is>
          <t>Sundar Pichai</t>
        </is>
      </c>
      <c r="D449" t="inlineStr">
        <is>
          <t>sundar@google.com</t>
        </is>
      </c>
      <c r="E449" t="inlineStr">
        <is>
          <t>Chetan</t>
        </is>
      </c>
      <c r="F449" t="inlineStr">
        <is>
          <t>chetan@weekday.works</t>
        </is>
      </c>
      <c r="G449" s="36" t="inlineStr">
        <is>
          <t>+91 9920264452</t>
        </is>
      </c>
      <c r="H449" t="inlineStr">
        <is>
          <t>Round1</t>
        </is>
      </c>
      <c r="I449" t="inlineStr">
        <is>
          <t>&lt;calendly_link&gt;</t>
        </is>
      </c>
      <c r="J449" s="37" t="n">
        <v>44867.82708333333</v>
      </c>
      <c r="K449" t="inlineStr">
        <is>
          <t>Yes</t>
        </is>
      </c>
    </row>
    <row r="450">
      <c r="A450" t="inlineStr">
        <is>
          <t>REQ-0449</t>
        </is>
      </c>
      <c r="B450" t="inlineStr">
        <is>
          <t>Google</t>
        </is>
      </c>
      <c r="C450" t="inlineStr">
        <is>
          <t>Sundar Pichai</t>
        </is>
      </c>
      <c r="D450" t="inlineStr">
        <is>
          <t>sundar@google.com</t>
        </is>
      </c>
      <c r="E450" t="inlineStr">
        <is>
          <t>Chetan</t>
        </is>
      </c>
      <c r="F450" t="inlineStr">
        <is>
          <t>chetan@weekday.works</t>
        </is>
      </c>
      <c r="G450" s="36" t="inlineStr">
        <is>
          <t>+91 9920264452</t>
        </is>
      </c>
      <c r="H450" t="inlineStr">
        <is>
          <t>Round1</t>
        </is>
      </c>
      <c r="I450" t="inlineStr">
        <is>
          <t>&lt;calendly_link&gt;</t>
        </is>
      </c>
      <c r="J450" s="37" t="n">
        <v>44867.82708333333</v>
      </c>
      <c r="K450" t="inlineStr">
        <is>
          <t>Yes</t>
        </is>
      </c>
    </row>
    <row r="451">
      <c r="A451" t="inlineStr">
        <is>
          <t>REQ-0450</t>
        </is>
      </c>
      <c r="B451" t="inlineStr">
        <is>
          <t>Google</t>
        </is>
      </c>
      <c r="C451" t="inlineStr">
        <is>
          <t>Sundar Pichai</t>
        </is>
      </c>
      <c r="D451" t="inlineStr">
        <is>
          <t>sundar@google.com</t>
        </is>
      </c>
      <c r="E451" t="inlineStr">
        <is>
          <t>Chetan</t>
        </is>
      </c>
      <c r="F451" t="inlineStr">
        <is>
          <t>chetan@weekday.works</t>
        </is>
      </c>
      <c r="G451" s="36" t="inlineStr">
        <is>
          <t>+91 9920264452</t>
        </is>
      </c>
      <c r="H451" t="inlineStr">
        <is>
          <t>Round1</t>
        </is>
      </c>
      <c r="I451" t="inlineStr">
        <is>
          <t>&lt;calendly_link&gt;</t>
        </is>
      </c>
      <c r="J451" s="37" t="n">
        <v>44867.82708333333</v>
      </c>
      <c r="K451" t="inlineStr">
        <is>
          <t>Yes</t>
        </is>
      </c>
    </row>
    <row r="452">
      <c r="A452" t="inlineStr">
        <is>
          <t>REQ-0451</t>
        </is>
      </c>
      <c r="B452" t="inlineStr">
        <is>
          <t>Google</t>
        </is>
      </c>
      <c r="C452" t="inlineStr">
        <is>
          <t>Sundar Pichai</t>
        </is>
      </c>
      <c r="D452" t="inlineStr">
        <is>
          <t>sundar@google.com</t>
        </is>
      </c>
      <c r="E452" t="inlineStr">
        <is>
          <t>Chetan</t>
        </is>
      </c>
      <c r="F452" t="inlineStr">
        <is>
          <t>chetan@weekday.works</t>
        </is>
      </c>
      <c r="G452" s="36" t="inlineStr">
        <is>
          <t>+91 9920264452</t>
        </is>
      </c>
      <c r="H452" t="inlineStr">
        <is>
          <t>Round1</t>
        </is>
      </c>
      <c r="I452" t="inlineStr">
        <is>
          <t>&lt;calendly_link&gt;</t>
        </is>
      </c>
      <c r="J452" s="37" t="n">
        <v>44867.82708333333</v>
      </c>
      <c r="K452" t="inlineStr">
        <is>
          <t>Yes</t>
        </is>
      </c>
    </row>
    <row r="453">
      <c r="A453" t="inlineStr">
        <is>
          <t>REQ-0452</t>
        </is>
      </c>
      <c r="B453" t="inlineStr">
        <is>
          <t>Google</t>
        </is>
      </c>
      <c r="C453" t="inlineStr">
        <is>
          <t>Sundar Pichai</t>
        </is>
      </c>
      <c r="D453" t="inlineStr">
        <is>
          <t>sundar@google.com</t>
        </is>
      </c>
      <c r="E453" t="inlineStr">
        <is>
          <t>Chetan</t>
        </is>
      </c>
      <c r="F453" t="inlineStr">
        <is>
          <t>chetan@weekday.works</t>
        </is>
      </c>
      <c r="G453" s="36" t="inlineStr">
        <is>
          <t>+91 9920264452</t>
        </is>
      </c>
      <c r="H453" t="inlineStr">
        <is>
          <t>Round1</t>
        </is>
      </c>
      <c r="I453" t="inlineStr">
        <is>
          <t>&lt;calendly_link&gt;</t>
        </is>
      </c>
      <c r="J453" s="37" t="n">
        <v>44867.82708333333</v>
      </c>
      <c r="K453" t="inlineStr">
        <is>
          <t>Yes</t>
        </is>
      </c>
    </row>
    <row r="454">
      <c r="A454" t="inlineStr">
        <is>
          <t>REQ-0453</t>
        </is>
      </c>
      <c r="B454" t="inlineStr">
        <is>
          <t>Google</t>
        </is>
      </c>
      <c r="C454" t="inlineStr">
        <is>
          <t>Sundar Pichai</t>
        </is>
      </c>
      <c r="D454" t="inlineStr">
        <is>
          <t>sundar@google.com</t>
        </is>
      </c>
      <c r="E454" t="inlineStr">
        <is>
          <t>Chetan</t>
        </is>
      </c>
      <c r="F454" t="inlineStr">
        <is>
          <t>chetan@weekday.works</t>
        </is>
      </c>
      <c r="G454" s="36" t="inlineStr">
        <is>
          <t>+91 9920264452</t>
        </is>
      </c>
      <c r="H454" t="inlineStr">
        <is>
          <t>Round1</t>
        </is>
      </c>
      <c r="I454" t="inlineStr">
        <is>
          <t>&lt;calendly_link&gt;</t>
        </is>
      </c>
      <c r="J454" s="37" t="n">
        <v>44867.82708333333</v>
      </c>
      <c r="K454" t="inlineStr">
        <is>
          <t>Yes</t>
        </is>
      </c>
    </row>
    <row r="455">
      <c r="A455" t="inlineStr">
        <is>
          <t>REQ-0454</t>
        </is>
      </c>
      <c r="B455" t="inlineStr">
        <is>
          <t>Google</t>
        </is>
      </c>
      <c r="C455" t="inlineStr">
        <is>
          <t>Sundar Pichai</t>
        </is>
      </c>
      <c r="D455" t="inlineStr">
        <is>
          <t>sundar@google.com</t>
        </is>
      </c>
      <c r="E455" t="inlineStr">
        <is>
          <t>Chetan</t>
        </is>
      </c>
      <c r="F455" t="inlineStr">
        <is>
          <t>chetan@weekday.works</t>
        </is>
      </c>
      <c r="G455" s="36" t="inlineStr">
        <is>
          <t>+91 9920264452</t>
        </is>
      </c>
      <c r="H455" t="inlineStr">
        <is>
          <t>Round1</t>
        </is>
      </c>
      <c r="I455" t="inlineStr">
        <is>
          <t>&lt;calendly_link&gt;</t>
        </is>
      </c>
      <c r="J455" s="37" t="n">
        <v>44867.82708333333</v>
      </c>
      <c r="K455" t="inlineStr">
        <is>
          <t>Yes</t>
        </is>
      </c>
    </row>
    <row r="456">
      <c r="A456" t="inlineStr">
        <is>
          <t>REQ-0455</t>
        </is>
      </c>
      <c r="B456" t="inlineStr">
        <is>
          <t>Google</t>
        </is>
      </c>
      <c r="C456" t="inlineStr">
        <is>
          <t>Sundar Pichai</t>
        </is>
      </c>
      <c r="D456" t="inlineStr">
        <is>
          <t>sundar@google.com</t>
        </is>
      </c>
      <c r="E456" t="inlineStr">
        <is>
          <t>Chetan</t>
        </is>
      </c>
      <c r="F456" t="inlineStr">
        <is>
          <t>chetan@weekday.works</t>
        </is>
      </c>
      <c r="G456" s="36" t="inlineStr">
        <is>
          <t>+91 9920264452</t>
        </is>
      </c>
      <c r="H456" t="inlineStr">
        <is>
          <t>Round1</t>
        </is>
      </c>
      <c r="I456" t="inlineStr">
        <is>
          <t>&lt;calendly_link&gt;</t>
        </is>
      </c>
      <c r="J456" s="37" t="n">
        <v>44867.82708333333</v>
      </c>
      <c r="K456" t="inlineStr">
        <is>
          <t>Yes</t>
        </is>
      </c>
    </row>
    <row r="457">
      <c r="A457" t="inlineStr">
        <is>
          <t>REQ-0456</t>
        </is>
      </c>
      <c r="B457" t="inlineStr">
        <is>
          <t>Google</t>
        </is>
      </c>
      <c r="C457" t="inlineStr">
        <is>
          <t>Sundar Pichai</t>
        </is>
      </c>
      <c r="D457" t="inlineStr">
        <is>
          <t>sundar@google.com</t>
        </is>
      </c>
      <c r="E457" t="inlineStr">
        <is>
          <t>Chetan</t>
        </is>
      </c>
      <c r="F457" t="inlineStr">
        <is>
          <t>chetan@weekday.works</t>
        </is>
      </c>
      <c r="G457" s="36" t="inlineStr">
        <is>
          <t>+91 9920264452</t>
        </is>
      </c>
      <c r="H457" t="inlineStr">
        <is>
          <t>Round1</t>
        </is>
      </c>
      <c r="I457" t="inlineStr">
        <is>
          <t>&lt;calendly_link&gt;</t>
        </is>
      </c>
      <c r="J457" s="37" t="n">
        <v>44867.82708333333</v>
      </c>
      <c r="K457" t="inlineStr">
        <is>
          <t>Yes</t>
        </is>
      </c>
    </row>
    <row r="458">
      <c r="A458" t="inlineStr">
        <is>
          <t>REQ-0457</t>
        </is>
      </c>
      <c r="B458" t="inlineStr">
        <is>
          <t>Google</t>
        </is>
      </c>
      <c r="C458" t="inlineStr">
        <is>
          <t>Sundar Pichai</t>
        </is>
      </c>
      <c r="D458" t="inlineStr">
        <is>
          <t>sundar@google.com</t>
        </is>
      </c>
      <c r="E458" t="inlineStr">
        <is>
          <t>Chetan</t>
        </is>
      </c>
      <c r="F458" t="inlineStr">
        <is>
          <t>chetan@weekday.works</t>
        </is>
      </c>
      <c r="G458" s="36" t="inlineStr">
        <is>
          <t>+91 9920264452</t>
        </is>
      </c>
      <c r="H458" t="inlineStr">
        <is>
          <t>Round1</t>
        </is>
      </c>
      <c r="I458" t="inlineStr">
        <is>
          <t>&lt;calendly_link&gt;</t>
        </is>
      </c>
      <c r="J458" s="37" t="n">
        <v>44867.82708333333</v>
      </c>
      <c r="K458" t="inlineStr">
        <is>
          <t>Yes</t>
        </is>
      </c>
    </row>
    <row r="459">
      <c r="A459" t="inlineStr">
        <is>
          <t>REQ-0458</t>
        </is>
      </c>
      <c r="B459" t="inlineStr">
        <is>
          <t>Google</t>
        </is>
      </c>
      <c r="C459" t="inlineStr">
        <is>
          <t>Sundar Pichai</t>
        </is>
      </c>
      <c r="D459" t="inlineStr">
        <is>
          <t>sundar@google.com</t>
        </is>
      </c>
      <c r="E459" t="inlineStr">
        <is>
          <t>Chetan</t>
        </is>
      </c>
      <c r="F459" t="inlineStr">
        <is>
          <t>chetan@weekday.works</t>
        </is>
      </c>
      <c r="G459" s="36" t="inlineStr">
        <is>
          <t>+91 9920264452</t>
        </is>
      </c>
      <c r="H459" t="inlineStr">
        <is>
          <t>Round1</t>
        </is>
      </c>
      <c r="I459" t="inlineStr">
        <is>
          <t>&lt;calendly_link&gt;</t>
        </is>
      </c>
      <c r="J459" s="37" t="n">
        <v>44867.82708333333</v>
      </c>
      <c r="K459" t="inlineStr">
        <is>
          <t>Yes</t>
        </is>
      </c>
    </row>
    <row r="460">
      <c r="A460" t="inlineStr">
        <is>
          <t>REQ-0459</t>
        </is>
      </c>
      <c r="B460" t="inlineStr">
        <is>
          <t>Google</t>
        </is>
      </c>
      <c r="C460" t="inlineStr">
        <is>
          <t>Sundar Pichai</t>
        </is>
      </c>
      <c r="D460" t="inlineStr">
        <is>
          <t>sundar@google.com</t>
        </is>
      </c>
      <c r="E460" t="inlineStr">
        <is>
          <t>Chetan</t>
        </is>
      </c>
      <c r="F460" t="inlineStr">
        <is>
          <t>chetan@weekday.works</t>
        </is>
      </c>
      <c r="G460" s="36" t="inlineStr">
        <is>
          <t>+91 9920264452</t>
        </is>
      </c>
      <c r="H460" t="inlineStr">
        <is>
          <t>Round1</t>
        </is>
      </c>
      <c r="I460" t="inlineStr">
        <is>
          <t>&lt;calendly_link&gt;</t>
        </is>
      </c>
      <c r="J460" s="37" t="n">
        <v>44867.82708333333</v>
      </c>
      <c r="K460" t="inlineStr">
        <is>
          <t>Yes</t>
        </is>
      </c>
    </row>
    <row r="461">
      <c r="A461" t="inlineStr">
        <is>
          <t>REQ-0460</t>
        </is>
      </c>
      <c r="B461" t="inlineStr">
        <is>
          <t>Google</t>
        </is>
      </c>
      <c r="C461" t="inlineStr">
        <is>
          <t>Sundar Pichai</t>
        </is>
      </c>
      <c r="D461" t="inlineStr">
        <is>
          <t>sundar@google.com</t>
        </is>
      </c>
      <c r="E461" t="inlineStr">
        <is>
          <t>Chetan</t>
        </is>
      </c>
      <c r="F461" t="inlineStr">
        <is>
          <t>chetan@weekday.works</t>
        </is>
      </c>
      <c r="G461" s="36" t="inlineStr">
        <is>
          <t>+91 9920264452</t>
        </is>
      </c>
      <c r="H461" t="inlineStr">
        <is>
          <t>Round1</t>
        </is>
      </c>
      <c r="I461" t="inlineStr">
        <is>
          <t>&lt;calendly_link&gt;</t>
        </is>
      </c>
      <c r="J461" s="37" t="n">
        <v>44867.82708333333</v>
      </c>
      <c r="K461" t="inlineStr">
        <is>
          <t>Yes</t>
        </is>
      </c>
    </row>
    <row r="462">
      <c r="A462" t="inlineStr">
        <is>
          <t>REQ-0461</t>
        </is>
      </c>
      <c r="B462" t="inlineStr">
        <is>
          <t>Google</t>
        </is>
      </c>
      <c r="C462" t="inlineStr">
        <is>
          <t>Sundar Pichai</t>
        </is>
      </c>
      <c r="D462" t="inlineStr">
        <is>
          <t>sundar@google.com</t>
        </is>
      </c>
      <c r="E462" t="inlineStr">
        <is>
          <t>Chetan</t>
        </is>
      </c>
      <c r="F462" t="inlineStr">
        <is>
          <t>chetan@weekday.works</t>
        </is>
      </c>
      <c r="G462" s="36" t="inlineStr">
        <is>
          <t>+91 9920264452</t>
        </is>
      </c>
      <c r="H462" t="inlineStr">
        <is>
          <t>Round1</t>
        </is>
      </c>
      <c r="I462" t="inlineStr">
        <is>
          <t>&lt;calendly_link&gt;</t>
        </is>
      </c>
      <c r="J462" s="37" t="n">
        <v>44867.82708333333</v>
      </c>
      <c r="K462" t="inlineStr">
        <is>
          <t>Yes</t>
        </is>
      </c>
    </row>
    <row r="463">
      <c r="A463" t="inlineStr">
        <is>
          <t>REQ-0462</t>
        </is>
      </c>
      <c r="B463" t="inlineStr">
        <is>
          <t>Google</t>
        </is>
      </c>
      <c r="C463" t="inlineStr">
        <is>
          <t>Sundar Pichai</t>
        </is>
      </c>
      <c r="D463" t="inlineStr">
        <is>
          <t>sundar@google.com</t>
        </is>
      </c>
      <c r="E463" t="inlineStr">
        <is>
          <t>Chetan</t>
        </is>
      </c>
      <c r="F463" t="inlineStr">
        <is>
          <t>chetan@weekday.works</t>
        </is>
      </c>
      <c r="G463" s="36" t="inlineStr">
        <is>
          <t>+91 9920264452</t>
        </is>
      </c>
      <c r="H463" t="inlineStr">
        <is>
          <t>Round1</t>
        </is>
      </c>
      <c r="I463" t="inlineStr">
        <is>
          <t>&lt;calendly_link&gt;</t>
        </is>
      </c>
      <c r="J463" s="37" t="n">
        <v>44867.82708333333</v>
      </c>
      <c r="K463" t="inlineStr">
        <is>
          <t>Yes</t>
        </is>
      </c>
    </row>
    <row r="464">
      <c r="A464" t="inlineStr">
        <is>
          <t>REQ-0463</t>
        </is>
      </c>
      <c r="B464" t="inlineStr">
        <is>
          <t>Google</t>
        </is>
      </c>
      <c r="C464" t="inlineStr">
        <is>
          <t>Sundar Pichai</t>
        </is>
      </c>
      <c r="D464" t="inlineStr">
        <is>
          <t>sundar@google.com</t>
        </is>
      </c>
      <c r="E464" t="inlineStr">
        <is>
          <t>Chetan</t>
        </is>
      </c>
      <c r="F464" t="inlineStr">
        <is>
          <t>chetan@weekday.works</t>
        </is>
      </c>
      <c r="G464" s="36" t="inlineStr">
        <is>
          <t>+91 9920264452</t>
        </is>
      </c>
      <c r="H464" t="inlineStr">
        <is>
          <t>Round1</t>
        </is>
      </c>
      <c r="I464" t="inlineStr">
        <is>
          <t>&lt;calendly_link&gt;</t>
        </is>
      </c>
      <c r="J464" s="37" t="n">
        <v>44867.82708333333</v>
      </c>
      <c r="K464" t="inlineStr">
        <is>
          <t>Yes</t>
        </is>
      </c>
    </row>
    <row r="465">
      <c r="A465" t="inlineStr">
        <is>
          <t>REQ-0464</t>
        </is>
      </c>
      <c r="B465" t="inlineStr">
        <is>
          <t>Google</t>
        </is>
      </c>
      <c r="C465" t="inlineStr">
        <is>
          <t>Sundar Pichai</t>
        </is>
      </c>
      <c r="D465" t="inlineStr">
        <is>
          <t>sundar@google.com</t>
        </is>
      </c>
      <c r="E465" t="inlineStr">
        <is>
          <t>Chetan</t>
        </is>
      </c>
      <c r="F465" t="inlineStr">
        <is>
          <t>chetan@weekday.works</t>
        </is>
      </c>
      <c r="G465" s="36" t="inlineStr">
        <is>
          <t>+91 9920264452</t>
        </is>
      </c>
      <c r="H465" t="inlineStr">
        <is>
          <t>Round1</t>
        </is>
      </c>
      <c r="I465" t="inlineStr">
        <is>
          <t>&lt;calendly_link&gt;</t>
        </is>
      </c>
      <c r="J465" s="37" t="n">
        <v>44867.82708333333</v>
      </c>
      <c r="K465" t="inlineStr">
        <is>
          <t>Yes</t>
        </is>
      </c>
    </row>
    <row r="466">
      <c r="A466" t="inlineStr">
        <is>
          <t>REQ-0465</t>
        </is>
      </c>
      <c r="B466" t="inlineStr">
        <is>
          <t>Google</t>
        </is>
      </c>
      <c r="C466" t="inlineStr">
        <is>
          <t>Sundar Pichai</t>
        </is>
      </c>
      <c r="D466" t="inlineStr">
        <is>
          <t>sundar@google.com</t>
        </is>
      </c>
      <c r="E466" t="inlineStr">
        <is>
          <t>Chetan</t>
        </is>
      </c>
      <c r="F466" t="inlineStr">
        <is>
          <t>chetan@weekday.works</t>
        </is>
      </c>
      <c r="G466" s="36" t="inlineStr">
        <is>
          <t>+91 9920264452</t>
        </is>
      </c>
      <c r="H466" t="inlineStr">
        <is>
          <t>Round1</t>
        </is>
      </c>
      <c r="I466" t="inlineStr">
        <is>
          <t>&lt;calendly_link&gt;</t>
        </is>
      </c>
      <c r="J466" s="37" t="n">
        <v>44867.82708333333</v>
      </c>
      <c r="K466" t="inlineStr">
        <is>
          <t>Yes</t>
        </is>
      </c>
    </row>
    <row r="467">
      <c r="A467" t="inlineStr">
        <is>
          <t>REQ-0466</t>
        </is>
      </c>
      <c r="B467" t="inlineStr">
        <is>
          <t>Google</t>
        </is>
      </c>
      <c r="C467" t="inlineStr">
        <is>
          <t>Sundar Pichai</t>
        </is>
      </c>
      <c r="D467" t="inlineStr">
        <is>
          <t>sundar@google.com</t>
        </is>
      </c>
      <c r="E467" t="inlineStr">
        <is>
          <t>Chetan</t>
        </is>
      </c>
      <c r="F467" t="inlineStr">
        <is>
          <t>chetan@weekday.works</t>
        </is>
      </c>
      <c r="G467" s="36" t="inlineStr">
        <is>
          <t>+91 9920264452</t>
        </is>
      </c>
      <c r="H467" t="inlineStr">
        <is>
          <t>Round1</t>
        </is>
      </c>
      <c r="I467" t="inlineStr">
        <is>
          <t>&lt;calendly_link&gt;</t>
        </is>
      </c>
      <c r="J467" s="37" t="n">
        <v>44867.82708333333</v>
      </c>
      <c r="K467" t="inlineStr">
        <is>
          <t>Yes</t>
        </is>
      </c>
    </row>
    <row r="468">
      <c r="A468" t="inlineStr">
        <is>
          <t>REQ-0467</t>
        </is>
      </c>
      <c r="B468" t="inlineStr">
        <is>
          <t>Google</t>
        </is>
      </c>
      <c r="C468" t="inlineStr">
        <is>
          <t>Sundar Pichai</t>
        </is>
      </c>
      <c r="D468" t="inlineStr">
        <is>
          <t>sundar@google.com</t>
        </is>
      </c>
      <c r="E468" t="inlineStr">
        <is>
          <t>Chetan</t>
        </is>
      </c>
      <c r="F468" t="inlineStr">
        <is>
          <t>chetan@weekday.works</t>
        </is>
      </c>
      <c r="G468" s="36" t="inlineStr">
        <is>
          <t>+91 9920264452</t>
        </is>
      </c>
      <c r="H468" t="inlineStr">
        <is>
          <t>Round1</t>
        </is>
      </c>
      <c r="I468" t="inlineStr">
        <is>
          <t>&lt;calendly_link&gt;</t>
        </is>
      </c>
      <c r="J468" s="37" t="n">
        <v>44867.82708333333</v>
      </c>
      <c r="K468" t="inlineStr">
        <is>
          <t>Yes</t>
        </is>
      </c>
    </row>
    <row r="469">
      <c r="A469" t="inlineStr">
        <is>
          <t>REQ-0468</t>
        </is>
      </c>
      <c r="B469" t="inlineStr">
        <is>
          <t>Google</t>
        </is>
      </c>
      <c r="C469" t="inlineStr">
        <is>
          <t>Sundar Pichai</t>
        </is>
      </c>
      <c r="D469" t="inlineStr">
        <is>
          <t>sundar@google.com</t>
        </is>
      </c>
      <c r="E469" t="inlineStr">
        <is>
          <t>Chetan</t>
        </is>
      </c>
      <c r="F469" t="inlineStr">
        <is>
          <t>chetan@weekday.works</t>
        </is>
      </c>
      <c r="G469" s="36" t="inlineStr">
        <is>
          <t>+91 9920264452</t>
        </is>
      </c>
      <c r="H469" t="inlineStr">
        <is>
          <t>Round1</t>
        </is>
      </c>
      <c r="I469" t="inlineStr">
        <is>
          <t>&lt;calendly_link&gt;</t>
        </is>
      </c>
      <c r="J469" s="37" t="n">
        <v>44867.82708333333</v>
      </c>
      <c r="K469" t="inlineStr">
        <is>
          <t>Yes</t>
        </is>
      </c>
    </row>
    <row r="470">
      <c r="A470" t="inlineStr">
        <is>
          <t>REQ-0469</t>
        </is>
      </c>
      <c r="B470" t="inlineStr">
        <is>
          <t>Google</t>
        </is>
      </c>
      <c r="C470" t="inlineStr">
        <is>
          <t>Sundar Pichai</t>
        </is>
      </c>
      <c r="D470" t="inlineStr">
        <is>
          <t>sundar@google.com</t>
        </is>
      </c>
      <c r="E470" t="inlineStr">
        <is>
          <t>Chetan</t>
        </is>
      </c>
      <c r="F470" t="inlineStr">
        <is>
          <t>chetan@weekday.works</t>
        </is>
      </c>
      <c r="G470" s="36" t="inlineStr">
        <is>
          <t>+91 9920264452</t>
        </is>
      </c>
      <c r="H470" t="inlineStr">
        <is>
          <t>Round1</t>
        </is>
      </c>
      <c r="I470" t="inlineStr">
        <is>
          <t>&lt;calendly_link&gt;</t>
        </is>
      </c>
      <c r="J470" s="37" t="n">
        <v>44867.82708333333</v>
      </c>
      <c r="K470" t="inlineStr">
        <is>
          <t>Yes</t>
        </is>
      </c>
    </row>
    <row r="471">
      <c r="A471" t="inlineStr">
        <is>
          <t>REQ-0470</t>
        </is>
      </c>
      <c r="B471" t="inlineStr">
        <is>
          <t>Google</t>
        </is>
      </c>
      <c r="C471" t="inlineStr">
        <is>
          <t>Sundar Pichai</t>
        </is>
      </c>
      <c r="D471" t="inlineStr">
        <is>
          <t>sundar@google.com</t>
        </is>
      </c>
      <c r="E471" t="inlineStr">
        <is>
          <t>Chetan</t>
        </is>
      </c>
      <c r="F471" t="inlineStr">
        <is>
          <t>chetan@weekday.works</t>
        </is>
      </c>
      <c r="G471" s="36" t="inlineStr">
        <is>
          <t>+91 9920264452</t>
        </is>
      </c>
      <c r="H471" t="inlineStr">
        <is>
          <t>Round1</t>
        </is>
      </c>
      <c r="I471" t="inlineStr">
        <is>
          <t>&lt;calendly_link&gt;</t>
        </is>
      </c>
      <c r="J471" s="37" t="n">
        <v>44867.82708333333</v>
      </c>
      <c r="K471" t="inlineStr">
        <is>
          <t>Yes</t>
        </is>
      </c>
    </row>
    <row r="472">
      <c r="A472" t="inlineStr">
        <is>
          <t>REQ-0471</t>
        </is>
      </c>
      <c r="B472" t="inlineStr">
        <is>
          <t>Google</t>
        </is>
      </c>
      <c r="C472" t="inlineStr">
        <is>
          <t>Sundar Pichai</t>
        </is>
      </c>
      <c r="D472" t="inlineStr">
        <is>
          <t>sundar@google.com</t>
        </is>
      </c>
      <c r="E472" t="inlineStr">
        <is>
          <t>Chetan</t>
        </is>
      </c>
      <c r="F472" t="inlineStr">
        <is>
          <t>chetan@weekday.works</t>
        </is>
      </c>
      <c r="G472" s="36" t="inlineStr">
        <is>
          <t>+91 9920264452</t>
        </is>
      </c>
      <c r="H472" t="inlineStr">
        <is>
          <t>Round1</t>
        </is>
      </c>
      <c r="I472" t="inlineStr">
        <is>
          <t>&lt;calendly_link&gt;</t>
        </is>
      </c>
      <c r="J472" s="37" t="n">
        <v>44867.82708333333</v>
      </c>
      <c r="K472" t="inlineStr">
        <is>
          <t>Yes</t>
        </is>
      </c>
    </row>
    <row r="473">
      <c r="A473" t="inlineStr">
        <is>
          <t>REQ-0472</t>
        </is>
      </c>
      <c r="B473" t="inlineStr">
        <is>
          <t>Google</t>
        </is>
      </c>
      <c r="C473" t="inlineStr">
        <is>
          <t>Sundar Pichai</t>
        </is>
      </c>
      <c r="D473" t="inlineStr">
        <is>
          <t>sundar@google.com</t>
        </is>
      </c>
      <c r="E473" t="inlineStr">
        <is>
          <t>Chetan</t>
        </is>
      </c>
      <c r="F473" t="inlineStr">
        <is>
          <t>chetan@weekday.works</t>
        </is>
      </c>
      <c r="G473" s="36" t="inlineStr">
        <is>
          <t>+91 9920264452</t>
        </is>
      </c>
      <c r="H473" t="inlineStr">
        <is>
          <t>Round1</t>
        </is>
      </c>
      <c r="I473" t="inlineStr">
        <is>
          <t>&lt;calendly_link&gt;</t>
        </is>
      </c>
      <c r="J473" s="37" t="n">
        <v>44867.82708333333</v>
      </c>
      <c r="K473" t="inlineStr">
        <is>
          <t>Yes</t>
        </is>
      </c>
    </row>
    <row r="474">
      <c r="A474" t="inlineStr">
        <is>
          <t>REQ-0473</t>
        </is>
      </c>
      <c r="B474" t="inlineStr">
        <is>
          <t>Google</t>
        </is>
      </c>
      <c r="C474" t="inlineStr">
        <is>
          <t>Sundar Pichai</t>
        </is>
      </c>
      <c r="D474" t="inlineStr">
        <is>
          <t>sundar@google.com</t>
        </is>
      </c>
      <c r="E474" t="inlineStr">
        <is>
          <t>Chetan</t>
        </is>
      </c>
      <c r="F474" t="inlineStr">
        <is>
          <t>chetan@weekday.works</t>
        </is>
      </c>
      <c r="G474" s="36" t="inlineStr">
        <is>
          <t>+91 9920264452</t>
        </is>
      </c>
      <c r="H474" t="inlineStr">
        <is>
          <t>Round1</t>
        </is>
      </c>
      <c r="I474" t="inlineStr">
        <is>
          <t>&lt;calendly_link&gt;</t>
        </is>
      </c>
      <c r="J474" s="37" t="n">
        <v>44867.82708333333</v>
      </c>
      <c r="K474" t="inlineStr">
        <is>
          <t>Yes</t>
        </is>
      </c>
    </row>
    <row r="475">
      <c r="A475" t="inlineStr">
        <is>
          <t>REQ-0474</t>
        </is>
      </c>
      <c r="B475" t="inlineStr">
        <is>
          <t>Google</t>
        </is>
      </c>
      <c r="C475" t="inlineStr">
        <is>
          <t>Sundar Pichai</t>
        </is>
      </c>
      <c r="D475" t="inlineStr">
        <is>
          <t>sundar@google.com</t>
        </is>
      </c>
      <c r="E475" t="inlineStr">
        <is>
          <t>Chetan</t>
        </is>
      </c>
      <c r="F475" t="inlineStr">
        <is>
          <t>chetan@weekday.works</t>
        </is>
      </c>
      <c r="G475" s="36" t="inlineStr">
        <is>
          <t>+91 9920264452</t>
        </is>
      </c>
      <c r="H475" t="inlineStr">
        <is>
          <t>Round1</t>
        </is>
      </c>
      <c r="I475" t="inlineStr">
        <is>
          <t>&lt;calendly_link&gt;</t>
        </is>
      </c>
      <c r="J475" s="37" t="n">
        <v>44867.82708333333</v>
      </c>
      <c r="K475" t="inlineStr">
        <is>
          <t>Yes</t>
        </is>
      </c>
    </row>
    <row r="476">
      <c r="A476" t="inlineStr">
        <is>
          <t>REQ-0475</t>
        </is>
      </c>
      <c r="B476" t="inlineStr">
        <is>
          <t>Google</t>
        </is>
      </c>
      <c r="C476" t="inlineStr">
        <is>
          <t>Sundar Pichai</t>
        </is>
      </c>
      <c r="D476" t="inlineStr">
        <is>
          <t>sundar@google.com</t>
        </is>
      </c>
      <c r="E476" t="inlineStr">
        <is>
          <t>Chetan</t>
        </is>
      </c>
      <c r="F476" t="inlineStr">
        <is>
          <t>chetan@weekday.works</t>
        </is>
      </c>
      <c r="G476" s="36" t="inlineStr">
        <is>
          <t>+91 9920264452</t>
        </is>
      </c>
      <c r="H476" t="inlineStr">
        <is>
          <t>Round1</t>
        </is>
      </c>
      <c r="I476" t="inlineStr">
        <is>
          <t>&lt;calendly_link&gt;</t>
        </is>
      </c>
      <c r="J476" s="37" t="n">
        <v>44867.82708333333</v>
      </c>
      <c r="K476" t="inlineStr">
        <is>
          <t>Yes</t>
        </is>
      </c>
    </row>
    <row r="477">
      <c r="A477" t="inlineStr">
        <is>
          <t>REQ-0476</t>
        </is>
      </c>
      <c r="B477" t="inlineStr">
        <is>
          <t>Google</t>
        </is>
      </c>
      <c r="C477" t="inlineStr">
        <is>
          <t>Sundar Pichai</t>
        </is>
      </c>
      <c r="D477" t="inlineStr">
        <is>
          <t>sundar@google.com</t>
        </is>
      </c>
      <c r="E477" t="inlineStr">
        <is>
          <t>Chetan</t>
        </is>
      </c>
      <c r="F477" t="inlineStr">
        <is>
          <t>chetan@weekday.works</t>
        </is>
      </c>
      <c r="G477" s="36" t="inlineStr">
        <is>
          <t>+91 9920264452</t>
        </is>
      </c>
      <c r="H477" t="inlineStr">
        <is>
          <t>Round1</t>
        </is>
      </c>
      <c r="I477" t="inlineStr">
        <is>
          <t>&lt;calendly_link&gt;</t>
        </is>
      </c>
      <c r="J477" s="37" t="n">
        <v>44867.82708333333</v>
      </c>
      <c r="K477" t="inlineStr">
        <is>
          <t>Yes</t>
        </is>
      </c>
    </row>
    <row r="478">
      <c r="A478" t="inlineStr">
        <is>
          <t>REQ-0477</t>
        </is>
      </c>
      <c r="B478" t="inlineStr">
        <is>
          <t>Google</t>
        </is>
      </c>
      <c r="C478" t="inlineStr">
        <is>
          <t>Sundar Pichai</t>
        </is>
      </c>
      <c r="D478" t="inlineStr">
        <is>
          <t>sundar@google.com</t>
        </is>
      </c>
      <c r="E478" t="inlineStr">
        <is>
          <t>Chetan</t>
        </is>
      </c>
      <c r="F478" t="inlineStr">
        <is>
          <t>chetan@weekday.works</t>
        </is>
      </c>
      <c r="G478" s="36" t="inlineStr">
        <is>
          <t>+91 9920264452</t>
        </is>
      </c>
      <c r="H478" t="inlineStr">
        <is>
          <t>Round1</t>
        </is>
      </c>
      <c r="I478" t="inlineStr">
        <is>
          <t>&lt;calendly_link&gt;</t>
        </is>
      </c>
      <c r="J478" s="37" t="n">
        <v>44867.82708333333</v>
      </c>
      <c r="K478" t="inlineStr">
        <is>
          <t>Yes</t>
        </is>
      </c>
    </row>
    <row r="479">
      <c r="A479" t="inlineStr">
        <is>
          <t>REQ-0478</t>
        </is>
      </c>
      <c r="B479" t="inlineStr">
        <is>
          <t>Google</t>
        </is>
      </c>
      <c r="C479" t="inlineStr">
        <is>
          <t>Sundar Pichai</t>
        </is>
      </c>
      <c r="D479" t="inlineStr">
        <is>
          <t>sundar@google.com</t>
        </is>
      </c>
      <c r="E479" t="inlineStr">
        <is>
          <t>Chetan</t>
        </is>
      </c>
      <c r="F479" t="inlineStr">
        <is>
          <t>chetan@weekday.works</t>
        </is>
      </c>
      <c r="G479" s="36" t="inlineStr">
        <is>
          <t>+91 9920264452</t>
        </is>
      </c>
      <c r="H479" t="inlineStr">
        <is>
          <t>Round1</t>
        </is>
      </c>
      <c r="I479" t="inlineStr">
        <is>
          <t>&lt;calendly_link&gt;</t>
        </is>
      </c>
      <c r="J479" s="37" t="n">
        <v>44867.82708333333</v>
      </c>
      <c r="K479" t="inlineStr">
        <is>
          <t>Yes</t>
        </is>
      </c>
    </row>
    <row r="480">
      <c r="A480" t="inlineStr">
        <is>
          <t>REQ-0479</t>
        </is>
      </c>
      <c r="B480" t="inlineStr">
        <is>
          <t>Google</t>
        </is>
      </c>
      <c r="C480" t="inlineStr">
        <is>
          <t>Sundar Pichai</t>
        </is>
      </c>
      <c r="D480" t="inlineStr">
        <is>
          <t>sundar@google.com</t>
        </is>
      </c>
      <c r="E480" t="inlineStr">
        <is>
          <t>Chetan</t>
        </is>
      </c>
      <c r="F480" t="inlineStr">
        <is>
          <t>chetan@weekday.works</t>
        </is>
      </c>
      <c r="G480" s="36" t="inlineStr">
        <is>
          <t>+91 9920264452</t>
        </is>
      </c>
      <c r="H480" t="inlineStr">
        <is>
          <t>Round1</t>
        </is>
      </c>
      <c r="I480" t="inlineStr">
        <is>
          <t>&lt;calendly_link&gt;</t>
        </is>
      </c>
      <c r="J480" s="37" t="n">
        <v>44867.82708333333</v>
      </c>
      <c r="K480" t="inlineStr">
        <is>
          <t>Yes</t>
        </is>
      </c>
    </row>
    <row r="481">
      <c r="A481" t="inlineStr">
        <is>
          <t>REQ-0480</t>
        </is>
      </c>
      <c r="B481" t="inlineStr">
        <is>
          <t>Google</t>
        </is>
      </c>
      <c r="C481" t="inlineStr">
        <is>
          <t>Sundar Pichai</t>
        </is>
      </c>
      <c r="D481" t="inlineStr">
        <is>
          <t>sundar@google.com</t>
        </is>
      </c>
      <c r="E481" t="inlineStr">
        <is>
          <t>Chetan</t>
        </is>
      </c>
      <c r="F481" t="inlineStr">
        <is>
          <t>chetan@weekday.works</t>
        </is>
      </c>
      <c r="G481" s="36" t="inlineStr">
        <is>
          <t>+91 9920264452</t>
        </is>
      </c>
      <c r="H481" t="inlineStr">
        <is>
          <t>Round1</t>
        </is>
      </c>
      <c r="I481" t="inlineStr">
        <is>
          <t>&lt;calendly_link&gt;</t>
        </is>
      </c>
      <c r="J481" s="37" t="n">
        <v>44867.82708333333</v>
      </c>
      <c r="K481" t="inlineStr">
        <is>
          <t>Yes</t>
        </is>
      </c>
    </row>
    <row r="482">
      <c r="A482" t="inlineStr">
        <is>
          <t>REQ-0481</t>
        </is>
      </c>
      <c r="B482" t="inlineStr">
        <is>
          <t>Google</t>
        </is>
      </c>
      <c r="C482" t="inlineStr">
        <is>
          <t>Sundar Pichai</t>
        </is>
      </c>
      <c r="D482" t="inlineStr">
        <is>
          <t>sundar@google.com</t>
        </is>
      </c>
      <c r="E482" t="inlineStr">
        <is>
          <t>Chetan</t>
        </is>
      </c>
      <c r="F482" t="inlineStr">
        <is>
          <t>chetan@weekday.works</t>
        </is>
      </c>
      <c r="G482" s="36" t="inlineStr">
        <is>
          <t>+91 9920264452</t>
        </is>
      </c>
      <c r="H482" t="inlineStr">
        <is>
          <t>Round1</t>
        </is>
      </c>
      <c r="I482" t="inlineStr">
        <is>
          <t>&lt;calendly_link&gt;</t>
        </is>
      </c>
      <c r="J482" s="37" t="n">
        <v>44867.82708333333</v>
      </c>
      <c r="K482" t="inlineStr">
        <is>
          <t>Yes</t>
        </is>
      </c>
    </row>
    <row r="483">
      <c r="A483" t="inlineStr">
        <is>
          <t>REQ-0482</t>
        </is>
      </c>
      <c r="B483" t="inlineStr">
        <is>
          <t>Google</t>
        </is>
      </c>
      <c r="C483" t="inlineStr">
        <is>
          <t>Sundar Pichai</t>
        </is>
      </c>
      <c r="D483" t="inlineStr">
        <is>
          <t>sundar@google.com</t>
        </is>
      </c>
      <c r="E483" t="inlineStr">
        <is>
          <t>Chetan</t>
        </is>
      </c>
      <c r="F483" t="inlineStr">
        <is>
          <t>chetan@weekday.works</t>
        </is>
      </c>
      <c r="G483" s="36" t="inlineStr">
        <is>
          <t>+91 9920264452</t>
        </is>
      </c>
      <c r="H483" t="inlineStr">
        <is>
          <t>Round1</t>
        </is>
      </c>
      <c r="I483" t="inlineStr">
        <is>
          <t>&lt;calendly_link&gt;</t>
        </is>
      </c>
      <c r="J483" s="37" t="n">
        <v>44867.82708333333</v>
      </c>
      <c r="K483" t="inlineStr">
        <is>
          <t>Yes</t>
        </is>
      </c>
    </row>
    <row r="484">
      <c r="A484" t="inlineStr">
        <is>
          <t>REQ-0483</t>
        </is>
      </c>
      <c r="B484" t="inlineStr">
        <is>
          <t>Google</t>
        </is>
      </c>
      <c r="C484" t="inlineStr">
        <is>
          <t>Sundar Pichai</t>
        </is>
      </c>
      <c r="D484" t="inlineStr">
        <is>
          <t>sundar@google.com</t>
        </is>
      </c>
      <c r="E484" t="inlineStr">
        <is>
          <t>Chetan</t>
        </is>
      </c>
      <c r="F484" t="inlineStr">
        <is>
          <t>chetan@weekday.works</t>
        </is>
      </c>
      <c r="G484" s="36" t="inlineStr">
        <is>
          <t>+91 9920264452</t>
        </is>
      </c>
      <c r="H484" t="inlineStr">
        <is>
          <t>Round1</t>
        </is>
      </c>
      <c r="I484" t="inlineStr">
        <is>
          <t>&lt;calendly_link&gt;</t>
        </is>
      </c>
      <c r="J484" s="37" t="n">
        <v>44867.82708333333</v>
      </c>
      <c r="K484" t="inlineStr">
        <is>
          <t>Yes</t>
        </is>
      </c>
    </row>
    <row r="485">
      <c r="A485" t="inlineStr">
        <is>
          <t>REQ-0484</t>
        </is>
      </c>
      <c r="B485" t="inlineStr">
        <is>
          <t>Google</t>
        </is>
      </c>
      <c r="C485" t="inlineStr">
        <is>
          <t>Sundar Pichai</t>
        </is>
      </c>
      <c r="D485" t="inlineStr">
        <is>
          <t>sundar@google.com</t>
        </is>
      </c>
      <c r="E485" t="inlineStr">
        <is>
          <t>Chetan</t>
        </is>
      </c>
      <c r="F485" t="inlineStr">
        <is>
          <t>chetan@weekday.works</t>
        </is>
      </c>
      <c r="G485" s="36" t="inlineStr">
        <is>
          <t>+91 9920264452</t>
        </is>
      </c>
      <c r="H485" t="inlineStr">
        <is>
          <t>Round1</t>
        </is>
      </c>
      <c r="I485" t="inlineStr">
        <is>
          <t>&lt;calendly_link&gt;</t>
        </is>
      </c>
      <c r="J485" s="37" t="n">
        <v>44867.82708333333</v>
      </c>
      <c r="K485" t="inlineStr">
        <is>
          <t>Yes</t>
        </is>
      </c>
    </row>
    <row r="486">
      <c r="A486" t="inlineStr">
        <is>
          <t>REQ-0485</t>
        </is>
      </c>
      <c r="B486" t="inlineStr">
        <is>
          <t>Google</t>
        </is>
      </c>
      <c r="C486" t="inlineStr">
        <is>
          <t>Sundar Pichai</t>
        </is>
      </c>
      <c r="D486" t="inlineStr">
        <is>
          <t>sundar@google.com</t>
        </is>
      </c>
      <c r="E486" t="inlineStr">
        <is>
          <t>Chetan</t>
        </is>
      </c>
      <c r="F486" t="inlineStr">
        <is>
          <t>chetan@weekday.works</t>
        </is>
      </c>
      <c r="G486" s="36" t="inlineStr">
        <is>
          <t>+91 9920264452</t>
        </is>
      </c>
      <c r="H486" t="inlineStr">
        <is>
          <t>Round1</t>
        </is>
      </c>
      <c r="I486" t="inlineStr">
        <is>
          <t>&lt;calendly_link&gt;</t>
        </is>
      </c>
      <c r="J486" s="37" t="n">
        <v>44867.82708333333</v>
      </c>
      <c r="K486" t="inlineStr">
        <is>
          <t>Yes</t>
        </is>
      </c>
    </row>
    <row r="487">
      <c r="A487" t="inlineStr">
        <is>
          <t>REQ-0486</t>
        </is>
      </c>
      <c r="B487" t="inlineStr">
        <is>
          <t>Google</t>
        </is>
      </c>
      <c r="C487" t="inlineStr">
        <is>
          <t>Sundar Pichai</t>
        </is>
      </c>
      <c r="D487" t="inlineStr">
        <is>
          <t>sundar@google.com</t>
        </is>
      </c>
      <c r="E487" t="inlineStr">
        <is>
          <t>Chetan</t>
        </is>
      </c>
      <c r="F487" t="inlineStr">
        <is>
          <t>chetan@weekday.works</t>
        </is>
      </c>
      <c r="G487" s="36" t="inlineStr">
        <is>
          <t>+91 9920264452</t>
        </is>
      </c>
      <c r="H487" t="inlineStr">
        <is>
          <t>Round1</t>
        </is>
      </c>
      <c r="I487" t="inlineStr">
        <is>
          <t>&lt;calendly_link&gt;</t>
        </is>
      </c>
      <c r="J487" s="37" t="n">
        <v>44867.82708333333</v>
      </c>
      <c r="K487" t="inlineStr">
        <is>
          <t>Yes</t>
        </is>
      </c>
    </row>
    <row r="488">
      <c r="A488" t="inlineStr">
        <is>
          <t>REQ-0487</t>
        </is>
      </c>
      <c r="B488" t="inlineStr">
        <is>
          <t>Google</t>
        </is>
      </c>
      <c r="C488" t="inlineStr">
        <is>
          <t>Sundar Pichai</t>
        </is>
      </c>
      <c r="D488" t="inlineStr">
        <is>
          <t>sundar@google.com</t>
        </is>
      </c>
      <c r="E488" t="inlineStr">
        <is>
          <t>Chetan</t>
        </is>
      </c>
      <c r="F488" t="inlineStr">
        <is>
          <t>chetan@weekday.works</t>
        </is>
      </c>
      <c r="G488" s="36" t="inlineStr">
        <is>
          <t>+91 9920264452</t>
        </is>
      </c>
      <c r="H488" t="inlineStr">
        <is>
          <t>Round1</t>
        </is>
      </c>
      <c r="I488" t="inlineStr">
        <is>
          <t>&lt;calendly_link&gt;</t>
        </is>
      </c>
      <c r="J488" s="37" t="n">
        <v>44867.82708333333</v>
      </c>
      <c r="K488" t="inlineStr">
        <is>
          <t>Yes</t>
        </is>
      </c>
    </row>
    <row r="489">
      <c r="A489" t="inlineStr">
        <is>
          <t>REQ-0488</t>
        </is>
      </c>
      <c r="B489" t="inlineStr">
        <is>
          <t>Google</t>
        </is>
      </c>
      <c r="C489" t="inlineStr">
        <is>
          <t>Sundar Pichai</t>
        </is>
      </c>
      <c r="D489" t="inlineStr">
        <is>
          <t>sundar@google.com</t>
        </is>
      </c>
      <c r="E489" t="inlineStr">
        <is>
          <t>Chetan</t>
        </is>
      </c>
      <c r="F489" t="inlineStr">
        <is>
          <t>chetan@weekday.works</t>
        </is>
      </c>
      <c r="G489" s="36" t="inlineStr">
        <is>
          <t>+91 9920264452</t>
        </is>
      </c>
      <c r="H489" t="inlineStr">
        <is>
          <t>Round1</t>
        </is>
      </c>
      <c r="I489" t="inlineStr">
        <is>
          <t>&lt;calendly_link&gt;</t>
        </is>
      </c>
      <c r="J489" s="37" t="n">
        <v>44867.82708333333</v>
      </c>
      <c r="K489" t="inlineStr">
        <is>
          <t>Yes</t>
        </is>
      </c>
    </row>
    <row r="490">
      <c r="A490" t="inlineStr">
        <is>
          <t>REQ-0489</t>
        </is>
      </c>
      <c r="B490" t="inlineStr">
        <is>
          <t>Google</t>
        </is>
      </c>
      <c r="C490" t="inlineStr">
        <is>
          <t>Sundar Pichai</t>
        </is>
      </c>
      <c r="D490" t="inlineStr">
        <is>
          <t>sundar@google.com</t>
        </is>
      </c>
      <c r="E490" t="inlineStr">
        <is>
          <t>Chetan</t>
        </is>
      </c>
      <c r="F490" t="inlineStr">
        <is>
          <t>chetan@weekday.works</t>
        </is>
      </c>
      <c r="G490" s="36" t="inlineStr">
        <is>
          <t>+91 9920264452</t>
        </is>
      </c>
      <c r="H490" t="inlineStr">
        <is>
          <t>Round1</t>
        </is>
      </c>
      <c r="I490" t="inlineStr">
        <is>
          <t>&lt;calendly_link&gt;</t>
        </is>
      </c>
      <c r="J490" s="37" t="n">
        <v>44867.82708333333</v>
      </c>
      <c r="K490" t="inlineStr">
        <is>
          <t>Yes</t>
        </is>
      </c>
    </row>
    <row r="491">
      <c r="A491" t="inlineStr">
        <is>
          <t>REQ-0490</t>
        </is>
      </c>
      <c r="B491" t="inlineStr">
        <is>
          <t>Google</t>
        </is>
      </c>
      <c r="C491" t="inlineStr">
        <is>
          <t>Sundar Pichai</t>
        </is>
      </c>
      <c r="D491" t="inlineStr">
        <is>
          <t>sundar@google.com</t>
        </is>
      </c>
      <c r="E491" t="inlineStr">
        <is>
          <t>Chetan</t>
        </is>
      </c>
      <c r="F491" t="inlineStr">
        <is>
          <t>chetan@weekday.works</t>
        </is>
      </c>
      <c r="G491" s="36" t="inlineStr">
        <is>
          <t>+91 9920264452</t>
        </is>
      </c>
      <c r="H491" t="inlineStr">
        <is>
          <t>Round1</t>
        </is>
      </c>
      <c r="I491" t="inlineStr">
        <is>
          <t>&lt;calendly_link&gt;</t>
        </is>
      </c>
      <c r="J491" s="37" t="n">
        <v>44867.82708333333</v>
      </c>
      <c r="K491" t="inlineStr">
        <is>
          <t>Yes</t>
        </is>
      </c>
    </row>
    <row r="492">
      <c r="A492" t="inlineStr">
        <is>
          <t>REQ-0491</t>
        </is>
      </c>
      <c r="B492" t="inlineStr">
        <is>
          <t>Google</t>
        </is>
      </c>
      <c r="C492" t="inlineStr">
        <is>
          <t>Sundar Pichai</t>
        </is>
      </c>
      <c r="D492" t="inlineStr">
        <is>
          <t>sundar@google.com</t>
        </is>
      </c>
      <c r="E492" t="inlineStr">
        <is>
          <t>Chetan</t>
        </is>
      </c>
      <c r="F492" t="inlineStr">
        <is>
          <t>chetan@weekday.works</t>
        </is>
      </c>
      <c r="G492" s="36" t="inlineStr">
        <is>
          <t>+91 9920264452</t>
        </is>
      </c>
      <c r="H492" t="inlineStr">
        <is>
          <t>Round1</t>
        </is>
      </c>
      <c r="I492" t="inlineStr">
        <is>
          <t>&lt;calendly_link&gt;</t>
        </is>
      </c>
      <c r="J492" s="37" t="n">
        <v>44867.82708333333</v>
      </c>
      <c r="K492" t="inlineStr">
        <is>
          <t>Yes</t>
        </is>
      </c>
    </row>
    <row r="493">
      <c r="A493" t="inlineStr">
        <is>
          <t>REQ-0492</t>
        </is>
      </c>
      <c r="B493" t="inlineStr">
        <is>
          <t>Google</t>
        </is>
      </c>
      <c r="C493" t="inlineStr">
        <is>
          <t>Sundar Pichai</t>
        </is>
      </c>
      <c r="D493" t="inlineStr">
        <is>
          <t>sundar@google.com</t>
        </is>
      </c>
      <c r="E493" t="inlineStr">
        <is>
          <t>Chetan</t>
        </is>
      </c>
      <c r="F493" t="inlineStr">
        <is>
          <t>chetan@weekday.works</t>
        </is>
      </c>
      <c r="G493" s="36" t="inlineStr">
        <is>
          <t>+91 9920264452</t>
        </is>
      </c>
      <c r="H493" t="inlineStr">
        <is>
          <t>Round1</t>
        </is>
      </c>
      <c r="I493" t="inlineStr">
        <is>
          <t>&lt;calendly_link&gt;</t>
        </is>
      </c>
      <c r="J493" s="37" t="n">
        <v>44867.82708333333</v>
      </c>
      <c r="K493" t="inlineStr">
        <is>
          <t>Yes</t>
        </is>
      </c>
    </row>
    <row r="494">
      <c r="A494" t="inlineStr">
        <is>
          <t>REQ-0493</t>
        </is>
      </c>
      <c r="B494" t="inlineStr">
        <is>
          <t>Google</t>
        </is>
      </c>
      <c r="C494" t="inlineStr">
        <is>
          <t>Sundar Pichai</t>
        </is>
      </c>
      <c r="D494" t="inlineStr">
        <is>
          <t>sundar@google.com</t>
        </is>
      </c>
      <c r="E494" t="inlineStr">
        <is>
          <t>Chetan</t>
        </is>
      </c>
      <c r="F494" t="inlineStr">
        <is>
          <t>chetan@weekday.works</t>
        </is>
      </c>
      <c r="G494" s="36" t="inlineStr">
        <is>
          <t>+91 9920264452</t>
        </is>
      </c>
      <c r="H494" t="inlineStr">
        <is>
          <t>Round1</t>
        </is>
      </c>
      <c r="I494" t="inlineStr">
        <is>
          <t>&lt;calendly_link&gt;</t>
        </is>
      </c>
      <c r="J494" s="37" t="n">
        <v>44867.82708333333</v>
      </c>
      <c r="K494" t="inlineStr">
        <is>
          <t>Yes</t>
        </is>
      </c>
    </row>
    <row r="495">
      <c r="A495" t="inlineStr">
        <is>
          <t>REQ-0494</t>
        </is>
      </c>
      <c r="B495" t="inlineStr">
        <is>
          <t>Google</t>
        </is>
      </c>
      <c r="C495" t="inlineStr">
        <is>
          <t>Sundar Pichai</t>
        </is>
      </c>
      <c r="D495" t="inlineStr">
        <is>
          <t>sundar@google.com</t>
        </is>
      </c>
      <c r="E495" t="inlineStr">
        <is>
          <t>Chetan</t>
        </is>
      </c>
      <c r="F495" t="inlineStr">
        <is>
          <t>chetan@weekday.works</t>
        </is>
      </c>
      <c r="G495" s="36" t="inlineStr">
        <is>
          <t>+91 9920264452</t>
        </is>
      </c>
      <c r="H495" t="inlineStr">
        <is>
          <t>Round1</t>
        </is>
      </c>
      <c r="I495" t="inlineStr">
        <is>
          <t>&lt;calendly_link&gt;</t>
        </is>
      </c>
      <c r="J495" s="37" t="n">
        <v>44867.82708333333</v>
      </c>
      <c r="K495" t="inlineStr">
        <is>
          <t>Yes</t>
        </is>
      </c>
    </row>
    <row r="496">
      <c r="A496" t="inlineStr">
        <is>
          <t>REQ-0495</t>
        </is>
      </c>
      <c r="B496" t="inlineStr">
        <is>
          <t>Google</t>
        </is>
      </c>
      <c r="C496" t="inlineStr">
        <is>
          <t>Sundar Pichai</t>
        </is>
      </c>
      <c r="D496" t="inlineStr">
        <is>
          <t>sundar@google.com</t>
        </is>
      </c>
      <c r="E496" t="inlineStr">
        <is>
          <t>Chetan</t>
        </is>
      </c>
      <c r="F496" t="inlineStr">
        <is>
          <t>chetan@weekday.works</t>
        </is>
      </c>
      <c r="G496" s="36" t="inlineStr">
        <is>
          <t>+91 9920264452</t>
        </is>
      </c>
      <c r="H496" t="inlineStr">
        <is>
          <t>Round1</t>
        </is>
      </c>
      <c r="I496" t="inlineStr">
        <is>
          <t>&lt;calendly_link&gt;</t>
        </is>
      </c>
      <c r="J496" s="37" t="n">
        <v>44867.82708333333</v>
      </c>
      <c r="K496" t="inlineStr">
        <is>
          <t>Yes</t>
        </is>
      </c>
    </row>
    <row r="497">
      <c r="A497" t="inlineStr">
        <is>
          <t>REQ-0496</t>
        </is>
      </c>
      <c r="B497" t="inlineStr">
        <is>
          <t>Google</t>
        </is>
      </c>
      <c r="C497" t="inlineStr">
        <is>
          <t>Sundar Pichai</t>
        </is>
      </c>
      <c r="D497" t="inlineStr">
        <is>
          <t>sundar@google.com</t>
        </is>
      </c>
      <c r="E497" t="inlineStr">
        <is>
          <t>Chetan</t>
        </is>
      </c>
      <c r="F497" t="inlineStr">
        <is>
          <t>chetan@weekday.works</t>
        </is>
      </c>
      <c r="G497" s="36" t="inlineStr">
        <is>
          <t>+91 9920264452</t>
        </is>
      </c>
      <c r="H497" t="inlineStr">
        <is>
          <t>Round1</t>
        </is>
      </c>
      <c r="I497" t="inlineStr">
        <is>
          <t>&lt;calendly_link&gt;</t>
        </is>
      </c>
      <c r="J497" s="37" t="n">
        <v>44867.82708333333</v>
      </c>
      <c r="K497" t="inlineStr">
        <is>
          <t>Yes</t>
        </is>
      </c>
    </row>
    <row r="498">
      <c r="A498" t="inlineStr">
        <is>
          <t>REQ-0497</t>
        </is>
      </c>
      <c r="B498" t="inlineStr">
        <is>
          <t>Google</t>
        </is>
      </c>
      <c r="C498" t="inlineStr">
        <is>
          <t>Sundar Pichai</t>
        </is>
      </c>
      <c r="D498" t="inlineStr">
        <is>
          <t>sundar@google.com</t>
        </is>
      </c>
      <c r="E498" t="inlineStr">
        <is>
          <t>Chetan</t>
        </is>
      </c>
      <c r="F498" t="inlineStr">
        <is>
          <t>chetan@weekday.works</t>
        </is>
      </c>
      <c r="G498" s="36" t="inlineStr">
        <is>
          <t>+91 9920264452</t>
        </is>
      </c>
      <c r="H498" t="inlineStr">
        <is>
          <t>Round1</t>
        </is>
      </c>
      <c r="I498" t="inlineStr">
        <is>
          <t>&lt;calendly_link&gt;</t>
        </is>
      </c>
      <c r="J498" s="37" t="n">
        <v>44867.82708333333</v>
      </c>
      <c r="K498" t="inlineStr">
        <is>
          <t>Yes</t>
        </is>
      </c>
    </row>
    <row r="499">
      <c r="A499" t="inlineStr">
        <is>
          <t>REQ-0498</t>
        </is>
      </c>
      <c r="B499" t="inlineStr">
        <is>
          <t>Google</t>
        </is>
      </c>
      <c r="C499" t="inlineStr">
        <is>
          <t>Sundar Pichai</t>
        </is>
      </c>
      <c r="D499" t="inlineStr">
        <is>
          <t>sundar@google.com</t>
        </is>
      </c>
      <c r="E499" t="inlineStr">
        <is>
          <t>Chetan</t>
        </is>
      </c>
      <c r="F499" t="inlineStr">
        <is>
          <t>chetan@weekday.works</t>
        </is>
      </c>
      <c r="G499" s="36" t="inlineStr">
        <is>
          <t>+91 9920264452</t>
        </is>
      </c>
      <c r="H499" t="inlineStr">
        <is>
          <t>Round1</t>
        </is>
      </c>
      <c r="I499" t="inlineStr">
        <is>
          <t>&lt;calendly_link&gt;</t>
        </is>
      </c>
      <c r="J499" s="37" t="n">
        <v>44867.82708333333</v>
      </c>
      <c r="K499" t="inlineStr">
        <is>
          <t>Yes</t>
        </is>
      </c>
    </row>
    <row r="500">
      <c r="A500" t="inlineStr">
        <is>
          <t>REQ-0499</t>
        </is>
      </c>
      <c r="B500" t="inlineStr">
        <is>
          <t>Google</t>
        </is>
      </c>
      <c r="C500" t="inlineStr">
        <is>
          <t>Sundar Pichai</t>
        </is>
      </c>
      <c r="D500" t="inlineStr">
        <is>
          <t>sundar@google.com</t>
        </is>
      </c>
      <c r="E500" t="inlineStr">
        <is>
          <t>Chetan</t>
        </is>
      </c>
      <c r="F500" t="inlineStr">
        <is>
          <t>chetan@weekday.works</t>
        </is>
      </c>
      <c r="G500" s="36" t="inlineStr">
        <is>
          <t>+91 9920264452</t>
        </is>
      </c>
      <c r="H500" t="inlineStr">
        <is>
          <t>Round1</t>
        </is>
      </c>
      <c r="I500" t="inlineStr">
        <is>
          <t>&lt;calendly_link&gt;</t>
        </is>
      </c>
      <c r="J500" s="37" t="n">
        <v>44867.82708333333</v>
      </c>
      <c r="K500" t="inlineStr">
        <is>
          <t>Yes</t>
        </is>
      </c>
    </row>
    <row r="501">
      <c r="A501" t="inlineStr">
        <is>
          <t>REQ-0500</t>
        </is>
      </c>
      <c r="B501" t="inlineStr">
        <is>
          <t>Google</t>
        </is>
      </c>
      <c r="C501" t="inlineStr">
        <is>
          <t>Sundar Pichai</t>
        </is>
      </c>
      <c r="D501" t="inlineStr">
        <is>
          <t>sundar@google.com</t>
        </is>
      </c>
      <c r="E501" t="inlineStr">
        <is>
          <t>Chetan</t>
        </is>
      </c>
      <c r="F501" t="inlineStr">
        <is>
          <t>chetan@weekday.works</t>
        </is>
      </c>
      <c r="G501" s="36" t="inlineStr">
        <is>
          <t>+91 9920264452</t>
        </is>
      </c>
      <c r="H501" t="inlineStr">
        <is>
          <t>Round1</t>
        </is>
      </c>
      <c r="I501" t="inlineStr">
        <is>
          <t>&lt;calendly_link&gt;</t>
        </is>
      </c>
      <c r="J501" s="37" t="n">
        <v>44867.82708333333</v>
      </c>
      <c r="K501" t="inlineStr">
        <is>
          <t>Yes</t>
        </is>
      </c>
    </row>
    <row r="502">
      <c r="A502" t="inlineStr">
        <is>
          <t>REQ-0501</t>
        </is>
      </c>
      <c r="B502" t="inlineStr">
        <is>
          <t>Google</t>
        </is>
      </c>
      <c r="C502" t="inlineStr">
        <is>
          <t>Sundar Pichai</t>
        </is>
      </c>
      <c r="D502" t="inlineStr">
        <is>
          <t>sundar@google.com</t>
        </is>
      </c>
      <c r="E502" t="inlineStr">
        <is>
          <t>Chetan</t>
        </is>
      </c>
      <c r="F502" t="inlineStr">
        <is>
          <t>chetan@weekday.works</t>
        </is>
      </c>
      <c r="G502" s="36" t="inlineStr">
        <is>
          <t>+91 9920264452</t>
        </is>
      </c>
      <c r="H502" t="inlineStr">
        <is>
          <t>Round1</t>
        </is>
      </c>
      <c r="I502" t="inlineStr">
        <is>
          <t>&lt;calendly_link&gt;</t>
        </is>
      </c>
      <c r="J502" s="37" t="n">
        <v>44867.82708333333</v>
      </c>
      <c r="K502" t="inlineStr">
        <is>
          <t>Yes</t>
        </is>
      </c>
    </row>
    <row r="503">
      <c r="A503" t="inlineStr">
        <is>
          <t>REQ-0502</t>
        </is>
      </c>
      <c r="B503" t="inlineStr">
        <is>
          <t>Google</t>
        </is>
      </c>
      <c r="C503" t="inlineStr">
        <is>
          <t>Sundar Pichai</t>
        </is>
      </c>
      <c r="D503" t="inlineStr">
        <is>
          <t>sundar@google.com</t>
        </is>
      </c>
      <c r="E503" t="inlineStr">
        <is>
          <t>Chetan</t>
        </is>
      </c>
      <c r="F503" t="inlineStr">
        <is>
          <t>chetan@weekday.works</t>
        </is>
      </c>
      <c r="G503" s="36" t="inlineStr">
        <is>
          <t>+91 9920264452</t>
        </is>
      </c>
      <c r="H503" t="inlineStr">
        <is>
          <t>Round1</t>
        </is>
      </c>
      <c r="I503" t="inlineStr">
        <is>
          <t>&lt;calendly_link&gt;</t>
        </is>
      </c>
      <c r="J503" s="37" t="n">
        <v>44867.82708333333</v>
      </c>
      <c r="K503" t="inlineStr">
        <is>
          <t>Yes</t>
        </is>
      </c>
    </row>
    <row r="504">
      <c r="A504" t="inlineStr">
        <is>
          <t>REQ-0503</t>
        </is>
      </c>
      <c r="B504" t="inlineStr">
        <is>
          <t>Google</t>
        </is>
      </c>
      <c r="C504" t="inlineStr">
        <is>
          <t>Sundar Pichai</t>
        </is>
      </c>
      <c r="D504" t="inlineStr">
        <is>
          <t>sundar@google.com</t>
        </is>
      </c>
      <c r="E504" t="inlineStr">
        <is>
          <t>Chetan</t>
        </is>
      </c>
      <c r="F504" t="inlineStr">
        <is>
          <t>chetan@weekday.works</t>
        </is>
      </c>
      <c r="G504" s="36" t="inlineStr">
        <is>
          <t>+91 9920264452</t>
        </is>
      </c>
      <c r="H504" t="inlineStr">
        <is>
          <t>Round1</t>
        </is>
      </c>
      <c r="I504" t="inlineStr">
        <is>
          <t>&lt;calendly_link&gt;</t>
        </is>
      </c>
      <c r="J504" s="37" t="n">
        <v>44867.82708333333</v>
      </c>
      <c r="K504" t="inlineStr">
        <is>
          <t>Yes</t>
        </is>
      </c>
    </row>
    <row r="505">
      <c r="A505" t="inlineStr">
        <is>
          <t>REQ-0504</t>
        </is>
      </c>
      <c r="B505" t="inlineStr">
        <is>
          <t>Google</t>
        </is>
      </c>
      <c r="C505" t="inlineStr">
        <is>
          <t>Sundar Pichai</t>
        </is>
      </c>
      <c r="D505" t="inlineStr">
        <is>
          <t>sundar@google.com</t>
        </is>
      </c>
      <c r="E505" t="inlineStr">
        <is>
          <t>Chetan</t>
        </is>
      </c>
      <c r="F505" t="inlineStr">
        <is>
          <t>chetan@weekday.works</t>
        </is>
      </c>
      <c r="G505" s="36" t="inlineStr">
        <is>
          <t>+91 9920264452</t>
        </is>
      </c>
      <c r="H505" t="inlineStr">
        <is>
          <t>Round1</t>
        </is>
      </c>
      <c r="I505" t="inlineStr">
        <is>
          <t>&lt;calendly_link&gt;</t>
        </is>
      </c>
      <c r="J505" s="37" t="n">
        <v>44867.82708333333</v>
      </c>
      <c r="K505" t="inlineStr">
        <is>
          <t>Yes</t>
        </is>
      </c>
    </row>
    <row r="506">
      <c r="A506" t="inlineStr">
        <is>
          <t>REQ-0505</t>
        </is>
      </c>
      <c r="B506" t="inlineStr">
        <is>
          <t>Google</t>
        </is>
      </c>
      <c r="C506" t="inlineStr">
        <is>
          <t>Sundar Pichai</t>
        </is>
      </c>
      <c r="D506" t="inlineStr">
        <is>
          <t>sundar@google.com</t>
        </is>
      </c>
      <c r="E506" t="inlineStr">
        <is>
          <t>Chetan</t>
        </is>
      </c>
      <c r="F506" t="inlineStr">
        <is>
          <t>chetan@weekday.works</t>
        </is>
      </c>
      <c r="G506" s="36" t="inlineStr">
        <is>
          <t>+91 9920264452</t>
        </is>
      </c>
      <c r="H506" t="inlineStr">
        <is>
          <t>Round1</t>
        </is>
      </c>
      <c r="I506" t="inlineStr">
        <is>
          <t>&lt;calendly_link&gt;</t>
        </is>
      </c>
      <c r="J506" s="37" t="n">
        <v>44867.82708333333</v>
      </c>
      <c r="K506" t="inlineStr">
        <is>
          <t>Yes</t>
        </is>
      </c>
    </row>
    <row r="507">
      <c r="A507" t="inlineStr">
        <is>
          <t>REQ-0506</t>
        </is>
      </c>
      <c r="B507" t="inlineStr">
        <is>
          <t>Google</t>
        </is>
      </c>
      <c r="C507" t="inlineStr">
        <is>
          <t>Sundar Pichai</t>
        </is>
      </c>
      <c r="D507" t="inlineStr">
        <is>
          <t>sundar@google.com</t>
        </is>
      </c>
      <c r="E507" t="inlineStr">
        <is>
          <t>Chetan</t>
        </is>
      </c>
      <c r="F507" t="inlineStr">
        <is>
          <t>chetan@weekday.works</t>
        </is>
      </c>
      <c r="G507" s="36" t="inlineStr">
        <is>
          <t>+91 9920264452</t>
        </is>
      </c>
      <c r="H507" t="inlineStr">
        <is>
          <t>Round1</t>
        </is>
      </c>
      <c r="I507" t="inlineStr">
        <is>
          <t>&lt;calendly_link&gt;</t>
        </is>
      </c>
      <c r="J507" s="37" t="n">
        <v>44867.82708333333</v>
      </c>
      <c r="K507" t="inlineStr">
        <is>
          <t>Yes</t>
        </is>
      </c>
    </row>
    <row r="508">
      <c r="A508" t="inlineStr">
        <is>
          <t>REQ-0507</t>
        </is>
      </c>
      <c r="B508" t="inlineStr">
        <is>
          <t>Google</t>
        </is>
      </c>
      <c r="C508" t="inlineStr">
        <is>
          <t>Sundar Pichai</t>
        </is>
      </c>
      <c r="D508" t="inlineStr">
        <is>
          <t>sundar@google.com</t>
        </is>
      </c>
      <c r="E508" t="inlineStr">
        <is>
          <t>Chetan</t>
        </is>
      </c>
      <c r="F508" t="inlineStr">
        <is>
          <t>chetan@weekday.works</t>
        </is>
      </c>
      <c r="G508" s="36" t="inlineStr">
        <is>
          <t>+91 9920264452</t>
        </is>
      </c>
      <c r="H508" t="inlineStr">
        <is>
          <t>Round1</t>
        </is>
      </c>
      <c r="I508" t="inlineStr">
        <is>
          <t>&lt;calendly_link&gt;</t>
        </is>
      </c>
      <c r="J508" s="37" t="n">
        <v>44867.82708333333</v>
      </c>
      <c r="K508" t="inlineStr">
        <is>
          <t>Yes</t>
        </is>
      </c>
    </row>
    <row r="509">
      <c r="A509" t="inlineStr">
        <is>
          <t>REQ-0508</t>
        </is>
      </c>
      <c r="B509" t="inlineStr">
        <is>
          <t>Google</t>
        </is>
      </c>
      <c r="C509" t="inlineStr">
        <is>
          <t>Sundar Pichai</t>
        </is>
      </c>
      <c r="D509" t="inlineStr">
        <is>
          <t>sundar@google.com</t>
        </is>
      </c>
      <c r="E509" t="inlineStr">
        <is>
          <t>Chetan</t>
        </is>
      </c>
      <c r="F509" t="inlineStr">
        <is>
          <t>chetan@weekday.works</t>
        </is>
      </c>
      <c r="G509" s="36" t="inlineStr">
        <is>
          <t>+91 9920264452</t>
        </is>
      </c>
      <c r="H509" t="inlineStr">
        <is>
          <t>Round1</t>
        </is>
      </c>
      <c r="I509" t="inlineStr">
        <is>
          <t>&lt;calendly_link&gt;</t>
        </is>
      </c>
      <c r="J509" s="37" t="n">
        <v>44867.82708333333</v>
      </c>
      <c r="K509" t="inlineStr">
        <is>
          <t>Yes</t>
        </is>
      </c>
    </row>
    <row r="510">
      <c r="A510" t="inlineStr">
        <is>
          <t>REQ-0509</t>
        </is>
      </c>
      <c r="B510" t="inlineStr">
        <is>
          <t>Google</t>
        </is>
      </c>
      <c r="C510" t="inlineStr">
        <is>
          <t>Sundar Pichai</t>
        </is>
      </c>
      <c r="D510" t="inlineStr">
        <is>
          <t>sundar@google.com</t>
        </is>
      </c>
      <c r="E510" t="inlineStr">
        <is>
          <t>Chetan</t>
        </is>
      </c>
      <c r="F510" t="inlineStr">
        <is>
          <t>chetan@weekday.works</t>
        </is>
      </c>
      <c r="G510" s="36" t="inlineStr">
        <is>
          <t>+91 9920264452</t>
        </is>
      </c>
      <c r="H510" t="inlineStr">
        <is>
          <t>Round1</t>
        </is>
      </c>
      <c r="I510" t="inlineStr">
        <is>
          <t>&lt;calendly_link&gt;</t>
        </is>
      </c>
      <c r="J510" s="37" t="n">
        <v>44867.82708333333</v>
      </c>
      <c r="K510" t="inlineStr">
        <is>
          <t>Yes</t>
        </is>
      </c>
    </row>
    <row r="511">
      <c r="A511" t="inlineStr">
        <is>
          <t>REQ-0510</t>
        </is>
      </c>
      <c r="B511" t="inlineStr">
        <is>
          <t>Google</t>
        </is>
      </c>
      <c r="C511" t="inlineStr">
        <is>
          <t>Sundar Pichai</t>
        </is>
      </c>
      <c r="D511" t="inlineStr">
        <is>
          <t>sundar@google.com</t>
        </is>
      </c>
      <c r="E511" t="inlineStr">
        <is>
          <t>Chetan</t>
        </is>
      </c>
      <c r="F511" t="inlineStr">
        <is>
          <t>chetan@weekday.works</t>
        </is>
      </c>
      <c r="G511" s="36" t="inlineStr">
        <is>
          <t>+91 9920264452</t>
        </is>
      </c>
      <c r="H511" t="inlineStr">
        <is>
          <t>Round1</t>
        </is>
      </c>
      <c r="I511" t="inlineStr">
        <is>
          <t>&lt;calendly_link&gt;</t>
        </is>
      </c>
      <c r="J511" s="37" t="n">
        <v>44867.82708333333</v>
      </c>
      <c r="K511" t="inlineStr">
        <is>
          <t>Yes</t>
        </is>
      </c>
    </row>
    <row r="512">
      <c r="A512" t="inlineStr">
        <is>
          <t>REQ-0511</t>
        </is>
      </c>
      <c r="B512" t="inlineStr">
        <is>
          <t>Google</t>
        </is>
      </c>
      <c r="C512" t="inlineStr">
        <is>
          <t>Sundar Pichai</t>
        </is>
      </c>
      <c r="D512" t="inlineStr">
        <is>
          <t>sundar@google.com</t>
        </is>
      </c>
      <c r="E512" t="inlineStr">
        <is>
          <t>Chetan</t>
        </is>
      </c>
      <c r="F512" t="inlineStr">
        <is>
          <t>chetan@weekday.works</t>
        </is>
      </c>
      <c r="G512" s="36" t="inlineStr">
        <is>
          <t>+91 9920264452</t>
        </is>
      </c>
      <c r="H512" t="inlineStr">
        <is>
          <t>Round1</t>
        </is>
      </c>
      <c r="I512" t="inlineStr">
        <is>
          <t>&lt;calendly_link&gt;</t>
        </is>
      </c>
      <c r="J512" s="37" t="n">
        <v>44867.82708333333</v>
      </c>
      <c r="K512" t="inlineStr">
        <is>
          <t>Yes</t>
        </is>
      </c>
    </row>
    <row r="513">
      <c r="A513" t="inlineStr">
        <is>
          <t>REQ-0512</t>
        </is>
      </c>
      <c r="B513" t="inlineStr">
        <is>
          <t>Google</t>
        </is>
      </c>
      <c r="C513" t="inlineStr">
        <is>
          <t>Sundar Pichai</t>
        </is>
      </c>
      <c r="D513" t="inlineStr">
        <is>
          <t>sundar@google.com</t>
        </is>
      </c>
      <c r="E513" t="inlineStr">
        <is>
          <t>Chetan</t>
        </is>
      </c>
      <c r="F513" t="inlineStr">
        <is>
          <t>chetan@weekday.works</t>
        </is>
      </c>
      <c r="G513" s="36" t="inlineStr">
        <is>
          <t>+91 9920264452</t>
        </is>
      </c>
      <c r="H513" t="inlineStr">
        <is>
          <t>Round1</t>
        </is>
      </c>
      <c r="I513" t="inlineStr">
        <is>
          <t>&lt;calendly_link&gt;</t>
        </is>
      </c>
      <c r="J513" s="37" t="n">
        <v>44867.82708333333</v>
      </c>
      <c r="K513" t="inlineStr">
        <is>
          <t>Yes</t>
        </is>
      </c>
    </row>
    <row r="514">
      <c r="A514" t="inlineStr">
        <is>
          <t>REQ-0513</t>
        </is>
      </c>
      <c r="B514" t="inlineStr">
        <is>
          <t>Google</t>
        </is>
      </c>
      <c r="C514" t="inlineStr">
        <is>
          <t>Sundar Pichai</t>
        </is>
      </c>
      <c r="D514" t="inlineStr">
        <is>
          <t>sundar@google.com</t>
        </is>
      </c>
      <c r="E514" t="inlineStr">
        <is>
          <t>Chetan</t>
        </is>
      </c>
      <c r="F514" t="inlineStr">
        <is>
          <t>chetan@weekday.works</t>
        </is>
      </c>
      <c r="G514" s="36" t="inlineStr">
        <is>
          <t>+91 9920264452</t>
        </is>
      </c>
      <c r="H514" t="inlineStr">
        <is>
          <t>Round1</t>
        </is>
      </c>
      <c r="I514" t="inlineStr">
        <is>
          <t>&lt;calendly_link&gt;</t>
        </is>
      </c>
      <c r="J514" s="37" t="n">
        <v>44867.82708333333</v>
      </c>
      <c r="K514" t="inlineStr">
        <is>
          <t>Yes</t>
        </is>
      </c>
    </row>
    <row r="515">
      <c r="A515" t="inlineStr">
        <is>
          <t>REQ-0514</t>
        </is>
      </c>
      <c r="B515" t="inlineStr">
        <is>
          <t>Google</t>
        </is>
      </c>
      <c r="C515" t="inlineStr">
        <is>
          <t>Sundar Pichai</t>
        </is>
      </c>
      <c r="D515" t="inlineStr">
        <is>
          <t>sundar@google.com</t>
        </is>
      </c>
      <c r="E515" t="inlineStr">
        <is>
          <t>Chetan</t>
        </is>
      </c>
      <c r="F515" t="inlineStr">
        <is>
          <t>chetan@weekday.works</t>
        </is>
      </c>
      <c r="G515" s="36" t="inlineStr">
        <is>
          <t>+91 9920264452</t>
        </is>
      </c>
      <c r="H515" t="inlineStr">
        <is>
          <t>Round1</t>
        </is>
      </c>
      <c r="I515" t="inlineStr">
        <is>
          <t>&lt;calendly_link&gt;</t>
        </is>
      </c>
      <c r="J515" s="37" t="n">
        <v>44867.82708333333</v>
      </c>
      <c r="K515" t="inlineStr">
        <is>
          <t>Yes</t>
        </is>
      </c>
    </row>
    <row r="516">
      <c r="A516" t="inlineStr">
        <is>
          <t>REQ-0515</t>
        </is>
      </c>
      <c r="B516" t="inlineStr">
        <is>
          <t>Google</t>
        </is>
      </c>
      <c r="C516" t="inlineStr">
        <is>
          <t>Sundar Pichai</t>
        </is>
      </c>
      <c r="D516" t="inlineStr">
        <is>
          <t>sundar@google.com</t>
        </is>
      </c>
      <c r="E516" t="inlineStr">
        <is>
          <t>Chetan</t>
        </is>
      </c>
      <c r="F516" t="inlineStr">
        <is>
          <t>chetan@weekday.works</t>
        </is>
      </c>
      <c r="G516" s="36" t="inlineStr">
        <is>
          <t>+91 9920264452</t>
        </is>
      </c>
      <c r="H516" t="inlineStr">
        <is>
          <t>Round1</t>
        </is>
      </c>
      <c r="I516" t="inlineStr">
        <is>
          <t>&lt;calendly_link&gt;</t>
        </is>
      </c>
      <c r="J516" s="37" t="n">
        <v>44867.82708333333</v>
      </c>
      <c r="K516" t="inlineStr">
        <is>
          <t>Yes</t>
        </is>
      </c>
    </row>
  </sheetData>
  <autoFilter ref="A1:K5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2026-06-05T17:10:33Z</dcterms:created>
  <dcterms:modified xsi:type="dcterms:W3CDTF">2026-06-05T17:10:34Z</dcterms:modified>
</cp:coreProperties>
</file>